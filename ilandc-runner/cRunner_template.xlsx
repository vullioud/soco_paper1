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Land\projects\FutureForest_JM\germany-representative-landscapes\ilandc-runner\"/>
    </mc:Choice>
  </mc:AlternateContent>
  <xr:revisionPtr revIDLastSave="0" documentId="13_ncr:1_{DE771967-0622-4C71-BF17-F85F28BE49E0}" xr6:coauthVersionLast="36" xr6:coauthVersionMax="36" xr10:uidLastSave="{00000000-0000-0000-0000-000000000000}"/>
  <bookViews>
    <workbookView xWindow="0" yWindow="0" windowWidth="17256" windowHeight="5256" tabRatio="752" xr2:uid="{DC225DFB-F5A7-475D-9A7A-9123B71BDC6E}"/>
  </bookViews>
  <sheets>
    <sheet name="RefineDisturbances_0705_all (2)" sheetId="14" r:id="rId1"/>
    <sheet name="RefineDisturbances_0905_Cl10" sheetId="12" r:id="rId2"/>
    <sheet name="RefineDisturbances_0705_all" sheetId="11" r:id="rId3"/>
    <sheet name="RefineDisturbances_0705" sheetId="10" r:id="rId4"/>
    <sheet name="RefineDisturbances" sheetId="3" r:id="rId5"/>
    <sheet name="Tabelle1" sheetId="13" r:id="rId6"/>
    <sheet name="Cluster_Climate" sheetId="7" r:id="rId7"/>
    <sheet name="Tabelle4" sheetId="9" r:id="rId8"/>
    <sheet name="Aikio" sheetId="5" r:id="rId9"/>
    <sheet name="cRunner" sheetId="2" r:id="rId10"/>
    <sheet name="with_replicates" sheetId="1" r:id="rId11"/>
    <sheet name="RefineDisturbances (2)" sheetId="4" r:id="rId12"/>
  </sheets>
  <definedNames>
    <definedName name="_xlnm._FilterDatabase" localSheetId="8" hidden="1">Aikio!$A$1:$AD$1</definedName>
    <definedName name="_xlnm._FilterDatabase" localSheetId="9" hidden="1">cRunner!$A$1:$AC$1</definedName>
    <definedName name="_xlnm._FilterDatabase" localSheetId="4" hidden="1">RefineDisturbances!$A$1:$AC$361</definedName>
    <definedName name="_xlnm._FilterDatabase" localSheetId="11" hidden="1">'RefineDisturbances (2)'!$A$1:$AD$1</definedName>
    <definedName name="_xlnm._FilterDatabase" localSheetId="3" hidden="1">RefineDisturbances_0705!$A$1:$AA$16</definedName>
    <definedName name="_xlnm._FilterDatabase" localSheetId="2" hidden="1">RefineDisturbances_0705_all!$A$1:$AA$181</definedName>
    <definedName name="_xlnm._FilterDatabase" localSheetId="0" hidden="1">'RefineDisturbances_0705_all (2)'!$A$1:$AA$181</definedName>
    <definedName name="_xlnm._FilterDatabase" localSheetId="1" hidden="1">RefineDisturbances_0905_Cl10!$A$1:$AA$46</definedName>
    <definedName name="_xlnm._FilterDatabase" localSheetId="10" hidden="1">with_replicates!$A$1:$S$5</definedName>
    <definedName name="ExterneDaten_1" localSheetId="6" hidden="1">Cluster_Climate!$A$1:$G$37</definedName>
    <definedName name="ExterneDaten_2" localSheetId="5" hidden="1">Tabelle1!$A$1:$F$37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81" i="14" l="1"/>
  <c r="AB181" i="14"/>
  <c r="AA181" i="14"/>
  <c r="Z181" i="14"/>
  <c r="Y181" i="14"/>
  <c r="X181" i="14"/>
  <c r="W181" i="14"/>
  <c r="U181" i="14"/>
  <c r="V181" i="14" s="1"/>
  <c r="R181" i="14"/>
  <c r="Q181" i="14"/>
  <c r="E181" i="14"/>
  <c r="AC181" i="14" s="1"/>
  <c r="A181" i="14"/>
  <c r="AE181" i="14" s="1"/>
  <c r="AD180" i="14"/>
  <c r="AB180" i="14"/>
  <c r="AA180" i="14"/>
  <c r="Z180" i="14"/>
  <c r="Y180" i="14"/>
  <c r="X180" i="14"/>
  <c r="W180" i="14"/>
  <c r="U180" i="14"/>
  <c r="V180" i="14" s="1"/>
  <c r="T180" i="14"/>
  <c r="Q180" i="14"/>
  <c r="E180" i="14"/>
  <c r="AC180" i="14" s="1"/>
  <c r="A180" i="14"/>
  <c r="P180" i="14" s="1"/>
  <c r="AD179" i="14"/>
  <c r="AC179" i="14"/>
  <c r="AB179" i="14"/>
  <c r="AA179" i="14"/>
  <c r="Z179" i="14"/>
  <c r="Y179" i="14"/>
  <c r="X179" i="14"/>
  <c r="W179" i="14"/>
  <c r="U179" i="14"/>
  <c r="V179" i="14" s="1"/>
  <c r="T179" i="14"/>
  <c r="S179" i="14"/>
  <c r="Q179" i="14"/>
  <c r="E179" i="14"/>
  <c r="R179" i="14" s="1"/>
  <c r="A179" i="14"/>
  <c r="AE179" i="14" s="1"/>
  <c r="AD178" i="14"/>
  <c r="AC178" i="14"/>
  <c r="AB178" i="14"/>
  <c r="AA178" i="14"/>
  <c r="Z178" i="14"/>
  <c r="Y178" i="14"/>
  <c r="X178" i="14"/>
  <c r="W178" i="14"/>
  <c r="U178" i="14"/>
  <c r="V178" i="14" s="1"/>
  <c r="Q178" i="14"/>
  <c r="E178" i="14"/>
  <c r="T178" i="14" s="1"/>
  <c r="A178" i="14"/>
  <c r="S178" i="14" s="1"/>
  <c r="AE177" i="14"/>
  <c r="AD177" i="14"/>
  <c r="AB177" i="14"/>
  <c r="AA177" i="14"/>
  <c r="Z177" i="14"/>
  <c r="Y177" i="14"/>
  <c r="X177" i="14"/>
  <c r="W177" i="14"/>
  <c r="U177" i="14"/>
  <c r="V177" i="14" s="1"/>
  <c r="Q177" i="14"/>
  <c r="E177" i="14"/>
  <c r="A177" i="14"/>
  <c r="AD176" i="14"/>
  <c r="AC176" i="14"/>
  <c r="AB176" i="14"/>
  <c r="AA176" i="14"/>
  <c r="Z176" i="14"/>
  <c r="Y176" i="14"/>
  <c r="X176" i="14"/>
  <c r="W176" i="14"/>
  <c r="U176" i="14"/>
  <c r="V176" i="14" s="1"/>
  <c r="Q176" i="14"/>
  <c r="P176" i="14"/>
  <c r="E176" i="14"/>
  <c r="T176" i="14" s="1"/>
  <c r="A176" i="14"/>
  <c r="S176" i="14" s="1"/>
  <c r="AD175" i="14"/>
  <c r="AB175" i="14"/>
  <c r="AA175" i="14"/>
  <c r="Z175" i="14"/>
  <c r="Y175" i="14"/>
  <c r="X175" i="14"/>
  <c r="W175" i="14"/>
  <c r="U175" i="14"/>
  <c r="V175" i="14" s="1"/>
  <c r="Q175" i="14"/>
  <c r="E175" i="14"/>
  <c r="T175" i="14" s="1"/>
  <c r="A175" i="14"/>
  <c r="P175" i="14" s="1"/>
  <c r="AD174" i="14"/>
  <c r="AB174" i="14"/>
  <c r="AA174" i="14"/>
  <c r="Z174" i="14"/>
  <c r="Y174" i="14"/>
  <c r="X174" i="14"/>
  <c r="W174" i="14"/>
  <c r="U174" i="14"/>
  <c r="V174" i="14" s="1"/>
  <c r="Q174" i="14"/>
  <c r="E174" i="14"/>
  <c r="A174" i="14"/>
  <c r="S174" i="14" s="1"/>
  <c r="AD173" i="14"/>
  <c r="AB173" i="14"/>
  <c r="AA173" i="14"/>
  <c r="Z173" i="14"/>
  <c r="Y173" i="14"/>
  <c r="X173" i="14"/>
  <c r="W173" i="14"/>
  <c r="V173" i="14"/>
  <c r="U173" i="14"/>
  <c r="Q173" i="14"/>
  <c r="P173" i="14"/>
  <c r="E173" i="14"/>
  <c r="AC173" i="14" s="1"/>
  <c r="A173" i="14"/>
  <c r="AE173" i="14" s="1"/>
  <c r="AD172" i="14"/>
  <c r="AB172" i="14"/>
  <c r="AA172" i="14"/>
  <c r="Z172" i="14"/>
  <c r="Y172" i="14"/>
  <c r="X172" i="14"/>
  <c r="W172" i="14"/>
  <c r="U172" i="14"/>
  <c r="V172" i="14" s="1"/>
  <c r="T172" i="14"/>
  <c r="R172" i="14"/>
  <c r="Q172" i="14"/>
  <c r="E172" i="14"/>
  <c r="AC172" i="14" s="1"/>
  <c r="A172" i="14"/>
  <c r="P172" i="14" s="1"/>
  <c r="AE171" i="14"/>
  <c r="AD171" i="14"/>
  <c r="AB171" i="14"/>
  <c r="AA171" i="14"/>
  <c r="Z171" i="14"/>
  <c r="Y171" i="14"/>
  <c r="X171" i="14"/>
  <c r="W171" i="14"/>
  <c r="V171" i="14"/>
  <c r="U171" i="14"/>
  <c r="Q171" i="14"/>
  <c r="P171" i="14"/>
  <c r="E171" i="14"/>
  <c r="AC171" i="14" s="1"/>
  <c r="A171" i="14"/>
  <c r="S171" i="14" s="1"/>
  <c r="AD170" i="14"/>
  <c r="AB170" i="14"/>
  <c r="AA170" i="14"/>
  <c r="Z170" i="14"/>
  <c r="Y170" i="14"/>
  <c r="X170" i="14"/>
  <c r="W170" i="14"/>
  <c r="U170" i="14"/>
  <c r="V170" i="14" s="1"/>
  <c r="Q170" i="14"/>
  <c r="E170" i="14"/>
  <c r="AC170" i="14" s="1"/>
  <c r="A170" i="14"/>
  <c r="S170" i="14" s="1"/>
  <c r="AE169" i="14"/>
  <c r="AD169" i="14"/>
  <c r="AB169" i="14"/>
  <c r="AA169" i="14"/>
  <c r="Z169" i="14"/>
  <c r="Y169" i="14"/>
  <c r="X169" i="14"/>
  <c r="W169" i="14"/>
  <c r="U169" i="14"/>
  <c r="V169" i="14" s="1"/>
  <c r="Q169" i="14"/>
  <c r="E169" i="14"/>
  <c r="A169" i="14"/>
  <c r="AD168" i="14"/>
  <c r="AC168" i="14"/>
  <c r="AB168" i="14"/>
  <c r="AA168" i="14"/>
  <c r="Z168" i="14"/>
  <c r="Y168" i="14"/>
  <c r="X168" i="14"/>
  <c r="W168" i="14"/>
  <c r="V168" i="14"/>
  <c r="U168" i="14"/>
  <c r="Q168" i="14"/>
  <c r="E168" i="14"/>
  <c r="T168" i="14" s="1"/>
  <c r="A168" i="14"/>
  <c r="S168" i="14" s="1"/>
  <c r="AD167" i="14"/>
  <c r="AB167" i="14"/>
  <c r="AA167" i="14"/>
  <c r="Z167" i="14"/>
  <c r="Y167" i="14"/>
  <c r="X167" i="14"/>
  <c r="W167" i="14"/>
  <c r="U167" i="14"/>
  <c r="V167" i="14" s="1"/>
  <c r="Q167" i="14"/>
  <c r="E167" i="14"/>
  <c r="T167" i="14" s="1"/>
  <c r="A167" i="14"/>
  <c r="P167" i="14" s="1"/>
  <c r="AD166" i="14"/>
  <c r="AB166" i="14"/>
  <c r="AA166" i="14"/>
  <c r="Z166" i="14"/>
  <c r="Y166" i="14"/>
  <c r="X166" i="14"/>
  <c r="W166" i="14"/>
  <c r="U166" i="14"/>
  <c r="V166" i="14" s="1"/>
  <c r="Q166" i="14"/>
  <c r="E166" i="14"/>
  <c r="T166" i="14" s="1"/>
  <c r="A166" i="14"/>
  <c r="S166" i="14" s="1"/>
  <c r="AD165" i="14"/>
  <c r="AB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E165" i="14"/>
  <c r="AC165" i="14" s="1"/>
  <c r="A165" i="14"/>
  <c r="AE165" i="14" s="1"/>
  <c r="AD164" i="14"/>
  <c r="AB164" i="14"/>
  <c r="AA164" i="14"/>
  <c r="Z164" i="14"/>
  <c r="Y164" i="14"/>
  <c r="X164" i="14"/>
  <c r="W164" i="14"/>
  <c r="U164" i="14"/>
  <c r="V164" i="14" s="1"/>
  <c r="S164" i="14"/>
  <c r="R164" i="14"/>
  <c r="Q164" i="14"/>
  <c r="E164" i="14"/>
  <c r="AC164" i="14" s="1"/>
  <c r="A164" i="14"/>
  <c r="P164" i="14" s="1"/>
  <c r="AD163" i="14"/>
  <c r="AB163" i="14"/>
  <c r="AA163" i="14"/>
  <c r="Z163" i="14"/>
  <c r="Y163" i="14"/>
  <c r="X163" i="14"/>
  <c r="W163" i="14"/>
  <c r="U163" i="14"/>
  <c r="V163" i="14" s="1"/>
  <c r="S163" i="14"/>
  <c r="R163" i="14"/>
  <c r="Q163" i="14"/>
  <c r="P163" i="14"/>
  <c r="E163" i="14"/>
  <c r="AC163" i="14" s="1"/>
  <c r="A163" i="14"/>
  <c r="AE163" i="14" s="1"/>
  <c r="AD162" i="14"/>
  <c r="AC162" i="14"/>
  <c r="AB162" i="14"/>
  <c r="AA162" i="14"/>
  <c r="Z162" i="14"/>
  <c r="Y162" i="14"/>
  <c r="X162" i="14"/>
  <c r="W162" i="14"/>
  <c r="U162" i="14"/>
  <c r="V162" i="14" s="1"/>
  <c r="T162" i="14"/>
  <c r="R162" i="14"/>
  <c r="Q162" i="14"/>
  <c r="E162" i="14"/>
  <c r="A162" i="14"/>
  <c r="S162" i="14" s="1"/>
  <c r="AD161" i="14"/>
  <c r="AB161" i="14"/>
  <c r="AA161" i="14"/>
  <c r="Z161" i="14"/>
  <c r="Y161" i="14"/>
  <c r="X161" i="14"/>
  <c r="W161" i="14"/>
  <c r="V161" i="14"/>
  <c r="U161" i="14"/>
  <c r="Q161" i="14"/>
  <c r="E161" i="14"/>
  <c r="A161" i="14"/>
  <c r="AD160" i="14"/>
  <c r="AC160" i="14"/>
  <c r="AB160" i="14"/>
  <c r="AA160" i="14"/>
  <c r="Z160" i="14"/>
  <c r="Y160" i="14"/>
  <c r="X160" i="14"/>
  <c r="W160" i="14"/>
  <c r="V160" i="14"/>
  <c r="U160" i="14"/>
  <c r="Q160" i="14"/>
  <c r="P160" i="14"/>
  <c r="E160" i="14"/>
  <c r="T160" i="14" s="1"/>
  <c r="A160" i="14"/>
  <c r="S160" i="14" s="1"/>
  <c r="AE159" i="14"/>
  <c r="AD159" i="14"/>
  <c r="AC159" i="14"/>
  <c r="AB159" i="14"/>
  <c r="AA159" i="14"/>
  <c r="Z159" i="14"/>
  <c r="Y159" i="14"/>
  <c r="X159" i="14"/>
  <c r="W159" i="14"/>
  <c r="U159" i="14"/>
  <c r="V159" i="14" s="1"/>
  <c r="Q159" i="14"/>
  <c r="E159" i="14"/>
  <c r="T159" i="14" s="1"/>
  <c r="A159" i="14"/>
  <c r="P159" i="14" s="1"/>
  <c r="AD158" i="14"/>
  <c r="AB158" i="14"/>
  <c r="AA158" i="14"/>
  <c r="Z158" i="14"/>
  <c r="Y158" i="14"/>
  <c r="X158" i="14"/>
  <c r="W158" i="14"/>
  <c r="U158" i="14"/>
  <c r="V158" i="14" s="1"/>
  <c r="Q158" i="14"/>
  <c r="E158" i="14"/>
  <c r="A158" i="14"/>
  <c r="S158" i="14" s="1"/>
  <c r="AD157" i="14"/>
  <c r="AB157" i="14"/>
  <c r="AA157" i="14"/>
  <c r="Z157" i="14"/>
  <c r="Y157" i="14"/>
  <c r="X157" i="14"/>
  <c r="W157" i="14"/>
  <c r="V157" i="14"/>
  <c r="U157" i="14"/>
  <c r="T157" i="14"/>
  <c r="S157" i="14"/>
  <c r="R157" i="14"/>
  <c r="Q157" i="14"/>
  <c r="E157" i="14"/>
  <c r="AC157" i="14" s="1"/>
  <c r="A157" i="14"/>
  <c r="AE157" i="14" s="1"/>
  <c r="AD156" i="14"/>
  <c r="AB156" i="14"/>
  <c r="AA156" i="14"/>
  <c r="Z156" i="14"/>
  <c r="Y156" i="14"/>
  <c r="X156" i="14"/>
  <c r="W156" i="14"/>
  <c r="U156" i="14"/>
  <c r="V156" i="14" s="1"/>
  <c r="T156" i="14"/>
  <c r="S156" i="14"/>
  <c r="R156" i="14"/>
  <c r="Q156" i="14"/>
  <c r="E156" i="14"/>
  <c r="AC156" i="14" s="1"/>
  <c r="A156" i="14"/>
  <c r="P156" i="14" s="1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E155" i="14"/>
  <c r="A155" i="14"/>
  <c r="P155" i="14" s="1"/>
  <c r="AD154" i="14"/>
  <c r="AB154" i="14"/>
  <c r="AA154" i="14"/>
  <c r="Z154" i="14"/>
  <c r="Y154" i="14"/>
  <c r="X154" i="14"/>
  <c r="W154" i="14"/>
  <c r="V154" i="14"/>
  <c r="U154" i="14"/>
  <c r="T154" i="14"/>
  <c r="R154" i="14"/>
  <c r="Q154" i="14"/>
  <c r="E154" i="14"/>
  <c r="AC154" i="14" s="1"/>
  <c r="A154" i="14"/>
  <c r="S154" i="14" s="1"/>
  <c r="AE153" i="14"/>
  <c r="AD153" i="14"/>
  <c r="AB153" i="14"/>
  <c r="AA153" i="14"/>
  <c r="Z153" i="14"/>
  <c r="Y153" i="14"/>
  <c r="X153" i="14"/>
  <c r="W153" i="14"/>
  <c r="V153" i="14"/>
  <c r="U153" i="14"/>
  <c r="Q153" i="14"/>
  <c r="E153" i="14"/>
  <c r="A153" i="14"/>
  <c r="AD152" i="14"/>
  <c r="AB152" i="14"/>
  <c r="AA152" i="14"/>
  <c r="Z152" i="14"/>
  <c r="Y152" i="14"/>
  <c r="X152" i="14"/>
  <c r="W152" i="14"/>
  <c r="V152" i="14"/>
  <c r="U152" i="14"/>
  <c r="Q152" i="14"/>
  <c r="P152" i="14"/>
  <c r="E152" i="14"/>
  <c r="T152" i="14" s="1"/>
  <c r="A152" i="14"/>
  <c r="S152" i="14" s="1"/>
  <c r="AD151" i="14"/>
  <c r="AB151" i="14"/>
  <c r="AA151" i="14"/>
  <c r="Z151" i="14"/>
  <c r="Y151" i="14"/>
  <c r="X151" i="14"/>
  <c r="W151" i="14"/>
  <c r="U151" i="14"/>
  <c r="V151" i="14" s="1"/>
  <c r="S151" i="14"/>
  <c r="Q151" i="14"/>
  <c r="E151" i="14"/>
  <c r="T151" i="14" s="1"/>
  <c r="A151" i="14"/>
  <c r="P151" i="14" s="1"/>
  <c r="AD150" i="14"/>
  <c r="AB150" i="14"/>
  <c r="AA150" i="14"/>
  <c r="Z150" i="14"/>
  <c r="Y150" i="14"/>
  <c r="X150" i="14"/>
  <c r="W150" i="14"/>
  <c r="U150" i="14"/>
  <c r="V150" i="14" s="1"/>
  <c r="Q150" i="14"/>
  <c r="E150" i="14"/>
  <c r="T150" i="14" s="1"/>
  <c r="A150" i="14"/>
  <c r="S150" i="14" s="1"/>
  <c r="AD149" i="14"/>
  <c r="AB149" i="14"/>
  <c r="AA149" i="14"/>
  <c r="Z149" i="14"/>
  <c r="Y149" i="14"/>
  <c r="X149" i="14"/>
  <c r="W149" i="14"/>
  <c r="V149" i="14"/>
  <c r="U149" i="14"/>
  <c r="Q149" i="14"/>
  <c r="E149" i="14"/>
  <c r="AC149" i="14" s="1"/>
  <c r="A149" i="14"/>
  <c r="AE149" i="14" s="1"/>
  <c r="AD148" i="14"/>
  <c r="AB148" i="14"/>
  <c r="AA148" i="14"/>
  <c r="Z148" i="14"/>
  <c r="Y148" i="14"/>
  <c r="X148" i="14"/>
  <c r="W148" i="14"/>
  <c r="U148" i="14"/>
  <c r="V148" i="14" s="1"/>
  <c r="S148" i="14"/>
  <c r="R148" i="14"/>
  <c r="Q148" i="14"/>
  <c r="E148" i="14"/>
  <c r="AC148" i="14" s="1"/>
  <c r="A148" i="14"/>
  <c r="P148" i="14" s="1"/>
  <c r="AD147" i="14"/>
  <c r="AC147" i="14"/>
  <c r="AB147" i="14"/>
  <c r="AA147" i="14"/>
  <c r="Z147" i="14"/>
  <c r="Y147" i="14"/>
  <c r="X147" i="14"/>
  <c r="W147" i="14"/>
  <c r="U147" i="14"/>
  <c r="V147" i="14" s="1"/>
  <c r="R147" i="14"/>
  <c r="Q147" i="14"/>
  <c r="E147" i="14"/>
  <c r="T147" i="14" s="1"/>
  <c r="A147" i="14"/>
  <c r="S147" i="14" s="1"/>
  <c r="AE146" i="14"/>
  <c r="AD146" i="14"/>
  <c r="AC146" i="14"/>
  <c r="AB146" i="14"/>
  <c r="AA146" i="14"/>
  <c r="Z146" i="14"/>
  <c r="Y146" i="14"/>
  <c r="X146" i="14"/>
  <c r="W146" i="14"/>
  <c r="U146" i="14"/>
  <c r="V146" i="14" s="1"/>
  <c r="T146" i="14"/>
  <c r="R146" i="14"/>
  <c r="Q146" i="14"/>
  <c r="E146" i="14"/>
  <c r="A146" i="14"/>
  <c r="S146" i="14" s="1"/>
  <c r="AD145" i="14"/>
  <c r="AB145" i="14"/>
  <c r="AA145" i="14"/>
  <c r="Z145" i="14"/>
  <c r="Y145" i="14"/>
  <c r="X145" i="14"/>
  <c r="W145" i="14"/>
  <c r="V145" i="14"/>
  <c r="U145" i="14"/>
  <c r="Q145" i="14"/>
  <c r="E145" i="14"/>
  <c r="A145" i="14"/>
  <c r="AD144" i="14"/>
  <c r="AB144" i="14"/>
  <c r="AA144" i="14"/>
  <c r="Z144" i="14"/>
  <c r="Y144" i="14"/>
  <c r="X144" i="14"/>
  <c r="W144" i="14"/>
  <c r="U144" i="14"/>
  <c r="V144" i="14" s="1"/>
  <c r="Q144" i="14"/>
  <c r="P144" i="14"/>
  <c r="E144" i="14"/>
  <c r="T144" i="14" s="1"/>
  <c r="A144" i="14"/>
  <c r="S144" i="14" s="1"/>
  <c r="AD143" i="14"/>
  <c r="AB143" i="14"/>
  <c r="AA143" i="14"/>
  <c r="Z143" i="14"/>
  <c r="Y143" i="14"/>
  <c r="X143" i="14"/>
  <c r="W143" i="14"/>
  <c r="U143" i="14"/>
  <c r="V143" i="14" s="1"/>
  <c r="S143" i="14"/>
  <c r="Q143" i="14"/>
  <c r="E143" i="14"/>
  <c r="T143" i="14" s="1"/>
  <c r="A143" i="14"/>
  <c r="P143" i="14" s="1"/>
  <c r="AD142" i="14"/>
  <c r="AB142" i="14"/>
  <c r="AA142" i="14"/>
  <c r="Z142" i="14"/>
  <c r="Y142" i="14"/>
  <c r="X142" i="14"/>
  <c r="W142" i="14"/>
  <c r="U142" i="14"/>
  <c r="V142" i="14" s="1"/>
  <c r="Q142" i="14"/>
  <c r="E142" i="14"/>
  <c r="A142" i="14"/>
  <c r="S142" i="14" s="1"/>
  <c r="AD141" i="14"/>
  <c r="AB141" i="14"/>
  <c r="AA141" i="14"/>
  <c r="Z141" i="14"/>
  <c r="Y141" i="14"/>
  <c r="X141" i="14"/>
  <c r="W141" i="14"/>
  <c r="U141" i="14"/>
  <c r="V141" i="14" s="1"/>
  <c r="Q141" i="14"/>
  <c r="P141" i="14"/>
  <c r="E141" i="14"/>
  <c r="AC141" i="14" s="1"/>
  <c r="A141" i="14"/>
  <c r="AE141" i="14" s="1"/>
  <c r="AD140" i="14"/>
  <c r="AB140" i="14"/>
  <c r="AA140" i="14"/>
  <c r="Z140" i="14"/>
  <c r="Y140" i="14"/>
  <c r="X140" i="14"/>
  <c r="W140" i="14"/>
  <c r="U140" i="14"/>
  <c r="V140" i="14" s="1"/>
  <c r="T140" i="14"/>
  <c r="Q140" i="14"/>
  <c r="E140" i="14"/>
  <c r="AC140" i="14" s="1"/>
  <c r="A140" i="14"/>
  <c r="P140" i="14" s="1"/>
  <c r="AE139" i="14"/>
  <c r="AD139" i="14"/>
  <c r="AC139" i="14"/>
  <c r="AB139" i="14"/>
  <c r="AA139" i="14"/>
  <c r="Z139" i="14"/>
  <c r="Y139" i="14"/>
  <c r="X139" i="14"/>
  <c r="W139" i="14"/>
  <c r="U139" i="14"/>
  <c r="V139" i="14" s="1"/>
  <c r="Q139" i="14"/>
  <c r="P139" i="14"/>
  <c r="E139" i="14"/>
  <c r="T139" i="14" s="1"/>
  <c r="A139" i="14"/>
  <c r="S139" i="14" s="1"/>
  <c r="AE138" i="14"/>
  <c r="AD138" i="14"/>
  <c r="AC138" i="14"/>
  <c r="AB138" i="14"/>
  <c r="AA138" i="14"/>
  <c r="Z138" i="14"/>
  <c r="Y138" i="14"/>
  <c r="X138" i="14"/>
  <c r="W138" i="14"/>
  <c r="U138" i="14"/>
  <c r="V138" i="14" s="1"/>
  <c r="Q138" i="14"/>
  <c r="E138" i="14"/>
  <c r="T138" i="14" s="1"/>
  <c r="A138" i="14"/>
  <c r="S138" i="14" s="1"/>
  <c r="AE137" i="14"/>
  <c r="AD137" i="14"/>
  <c r="AB137" i="14"/>
  <c r="AA137" i="14"/>
  <c r="Z137" i="14"/>
  <c r="Y137" i="14"/>
  <c r="X137" i="14"/>
  <c r="W137" i="14"/>
  <c r="V137" i="14"/>
  <c r="U137" i="14"/>
  <c r="Q137" i="14"/>
  <c r="E137" i="14"/>
  <c r="A137" i="14"/>
  <c r="AD136" i="14"/>
  <c r="AC136" i="14"/>
  <c r="AB136" i="14"/>
  <c r="AA136" i="14"/>
  <c r="Z136" i="14"/>
  <c r="Y136" i="14"/>
  <c r="X136" i="14"/>
  <c r="W136" i="14"/>
  <c r="V136" i="14"/>
  <c r="U136" i="14"/>
  <c r="Q136" i="14"/>
  <c r="P136" i="14"/>
  <c r="E136" i="14"/>
  <c r="T136" i="14" s="1"/>
  <c r="A136" i="14"/>
  <c r="S136" i="14" s="1"/>
  <c r="AD135" i="14"/>
  <c r="AC135" i="14"/>
  <c r="AB135" i="14"/>
  <c r="AA135" i="14"/>
  <c r="Z135" i="14"/>
  <c r="Y135" i="14"/>
  <c r="X135" i="14"/>
  <c r="W135" i="14"/>
  <c r="U135" i="14"/>
  <c r="V135" i="14" s="1"/>
  <c r="S135" i="14"/>
  <c r="Q135" i="14"/>
  <c r="E135" i="14"/>
  <c r="T135" i="14" s="1"/>
  <c r="A135" i="14"/>
  <c r="P135" i="14" s="1"/>
  <c r="AD134" i="14"/>
  <c r="AB134" i="14"/>
  <c r="AA134" i="14"/>
  <c r="Z134" i="14"/>
  <c r="Y134" i="14"/>
  <c r="X134" i="14"/>
  <c r="W134" i="14"/>
  <c r="U134" i="14"/>
  <c r="V134" i="14" s="1"/>
  <c r="T134" i="14"/>
  <c r="Q134" i="14"/>
  <c r="P134" i="14"/>
  <c r="E134" i="14"/>
  <c r="A134" i="14"/>
  <c r="S134" i="14" s="1"/>
  <c r="AD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E133" i="14"/>
  <c r="AC133" i="14" s="1"/>
  <c r="A133" i="14"/>
  <c r="AE133" i="14" s="1"/>
  <c r="AD132" i="14"/>
  <c r="AC132" i="14"/>
  <c r="AB132" i="14"/>
  <c r="AA132" i="14"/>
  <c r="Z132" i="14"/>
  <c r="Y132" i="14"/>
  <c r="X132" i="14"/>
  <c r="W132" i="14"/>
  <c r="U132" i="14"/>
  <c r="V132" i="14" s="1"/>
  <c r="T132" i="14"/>
  <c r="S132" i="14"/>
  <c r="R132" i="14"/>
  <c r="Q132" i="14"/>
  <c r="E132" i="14"/>
  <c r="A132" i="14"/>
  <c r="P132" i="14" s="1"/>
  <c r="AD131" i="14"/>
  <c r="AC131" i="14"/>
  <c r="AB131" i="14"/>
  <c r="AA131" i="14"/>
  <c r="Z131" i="14"/>
  <c r="Y131" i="14"/>
  <c r="X131" i="14"/>
  <c r="W131" i="14"/>
  <c r="U131" i="14"/>
  <c r="V131" i="14" s="1"/>
  <c r="T131" i="14"/>
  <c r="S131" i="14"/>
  <c r="R131" i="14"/>
  <c r="Q131" i="14"/>
  <c r="P131" i="14"/>
  <c r="E131" i="14"/>
  <c r="A131" i="14"/>
  <c r="AE131" i="14" s="1"/>
  <c r="AE130" i="14"/>
  <c r="AD130" i="14"/>
  <c r="AB130" i="14"/>
  <c r="AA130" i="14"/>
  <c r="Z130" i="14"/>
  <c r="Y130" i="14"/>
  <c r="X130" i="14"/>
  <c r="W130" i="14"/>
  <c r="V130" i="14"/>
  <c r="U130" i="14"/>
  <c r="T130" i="14"/>
  <c r="R130" i="14"/>
  <c r="Q130" i="14"/>
  <c r="E130" i="14"/>
  <c r="AC130" i="14" s="1"/>
  <c r="A130" i="14"/>
  <c r="S130" i="14" s="1"/>
  <c r="AD129" i="14"/>
  <c r="AB129" i="14"/>
  <c r="AA129" i="14"/>
  <c r="Z129" i="14"/>
  <c r="Y129" i="14"/>
  <c r="X129" i="14"/>
  <c r="W129" i="14"/>
  <c r="V129" i="14"/>
  <c r="U129" i="14"/>
  <c r="Q129" i="14"/>
  <c r="E129" i="14"/>
  <c r="A129" i="14"/>
  <c r="AD128" i="14"/>
  <c r="AB128" i="14"/>
  <c r="AA128" i="14"/>
  <c r="Z128" i="14"/>
  <c r="Y128" i="14"/>
  <c r="X128" i="14"/>
  <c r="W128" i="14"/>
  <c r="U128" i="14"/>
  <c r="V128" i="14" s="1"/>
  <c r="R128" i="14"/>
  <c r="Q128" i="14"/>
  <c r="E128" i="14"/>
  <c r="T128" i="14" s="1"/>
  <c r="A128" i="14"/>
  <c r="P128" i="14" s="1"/>
  <c r="AE127" i="14"/>
  <c r="AD127" i="14"/>
  <c r="AB127" i="14"/>
  <c r="AA127" i="14"/>
  <c r="Z127" i="14"/>
  <c r="Y127" i="14"/>
  <c r="X127" i="14"/>
  <c r="W127" i="14"/>
  <c r="U127" i="14"/>
  <c r="V127" i="14" s="1"/>
  <c r="Q127" i="14"/>
  <c r="E127" i="14"/>
  <c r="T127" i="14" s="1"/>
  <c r="A127" i="14"/>
  <c r="S127" i="14" s="1"/>
  <c r="AE126" i="14"/>
  <c r="AD126" i="14"/>
  <c r="AB126" i="14"/>
  <c r="AA126" i="14"/>
  <c r="Z126" i="14"/>
  <c r="Y126" i="14"/>
  <c r="X126" i="14"/>
  <c r="W126" i="14"/>
  <c r="U126" i="14"/>
  <c r="V126" i="14" s="1"/>
  <c r="Q126" i="14"/>
  <c r="E126" i="14"/>
  <c r="AC126" i="14" s="1"/>
  <c r="A126" i="14"/>
  <c r="S126" i="14" s="1"/>
  <c r="AD125" i="14"/>
  <c r="AB125" i="14"/>
  <c r="AA125" i="14"/>
  <c r="Z125" i="14"/>
  <c r="Y125" i="14"/>
  <c r="X125" i="14"/>
  <c r="W125" i="14"/>
  <c r="U125" i="14"/>
  <c r="V125" i="14" s="1"/>
  <c r="S125" i="14"/>
  <c r="Q125" i="14"/>
  <c r="E125" i="14"/>
  <c r="AC125" i="14" s="1"/>
  <c r="A125" i="14"/>
  <c r="AE125" i="14" s="1"/>
  <c r="AD124" i="14"/>
  <c r="AB124" i="14"/>
  <c r="AA124" i="14"/>
  <c r="Z124" i="14"/>
  <c r="Y124" i="14"/>
  <c r="X124" i="14"/>
  <c r="W124" i="14"/>
  <c r="U124" i="14"/>
  <c r="V124" i="14" s="1"/>
  <c r="T124" i="14"/>
  <c r="R124" i="14"/>
  <c r="Q124" i="14"/>
  <c r="E124" i="14"/>
  <c r="AC124" i="14" s="1"/>
  <c r="A124" i="14"/>
  <c r="P124" i="14" s="1"/>
  <c r="AD123" i="14"/>
  <c r="AB123" i="14"/>
  <c r="AA123" i="14"/>
  <c r="Z123" i="14"/>
  <c r="Y123" i="14"/>
  <c r="X123" i="14"/>
  <c r="W123" i="14"/>
  <c r="U123" i="14"/>
  <c r="V123" i="14" s="1"/>
  <c r="S123" i="14"/>
  <c r="Q123" i="14"/>
  <c r="E123" i="14"/>
  <c r="T123" i="14" s="1"/>
  <c r="A123" i="14"/>
  <c r="P123" i="14" s="1"/>
  <c r="AE122" i="14"/>
  <c r="AD122" i="14"/>
  <c r="AB122" i="14"/>
  <c r="AA122" i="14"/>
  <c r="Z122" i="14"/>
  <c r="Y122" i="14"/>
  <c r="X122" i="14"/>
  <c r="W122" i="14"/>
  <c r="V122" i="14"/>
  <c r="U122" i="14"/>
  <c r="Q122" i="14"/>
  <c r="E122" i="14"/>
  <c r="T122" i="14" s="1"/>
  <c r="A122" i="14"/>
  <c r="S122" i="14" s="1"/>
  <c r="AD121" i="14"/>
  <c r="AB121" i="14"/>
  <c r="AA121" i="14"/>
  <c r="Z121" i="14"/>
  <c r="Y121" i="14"/>
  <c r="X121" i="14"/>
  <c r="W121" i="14"/>
  <c r="U121" i="14"/>
  <c r="V121" i="14" s="1"/>
  <c r="Q121" i="14"/>
  <c r="E121" i="14"/>
  <c r="A121" i="14"/>
  <c r="AD120" i="14"/>
  <c r="AB120" i="14"/>
  <c r="AA120" i="14"/>
  <c r="Z120" i="14"/>
  <c r="Y120" i="14"/>
  <c r="X120" i="14"/>
  <c r="W120" i="14"/>
  <c r="U120" i="14"/>
  <c r="V120" i="14" s="1"/>
  <c r="T120" i="14"/>
  <c r="R120" i="14"/>
  <c r="Q120" i="14"/>
  <c r="E120" i="14"/>
  <c r="AC120" i="14" s="1"/>
  <c r="A120" i="14"/>
  <c r="AD119" i="14"/>
  <c r="AB119" i="14"/>
  <c r="AA119" i="14"/>
  <c r="Z119" i="14"/>
  <c r="Y119" i="14"/>
  <c r="X119" i="14"/>
  <c r="W119" i="14"/>
  <c r="U119" i="14"/>
  <c r="V119" i="14" s="1"/>
  <c r="Q119" i="14"/>
  <c r="E119" i="14"/>
  <c r="T119" i="14" s="1"/>
  <c r="A119" i="14"/>
  <c r="S119" i="14" s="1"/>
  <c r="AD118" i="14"/>
  <c r="AB118" i="14"/>
  <c r="AA118" i="14"/>
  <c r="Z118" i="14"/>
  <c r="Y118" i="14"/>
  <c r="X118" i="14"/>
  <c r="W118" i="14"/>
  <c r="U118" i="14"/>
  <c r="V118" i="14" s="1"/>
  <c r="Q118" i="14"/>
  <c r="E118" i="14"/>
  <c r="AC118" i="14" s="1"/>
  <c r="A118" i="14"/>
  <c r="S118" i="14" s="1"/>
  <c r="AD117" i="14"/>
  <c r="AB117" i="14"/>
  <c r="AA117" i="14"/>
  <c r="Z117" i="14"/>
  <c r="Y117" i="14"/>
  <c r="X117" i="14"/>
  <c r="W117" i="14"/>
  <c r="U117" i="14"/>
  <c r="V117" i="14" s="1"/>
  <c r="Q117" i="14"/>
  <c r="E117" i="14"/>
  <c r="AC117" i="14" s="1"/>
  <c r="A117" i="14"/>
  <c r="AE117" i="14" s="1"/>
  <c r="AD116" i="14"/>
  <c r="AC116" i="14"/>
  <c r="AB116" i="14"/>
  <c r="AA116" i="14"/>
  <c r="Z116" i="14"/>
  <c r="Y116" i="14"/>
  <c r="X116" i="14"/>
  <c r="W116" i="14"/>
  <c r="U116" i="14"/>
  <c r="V116" i="14" s="1"/>
  <c r="R116" i="14"/>
  <c r="Q116" i="14"/>
  <c r="E116" i="14"/>
  <c r="T116" i="14" s="1"/>
  <c r="A116" i="14"/>
  <c r="P116" i="14" s="1"/>
  <c r="AD115" i="14"/>
  <c r="AB115" i="14"/>
  <c r="AA115" i="14"/>
  <c r="Z115" i="14"/>
  <c r="Y115" i="14"/>
  <c r="X115" i="14"/>
  <c r="W115" i="14"/>
  <c r="U115" i="14"/>
  <c r="V115" i="14" s="1"/>
  <c r="Q115" i="14"/>
  <c r="E115" i="14"/>
  <c r="AC115" i="14" s="1"/>
  <c r="A115" i="14"/>
  <c r="AE115" i="14" s="1"/>
  <c r="AE114" i="14"/>
  <c r="AD114" i="14"/>
  <c r="AB114" i="14"/>
  <c r="AA114" i="14"/>
  <c r="Z114" i="14"/>
  <c r="Y114" i="14"/>
  <c r="X114" i="14"/>
  <c r="W114" i="14"/>
  <c r="U114" i="14"/>
  <c r="V114" i="14" s="1"/>
  <c r="Q114" i="14"/>
  <c r="E114" i="14"/>
  <c r="AC114" i="14" s="1"/>
  <c r="A114" i="14"/>
  <c r="S114" i="14" s="1"/>
  <c r="AE113" i="14"/>
  <c r="AD113" i="14"/>
  <c r="AB113" i="14"/>
  <c r="AA113" i="14"/>
  <c r="Z113" i="14"/>
  <c r="Y113" i="14"/>
  <c r="X113" i="14"/>
  <c r="W113" i="14"/>
  <c r="V113" i="14"/>
  <c r="U113" i="14"/>
  <c r="Q113" i="14"/>
  <c r="E113" i="14"/>
  <c r="A113" i="14"/>
  <c r="AD112" i="14"/>
  <c r="AC112" i="14"/>
  <c r="AB112" i="14"/>
  <c r="AA112" i="14"/>
  <c r="Z112" i="14"/>
  <c r="Y112" i="14"/>
  <c r="X112" i="14"/>
  <c r="W112" i="14"/>
  <c r="U112" i="14"/>
  <c r="V112" i="14" s="1"/>
  <c r="Q112" i="14"/>
  <c r="E112" i="14"/>
  <c r="T112" i="14" s="1"/>
  <c r="A112" i="14"/>
  <c r="P112" i="14" s="1"/>
  <c r="AD111" i="14"/>
  <c r="AC111" i="14"/>
  <c r="AB111" i="14"/>
  <c r="AA111" i="14"/>
  <c r="Z111" i="14"/>
  <c r="Y111" i="14"/>
  <c r="X111" i="14"/>
  <c r="W111" i="14"/>
  <c r="U111" i="14"/>
  <c r="V111" i="14" s="1"/>
  <c r="Q111" i="14"/>
  <c r="E111" i="14"/>
  <c r="T111" i="14" s="1"/>
  <c r="A111" i="14"/>
  <c r="S111" i="14" s="1"/>
  <c r="AD110" i="14"/>
  <c r="AB110" i="14"/>
  <c r="AA110" i="14"/>
  <c r="Z110" i="14"/>
  <c r="Y110" i="14"/>
  <c r="X110" i="14"/>
  <c r="W110" i="14"/>
  <c r="U110" i="14"/>
  <c r="V110" i="14" s="1"/>
  <c r="Q110" i="14"/>
  <c r="E110" i="14"/>
  <c r="AC110" i="14" s="1"/>
  <c r="A110" i="14"/>
  <c r="S110" i="14" s="1"/>
  <c r="AD109" i="14"/>
  <c r="AB109" i="14"/>
  <c r="AA109" i="14"/>
  <c r="Z109" i="14"/>
  <c r="Y109" i="14"/>
  <c r="X109" i="14"/>
  <c r="W109" i="14"/>
  <c r="V109" i="14"/>
  <c r="U109" i="14"/>
  <c r="T109" i="14"/>
  <c r="R109" i="14"/>
  <c r="Q109" i="14"/>
  <c r="E109" i="14"/>
  <c r="AC109" i="14" s="1"/>
  <c r="A109" i="14"/>
  <c r="AE109" i="14" s="1"/>
  <c r="AD108" i="14"/>
  <c r="AC108" i="14"/>
  <c r="AB108" i="14"/>
  <c r="AA108" i="14"/>
  <c r="Z108" i="14"/>
  <c r="Y108" i="14"/>
  <c r="X108" i="14"/>
  <c r="W108" i="14"/>
  <c r="U108" i="14"/>
  <c r="V108" i="14" s="1"/>
  <c r="T108" i="14"/>
  <c r="S108" i="14"/>
  <c r="R108" i="14"/>
  <c r="Q108" i="14"/>
  <c r="P108" i="14"/>
  <c r="E108" i="14"/>
  <c r="A108" i="14"/>
  <c r="AE108" i="14" s="1"/>
  <c r="AD107" i="14"/>
  <c r="AC107" i="14"/>
  <c r="AB107" i="14"/>
  <c r="AA107" i="14"/>
  <c r="Z107" i="14"/>
  <c r="Y107" i="14"/>
  <c r="X107" i="14"/>
  <c r="W107" i="14"/>
  <c r="U107" i="14"/>
  <c r="V107" i="14" s="1"/>
  <c r="T107" i="14"/>
  <c r="S107" i="14"/>
  <c r="R107" i="14"/>
  <c r="Q107" i="14"/>
  <c r="P107" i="14"/>
  <c r="E107" i="14"/>
  <c r="A107" i="14"/>
  <c r="AE107" i="14" s="1"/>
  <c r="AE106" i="14"/>
  <c r="AD106" i="14"/>
  <c r="AC106" i="14"/>
  <c r="AB106" i="14"/>
  <c r="AA106" i="14"/>
  <c r="Z106" i="14"/>
  <c r="Y106" i="14"/>
  <c r="X106" i="14"/>
  <c r="W106" i="14"/>
  <c r="U106" i="14"/>
  <c r="V106" i="14" s="1"/>
  <c r="T106" i="14"/>
  <c r="R106" i="14"/>
  <c r="Q106" i="14"/>
  <c r="E106" i="14"/>
  <c r="A106" i="14"/>
  <c r="S106" i="14" s="1"/>
  <c r="AD105" i="14"/>
  <c r="AB105" i="14"/>
  <c r="AA105" i="14"/>
  <c r="Z105" i="14"/>
  <c r="Y105" i="14"/>
  <c r="X105" i="14"/>
  <c r="W105" i="14"/>
  <c r="U105" i="14"/>
  <c r="V105" i="14" s="1"/>
  <c r="Q105" i="14"/>
  <c r="E105" i="14"/>
  <c r="T105" i="14" s="1"/>
  <c r="A105" i="14"/>
  <c r="AE105" i="14" s="1"/>
  <c r="AD104" i="14"/>
  <c r="AB104" i="14"/>
  <c r="AA104" i="14"/>
  <c r="Z104" i="14"/>
  <c r="Y104" i="14"/>
  <c r="X104" i="14"/>
  <c r="W104" i="14"/>
  <c r="U104" i="14"/>
  <c r="V104" i="14" s="1"/>
  <c r="Q104" i="14"/>
  <c r="E104" i="14"/>
  <c r="AC104" i="14" s="1"/>
  <c r="A104" i="14"/>
  <c r="P104" i="14" s="1"/>
  <c r="AD103" i="14"/>
  <c r="AB103" i="14"/>
  <c r="AA103" i="14"/>
  <c r="Z103" i="14"/>
  <c r="Y103" i="14"/>
  <c r="X103" i="14"/>
  <c r="W103" i="14"/>
  <c r="U103" i="14"/>
  <c r="V103" i="14" s="1"/>
  <c r="Q103" i="14"/>
  <c r="E103" i="14"/>
  <c r="T103" i="14" s="1"/>
  <c r="A103" i="14"/>
  <c r="S103" i="14" s="1"/>
  <c r="AD102" i="14"/>
  <c r="AB102" i="14"/>
  <c r="AA102" i="14"/>
  <c r="Z102" i="14"/>
  <c r="Y102" i="14"/>
  <c r="X102" i="14"/>
  <c r="W102" i="14"/>
  <c r="U102" i="14"/>
  <c r="V102" i="14" s="1"/>
  <c r="Q102" i="14"/>
  <c r="E102" i="14"/>
  <c r="AC102" i="14" s="1"/>
  <c r="A102" i="14"/>
  <c r="S102" i="14" s="1"/>
  <c r="AD101" i="14"/>
  <c r="AB101" i="14"/>
  <c r="AA101" i="14"/>
  <c r="Z101" i="14"/>
  <c r="Y101" i="14"/>
  <c r="X101" i="14"/>
  <c r="W101" i="14"/>
  <c r="U101" i="14"/>
  <c r="V101" i="14" s="1"/>
  <c r="T101" i="14"/>
  <c r="R101" i="14"/>
  <c r="Q101" i="14"/>
  <c r="E101" i="14"/>
  <c r="AC101" i="14" s="1"/>
  <c r="A101" i="14"/>
  <c r="AE101" i="14" s="1"/>
  <c r="AD100" i="14"/>
  <c r="AB100" i="14"/>
  <c r="AA100" i="14"/>
  <c r="Z100" i="14"/>
  <c r="Y100" i="14"/>
  <c r="X100" i="14"/>
  <c r="W100" i="14"/>
  <c r="U100" i="14"/>
  <c r="V100" i="14" s="1"/>
  <c r="T100" i="14"/>
  <c r="R100" i="14"/>
  <c r="Q100" i="14"/>
  <c r="E100" i="14"/>
  <c r="AC100" i="14" s="1"/>
  <c r="A100" i="14"/>
  <c r="AE100" i="14" s="1"/>
  <c r="AD99" i="14"/>
  <c r="AB99" i="14"/>
  <c r="AA99" i="14"/>
  <c r="Z99" i="14"/>
  <c r="Y99" i="14"/>
  <c r="X99" i="14"/>
  <c r="W99" i="14"/>
  <c r="U99" i="14"/>
  <c r="V99" i="14" s="1"/>
  <c r="T99" i="14"/>
  <c r="S99" i="14"/>
  <c r="R99" i="14"/>
  <c r="Q99" i="14"/>
  <c r="P99" i="14"/>
  <c r="E99" i="14"/>
  <c r="AC99" i="14" s="1"/>
  <c r="A99" i="14"/>
  <c r="AE99" i="14" s="1"/>
  <c r="AD98" i="14"/>
  <c r="AC98" i="14"/>
  <c r="AB98" i="14"/>
  <c r="AA98" i="14"/>
  <c r="Z98" i="14"/>
  <c r="Y98" i="14"/>
  <c r="X98" i="14"/>
  <c r="W98" i="14"/>
  <c r="U98" i="14"/>
  <c r="V98" i="14" s="1"/>
  <c r="T98" i="14"/>
  <c r="R98" i="14"/>
  <c r="Q98" i="14"/>
  <c r="P98" i="14"/>
  <c r="E98" i="14"/>
  <c r="A98" i="14"/>
  <c r="S98" i="14" s="1"/>
  <c r="AD97" i="14"/>
  <c r="AB97" i="14"/>
  <c r="AA97" i="14"/>
  <c r="Z97" i="14"/>
  <c r="Y97" i="14"/>
  <c r="X97" i="14"/>
  <c r="W97" i="14"/>
  <c r="U97" i="14"/>
  <c r="V97" i="14" s="1"/>
  <c r="Q97" i="14"/>
  <c r="E97" i="14"/>
  <c r="T97" i="14" s="1"/>
  <c r="A97" i="14"/>
  <c r="AE97" i="14" s="1"/>
  <c r="AD96" i="14"/>
  <c r="AB96" i="14"/>
  <c r="AA96" i="14"/>
  <c r="Z96" i="14"/>
  <c r="Y96" i="14"/>
  <c r="X96" i="14"/>
  <c r="W96" i="14"/>
  <c r="U96" i="14"/>
  <c r="V96" i="14" s="1"/>
  <c r="Q96" i="14"/>
  <c r="E96" i="14"/>
  <c r="AC96" i="14" s="1"/>
  <c r="A96" i="14"/>
  <c r="P96" i="14" s="1"/>
  <c r="AD95" i="14"/>
  <c r="AC95" i="14"/>
  <c r="AB95" i="14"/>
  <c r="AA95" i="14"/>
  <c r="Z95" i="14"/>
  <c r="Y95" i="14"/>
  <c r="X95" i="14"/>
  <c r="W95" i="14"/>
  <c r="U95" i="14"/>
  <c r="V95" i="14" s="1"/>
  <c r="Q95" i="14"/>
  <c r="E95" i="14"/>
  <c r="T95" i="14" s="1"/>
  <c r="A95" i="14"/>
  <c r="S95" i="14" s="1"/>
  <c r="AD94" i="14"/>
  <c r="AB94" i="14"/>
  <c r="AA94" i="14"/>
  <c r="Z94" i="14"/>
  <c r="Y94" i="14"/>
  <c r="X94" i="14"/>
  <c r="W94" i="14"/>
  <c r="U94" i="14"/>
  <c r="V94" i="14" s="1"/>
  <c r="Q94" i="14"/>
  <c r="E94" i="14"/>
  <c r="T94" i="14" s="1"/>
  <c r="A94" i="14"/>
  <c r="S94" i="14" s="1"/>
  <c r="AD93" i="14"/>
  <c r="AB93" i="14"/>
  <c r="AA93" i="14"/>
  <c r="Z93" i="14"/>
  <c r="Y93" i="14"/>
  <c r="X93" i="14"/>
  <c r="W93" i="14"/>
  <c r="U93" i="14"/>
  <c r="V93" i="14" s="1"/>
  <c r="S93" i="14"/>
  <c r="Q93" i="14"/>
  <c r="P93" i="14"/>
  <c r="E93" i="14"/>
  <c r="AC93" i="14" s="1"/>
  <c r="A93" i="14"/>
  <c r="AE93" i="14" s="1"/>
  <c r="AD92" i="14"/>
  <c r="AC92" i="14"/>
  <c r="AB92" i="14"/>
  <c r="AA92" i="14"/>
  <c r="Z92" i="14"/>
  <c r="Y92" i="14"/>
  <c r="X92" i="14"/>
  <c r="W92" i="14"/>
  <c r="V92" i="14"/>
  <c r="U92" i="14"/>
  <c r="T92" i="14"/>
  <c r="R92" i="14"/>
  <c r="Q92" i="14"/>
  <c r="P92" i="14"/>
  <c r="E92" i="14"/>
  <c r="A92" i="14"/>
  <c r="AE92" i="14" s="1"/>
  <c r="AD91" i="14"/>
  <c r="AC91" i="14"/>
  <c r="AB91" i="14"/>
  <c r="AA91" i="14"/>
  <c r="Z91" i="14"/>
  <c r="Y91" i="14"/>
  <c r="X91" i="14"/>
  <c r="W91" i="14"/>
  <c r="U91" i="14"/>
  <c r="V91" i="14" s="1"/>
  <c r="T91" i="14"/>
  <c r="S91" i="14"/>
  <c r="R91" i="14"/>
  <c r="Q91" i="14"/>
  <c r="P91" i="14"/>
  <c r="E91" i="14"/>
  <c r="A91" i="14"/>
  <c r="AE91" i="14" s="1"/>
  <c r="AE90" i="14"/>
  <c r="AD90" i="14"/>
  <c r="AB90" i="14"/>
  <c r="AA90" i="14"/>
  <c r="Z90" i="14"/>
  <c r="Y90" i="14"/>
  <c r="X90" i="14"/>
  <c r="W90" i="14"/>
  <c r="U90" i="14"/>
  <c r="V90" i="14" s="1"/>
  <c r="R90" i="14"/>
  <c r="Q90" i="14"/>
  <c r="P90" i="14"/>
  <c r="E90" i="14"/>
  <c r="T90" i="14" s="1"/>
  <c r="A90" i="14"/>
  <c r="S90" i="14" s="1"/>
  <c r="AD89" i="14"/>
  <c r="AB89" i="14"/>
  <c r="AA89" i="14"/>
  <c r="Z89" i="14"/>
  <c r="Y89" i="14"/>
  <c r="X89" i="14"/>
  <c r="W89" i="14"/>
  <c r="U89" i="14"/>
  <c r="V89" i="14" s="1"/>
  <c r="T89" i="14"/>
  <c r="Q89" i="14"/>
  <c r="E89" i="14"/>
  <c r="A89" i="14"/>
  <c r="AE89" i="14" s="1"/>
  <c r="AD88" i="14"/>
  <c r="AB88" i="14"/>
  <c r="AA88" i="14"/>
  <c r="Z88" i="14"/>
  <c r="Y88" i="14"/>
  <c r="X88" i="14"/>
  <c r="W88" i="14"/>
  <c r="V88" i="14"/>
  <c r="U88" i="14"/>
  <c r="R88" i="14"/>
  <c r="Q88" i="14"/>
  <c r="E88" i="14"/>
  <c r="AC88" i="14" s="1"/>
  <c r="A88" i="14"/>
  <c r="AE88" i="14" s="1"/>
  <c r="AD87" i="14"/>
  <c r="AB87" i="14"/>
  <c r="AA87" i="14"/>
  <c r="Z87" i="14"/>
  <c r="Y87" i="14"/>
  <c r="X87" i="14"/>
  <c r="W87" i="14"/>
  <c r="U87" i="14"/>
  <c r="V87" i="14" s="1"/>
  <c r="Q87" i="14"/>
  <c r="E87" i="14"/>
  <c r="T87" i="14" s="1"/>
  <c r="A87" i="14"/>
  <c r="S87" i="14" s="1"/>
  <c r="AE86" i="14"/>
  <c r="AD86" i="14"/>
  <c r="AB86" i="14"/>
  <c r="AA86" i="14"/>
  <c r="Z86" i="14"/>
  <c r="Y86" i="14"/>
  <c r="X86" i="14"/>
  <c r="W86" i="14"/>
  <c r="U86" i="14"/>
  <c r="V86" i="14" s="1"/>
  <c r="Q86" i="14"/>
  <c r="E86" i="14"/>
  <c r="T86" i="14" s="1"/>
  <c r="A86" i="14"/>
  <c r="S86" i="14" s="1"/>
  <c r="AD85" i="14"/>
  <c r="AB85" i="14"/>
  <c r="AA85" i="14"/>
  <c r="Z85" i="14"/>
  <c r="Y85" i="14"/>
  <c r="X85" i="14"/>
  <c r="W85" i="14"/>
  <c r="U85" i="14"/>
  <c r="V85" i="14" s="1"/>
  <c r="R85" i="14"/>
  <c r="Q85" i="14"/>
  <c r="E85" i="14"/>
  <c r="AC85" i="14" s="1"/>
  <c r="A85" i="14"/>
  <c r="S85" i="14" s="1"/>
  <c r="AD84" i="14"/>
  <c r="AC84" i="14"/>
  <c r="AB84" i="14"/>
  <c r="AA84" i="14"/>
  <c r="Z84" i="14"/>
  <c r="Y84" i="14"/>
  <c r="X84" i="14"/>
  <c r="W84" i="14"/>
  <c r="U84" i="14"/>
  <c r="V84" i="14" s="1"/>
  <c r="Q84" i="14"/>
  <c r="E84" i="14"/>
  <c r="T84" i="14" s="1"/>
  <c r="A84" i="14"/>
  <c r="AE84" i="14" s="1"/>
  <c r="AD83" i="14"/>
  <c r="AC83" i="14"/>
  <c r="AB83" i="14"/>
  <c r="AA83" i="14"/>
  <c r="Z83" i="14"/>
  <c r="Y83" i="14"/>
  <c r="X83" i="14"/>
  <c r="W83" i="14"/>
  <c r="U83" i="14"/>
  <c r="V83" i="14" s="1"/>
  <c r="T83" i="14"/>
  <c r="S83" i="14"/>
  <c r="Q83" i="14"/>
  <c r="P83" i="14"/>
  <c r="E83" i="14"/>
  <c r="R83" i="14" s="1"/>
  <c r="A83" i="14"/>
  <c r="AE83" i="14" s="1"/>
  <c r="AD82" i="14"/>
  <c r="AB82" i="14"/>
  <c r="AA82" i="14"/>
  <c r="Z82" i="14"/>
  <c r="Y82" i="14"/>
  <c r="X82" i="14"/>
  <c r="W82" i="14"/>
  <c r="V82" i="14"/>
  <c r="U82" i="14"/>
  <c r="Q82" i="14"/>
  <c r="E82" i="14"/>
  <c r="AC82" i="14" s="1"/>
  <c r="A82" i="14"/>
  <c r="S82" i="14" s="1"/>
  <c r="AD81" i="14"/>
  <c r="AB81" i="14"/>
  <c r="AA81" i="14"/>
  <c r="Z81" i="14"/>
  <c r="Y81" i="14"/>
  <c r="X81" i="14"/>
  <c r="W81" i="14"/>
  <c r="V81" i="14"/>
  <c r="U81" i="14"/>
  <c r="Q81" i="14"/>
  <c r="E81" i="14"/>
  <c r="A81" i="14"/>
  <c r="AD80" i="14"/>
  <c r="AB80" i="14"/>
  <c r="AA80" i="14"/>
  <c r="Z80" i="14"/>
  <c r="Y80" i="14"/>
  <c r="X80" i="14"/>
  <c r="W80" i="14"/>
  <c r="V80" i="14"/>
  <c r="U80" i="14"/>
  <c r="R80" i="14"/>
  <c r="Q80" i="14"/>
  <c r="E80" i="14"/>
  <c r="AC80" i="14" s="1"/>
  <c r="A80" i="14"/>
  <c r="AE80" i="14" s="1"/>
  <c r="AD79" i="14"/>
  <c r="AB79" i="14"/>
  <c r="AA79" i="14"/>
  <c r="Z79" i="14"/>
  <c r="Y79" i="14"/>
  <c r="X79" i="14"/>
  <c r="W79" i="14"/>
  <c r="U79" i="14"/>
  <c r="V79" i="14" s="1"/>
  <c r="Q79" i="14"/>
  <c r="E79" i="14"/>
  <c r="T79" i="14" s="1"/>
  <c r="A79" i="14"/>
  <c r="AE79" i="14" s="1"/>
  <c r="AD78" i="14"/>
  <c r="AB78" i="14"/>
  <c r="AA78" i="14"/>
  <c r="Z78" i="14"/>
  <c r="Y78" i="14"/>
  <c r="X78" i="14"/>
  <c r="W78" i="14"/>
  <c r="U78" i="14"/>
  <c r="V78" i="14" s="1"/>
  <c r="Q78" i="14"/>
  <c r="E78" i="14"/>
  <c r="AC78" i="14" s="1"/>
  <c r="A78" i="14"/>
  <c r="S78" i="14" s="1"/>
  <c r="AD77" i="14"/>
  <c r="AB77" i="14"/>
  <c r="AA77" i="14"/>
  <c r="Z77" i="14"/>
  <c r="Y77" i="14"/>
  <c r="X77" i="14"/>
  <c r="W77" i="14"/>
  <c r="U77" i="14"/>
  <c r="V77" i="14" s="1"/>
  <c r="S77" i="14"/>
  <c r="Q77" i="14"/>
  <c r="P77" i="14"/>
  <c r="E77" i="14"/>
  <c r="AC77" i="14" s="1"/>
  <c r="A77" i="14"/>
  <c r="AE77" i="14" s="1"/>
  <c r="AD76" i="14"/>
  <c r="AC76" i="14"/>
  <c r="AB76" i="14"/>
  <c r="AA76" i="14"/>
  <c r="Z76" i="14"/>
  <c r="Y76" i="14"/>
  <c r="X76" i="14"/>
  <c r="W76" i="14"/>
  <c r="V76" i="14"/>
  <c r="U76" i="14"/>
  <c r="T76" i="14"/>
  <c r="R76" i="14"/>
  <c r="Q76" i="14"/>
  <c r="E76" i="14"/>
  <c r="A76" i="14"/>
  <c r="AE76" i="14" s="1"/>
  <c r="AD75" i="14"/>
  <c r="AC75" i="14"/>
  <c r="AB75" i="14"/>
  <c r="AA75" i="14"/>
  <c r="Z75" i="14"/>
  <c r="Y75" i="14"/>
  <c r="X75" i="14"/>
  <c r="W75" i="14"/>
  <c r="U75" i="14"/>
  <c r="V75" i="14" s="1"/>
  <c r="T75" i="14"/>
  <c r="R75" i="14"/>
  <c r="Q75" i="14"/>
  <c r="E75" i="14"/>
  <c r="A75" i="14"/>
  <c r="AE75" i="14" s="1"/>
  <c r="AD74" i="14"/>
  <c r="AB74" i="14"/>
  <c r="AA74" i="14"/>
  <c r="Z74" i="14"/>
  <c r="Y74" i="14"/>
  <c r="X74" i="14"/>
  <c r="W74" i="14"/>
  <c r="U74" i="14"/>
  <c r="V74" i="14" s="1"/>
  <c r="T74" i="14"/>
  <c r="R74" i="14"/>
  <c r="Q74" i="14"/>
  <c r="E74" i="14"/>
  <c r="AC74" i="14" s="1"/>
  <c r="A74" i="14"/>
  <c r="S74" i="14" s="1"/>
  <c r="AD73" i="14"/>
  <c r="AB73" i="14"/>
  <c r="AA73" i="14"/>
  <c r="Z73" i="14"/>
  <c r="Y73" i="14"/>
  <c r="X73" i="14"/>
  <c r="W73" i="14"/>
  <c r="V73" i="14"/>
  <c r="U73" i="14"/>
  <c r="T73" i="14"/>
  <c r="Q73" i="14"/>
  <c r="E73" i="14"/>
  <c r="A73" i="14"/>
  <c r="AE73" i="14" s="1"/>
  <c r="AD72" i="14"/>
  <c r="AB72" i="14"/>
  <c r="AA72" i="14"/>
  <c r="Z72" i="14"/>
  <c r="Y72" i="14"/>
  <c r="X72" i="14"/>
  <c r="W72" i="14"/>
  <c r="U72" i="14"/>
  <c r="V72" i="14" s="1"/>
  <c r="T72" i="14"/>
  <c r="S72" i="14"/>
  <c r="R72" i="14"/>
  <c r="Q72" i="14"/>
  <c r="P72" i="14"/>
  <c r="E72" i="14"/>
  <c r="AC72" i="14" s="1"/>
  <c r="A72" i="14"/>
  <c r="AE72" i="14" s="1"/>
  <c r="AD71" i="14"/>
  <c r="AC71" i="14"/>
  <c r="AB71" i="14"/>
  <c r="AA71" i="14"/>
  <c r="Z71" i="14"/>
  <c r="Y71" i="14"/>
  <c r="X71" i="14"/>
  <c r="W71" i="14"/>
  <c r="U71" i="14"/>
  <c r="V71" i="14" s="1"/>
  <c r="S71" i="14"/>
  <c r="R71" i="14"/>
  <c r="Q71" i="14"/>
  <c r="P71" i="14"/>
  <c r="E71" i="14"/>
  <c r="T71" i="14" s="1"/>
  <c r="A71" i="14"/>
  <c r="AE71" i="14" s="1"/>
  <c r="AD70" i="14"/>
  <c r="AB70" i="14"/>
  <c r="AA70" i="14"/>
  <c r="Z70" i="14"/>
  <c r="Y70" i="14"/>
  <c r="X70" i="14"/>
  <c r="W70" i="14"/>
  <c r="U70" i="14"/>
  <c r="V70" i="14" s="1"/>
  <c r="T70" i="14"/>
  <c r="R70" i="14"/>
  <c r="Q70" i="14"/>
  <c r="P70" i="14"/>
  <c r="E70" i="14"/>
  <c r="AC70" i="14" s="1"/>
  <c r="A70" i="14"/>
  <c r="S70" i="14" s="1"/>
  <c r="AD69" i="14"/>
  <c r="AB69" i="14"/>
  <c r="AA69" i="14"/>
  <c r="Z69" i="14"/>
  <c r="Y69" i="14"/>
  <c r="X69" i="14"/>
  <c r="W69" i="14"/>
  <c r="U69" i="14"/>
  <c r="V69" i="14" s="1"/>
  <c r="T69" i="14"/>
  <c r="S69" i="14"/>
  <c r="R69" i="14"/>
  <c r="Q69" i="14"/>
  <c r="P69" i="14"/>
  <c r="E69" i="14"/>
  <c r="AC69" i="14" s="1"/>
  <c r="A69" i="14"/>
  <c r="AE69" i="14" s="1"/>
  <c r="AD68" i="14"/>
  <c r="AB68" i="14"/>
  <c r="AA68" i="14"/>
  <c r="Z68" i="14"/>
  <c r="Y68" i="14"/>
  <c r="X68" i="14"/>
  <c r="W68" i="14"/>
  <c r="U68" i="14"/>
  <c r="V68" i="14" s="1"/>
  <c r="T68" i="14"/>
  <c r="S68" i="14"/>
  <c r="R68" i="14"/>
  <c r="Q68" i="14"/>
  <c r="P68" i="14"/>
  <c r="E68" i="14"/>
  <c r="AC68" i="14" s="1"/>
  <c r="A68" i="14"/>
  <c r="AE68" i="14" s="1"/>
  <c r="AD67" i="14"/>
  <c r="AB67" i="14"/>
  <c r="AA67" i="14"/>
  <c r="Z67" i="14"/>
  <c r="Y67" i="14"/>
  <c r="X67" i="14"/>
  <c r="W67" i="14"/>
  <c r="U67" i="14"/>
  <c r="V67" i="14" s="1"/>
  <c r="T67" i="14"/>
  <c r="S67" i="14"/>
  <c r="R67" i="14"/>
  <c r="Q67" i="14"/>
  <c r="P67" i="14"/>
  <c r="E67" i="14"/>
  <c r="AC67" i="14" s="1"/>
  <c r="A67" i="14"/>
  <c r="AE67" i="14" s="1"/>
  <c r="AD66" i="14"/>
  <c r="AB66" i="14"/>
  <c r="AA66" i="14"/>
  <c r="Z66" i="14"/>
  <c r="Y66" i="14"/>
  <c r="X66" i="14"/>
  <c r="W66" i="14"/>
  <c r="V66" i="14"/>
  <c r="U66" i="14"/>
  <c r="Q66" i="14"/>
  <c r="P66" i="14"/>
  <c r="E66" i="14"/>
  <c r="T66" i="14" s="1"/>
  <c r="A66" i="14"/>
  <c r="S66" i="14" s="1"/>
  <c r="AD65" i="14"/>
  <c r="AB65" i="14"/>
  <c r="AA65" i="14"/>
  <c r="Z65" i="14"/>
  <c r="Y65" i="14"/>
  <c r="X65" i="14"/>
  <c r="W65" i="14"/>
  <c r="U65" i="14"/>
  <c r="V65" i="14" s="1"/>
  <c r="Q65" i="14"/>
  <c r="E65" i="14"/>
  <c r="T65" i="14" s="1"/>
  <c r="A65" i="14"/>
  <c r="AE65" i="14" s="1"/>
  <c r="AD64" i="14"/>
  <c r="AB64" i="14"/>
  <c r="AA64" i="14"/>
  <c r="Z64" i="14"/>
  <c r="Y64" i="14"/>
  <c r="X64" i="14"/>
  <c r="W64" i="14"/>
  <c r="V64" i="14"/>
  <c r="U64" i="14"/>
  <c r="S64" i="14"/>
  <c r="Q64" i="14"/>
  <c r="E64" i="14"/>
  <c r="AC64" i="14" s="1"/>
  <c r="A64" i="14"/>
  <c r="AE64" i="14" s="1"/>
  <c r="AE63" i="14"/>
  <c r="AD63" i="14"/>
  <c r="AB63" i="14"/>
  <c r="AA63" i="14"/>
  <c r="Z63" i="14"/>
  <c r="Y63" i="14"/>
  <c r="X63" i="14"/>
  <c r="W63" i="14"/>
  <c r="U63" i="14"/>
  <c r="V63" i="14" s="1"/>
  <c r="Q63" i="14"/>
  <c r="E63" i="14"/>
  <c r="T63" i="14" s="1"/>
  <c r="A63" i="14"/>
  <c r="S63" i="14" s="1"/>
  <c r="AE62" i="14"/>
  <c r="AD62" i="14"/>
  <c r="AC62" i="14"/>
  <c r="AB62" i="14"/>
  <c r="AA62" i="14"/>
  <c r="Z62" i="14"/>
  <c r="Y62" i="14"/>
  <c r="X62" i="14"/>
  <c r="W62" i="14"/>
  <c r="U62" i="14"/>
  <c r="V62" i="14" s="1"/>
  <c r="Q62" i="14"/>
  <c r="E62" i="14"/>
  <c r="T62" i="14" s="1"/>
  <c r="A62" i="14"/>
  <c r="S62" i="14" s="1"/>
  <c r="AD61" i="14"/>
  <c r="AB61" i="14"/>
  <c r="AA61" i="14"/>
  <c r="Z61" i="14"/>
  <c r="Y61" i="14"/>
  <c r="X61" i="14"/>
  <c r="W61" i="14"/>
  <c r="V61" i="14"/>
  <c r="U61" i="14"/>
  <c r="Q61" i="14"/>
  <c r="E61" i="14"/>
  <c r="AC61" i="14" s="1"/>
  <c r="A61" i="14"/>
  <c r="S61" i="14" s="1"/>
  <c r="AD60" i="14"/>
  <c r="AC60" i="14"/>
  <c r="AB60" i="14"/>
  <c r="AA60" i="14"/>
  <c r="Z60" i="14"/>
  <c r="Y60" i="14"/>
  <c r="X60" i="14"/>
  <c r="W60" i="14"/>
  <c r="U60" i="14"/>
  <c r="V60" i="14" s="1"/>
  <c r="T60" i="14"/>
  <c r="R60" i="14"/>
  <c r="Q60" i="14"/>
  <c r="E60" i="14"/>
  <c r="A60" i="14"/>
  <c r="AE60" i="14" s="1"/>
  <c r="AD59" i="14"/>
  <c r="AC59" i="14"/>
  <c r="AB59" i="14"/>
  <c r="AA59" i="14"/>
  <c r="Z59" i="14"/>
  <c r="Y59" i="14"/>
  <c r="X59" i="14"/>
  <c r="W59" i="14"/>
  <c r="U59" i="14"/>
  <c r="V59" i="14" s="1"/>
  <c r="T59" i="14"/>
  <c r="S59" i="14"/>
  <c r="R59" i="14"/>
  <c r="Q59" i="14"/>
  <c r="P59" i="14"/>
  <c r="E59" i="14"/>
  <c r="A59" i="14"/>
  <c r="AE59" i="14" s="1"/>
  <c r="AE58" i="14"/>
  <c r="AD58" i="14"/>
  <c r="AB58" i="14"/>
  <c r="AA58" i="14"/>
  <c r="Z58" i="14"/>
  <c r="Y58" i="14"/>
  <c r="X58" i="14"/>
  <c r="W58" i="14"/>
  <c r="V58" i="14"/>
  <c r="U58" i="14"/>
  <c r="Q58" i="14"/>
  <c r="P58" i="14"/>
  <c r="E58" i="14"/>
  <c r="T58" i="14" s="1"/>
  <c r="A58" i="14"/>
  <c r="S58" i="14" s="1"/>
  <c r="AD57" i="14"/>
  <c r="AB57" i="14"/>
  <c r="AA57" i="14"/>
  <c r="Z57" i="14"/>
  <c r="Y57" i="14"/>
  <c r="X57" i="14"/>
  <c r="W57" i="14"/>
  <c r="V57" i="14"/>
  <c r="U57" i="14"/>
  <c r="Q57" i="14"/>
  <c r="E57" i="14"/>
  <c r="A57" i="14"/>
  <c r="AE57" i="14" s="1"/>
  <c r="AD56" i="14"/>
  <c r="AB56" i="14"/>
  <c r="AA56" i="14"/>
  <c r="Z56" i="14"/>
  <c r="Y56" i="14"/>
  <c r="X56" i="14"/>
  <c r="W56" i="14"/>
  <c r="V56" i="14"/>
  <c r="U56" i="14"/>
  <c r="R56" i="14"/>
  <c r="Q56" i="14"/>
  <c r="E56" i="14"/>
  <c r="AC56" i="14" s="1"/>
  <c r="A56" i="14"/>
  <c r="AE56" i="14" s="1"/>
  <c r="AE55" i="14"/>
  <c r="AD55" i="14"/>
  <c r="AC55" i="14"/>
  <c r="AB55" i="14"/>
  <c r="AA55" i="14"/>
  <c r="Z55" i="14"/>
  <c r="Y55" i="14"/>
  <c r="X55" i="14"/>
  <c r="W55" i="14"/>
  <c r="U55" i="14"/>
  <c r="V55" i="14" s="1"/>
  <c r="Q55" i="14"/>
  <c r="E55" i="14"/>
  <c r="T55" i="14" s="1"/>
  <c r="A55" i="14"/>
  <c r="S55" i="14" s="1"/>
  <c r="AE54" i="14"/>
  <c r="AD54" i="14"/>
  <c r="AC54" i="14"/>
  <c r="AB54" i="14"/>
  <c r="AA54" i="14"/>
  <c r="Z54" i="14"/>
  <c r="Y54" i="14"/>
  <c r="X54" i="14"/>
  <c r="W54" i="14"/>
  <c r="U54" i="14"/>
  <c r="V54" i="14" s="1"/>
  <c r="Q54" i="14"/>
  <c r="E54" i="14"/>
  <c r="T54" i="14" s="1"/>
  <c r="A54" i="14"/>
  <c r="S54" i="14" s="1"/>
  <c r="AD53" i="14"/>
  <c r="AB53" i="14"/>
  <c r="AA53" i="14"/>
  <c r="Z53" i="14"/>
  <c r="Y53" i="14"/>
  <c r="X53" i="14"/>
  <c r="W53" i="14"/>
  <c r="V53" i="14"/>
  <c r="U53" i="14"/>
  <c r="Q53" i="14"/>
  <c r="E53" i="14"/>
  <c r="AC53" i="14" s="1"/>
  <c r="A53" i="14"/>
  <c r="S53" i="14" s="1"/>
  <c r="AD52" i="14"/>
  <c r="AC52" i="14"/>
  <c r="AB52" i="14"/>
  <c r="AA52" i="14"/>
  <c r="Z52" i="14"/>
  <c r="Y52" i="14"/>
  <c r="X52" i="14"/>
  <c r="W52" i="14"/>
  <c r="U52" i="14"/>
  <c r="V52" i="14" s="1"/>
  <c r="T52" i="14"/>
  <c r="S52" i="14"/>
  <c r="R52" i="14"/>
  <c r="Q52" i="14"/>
  <c r="P52" i="14"/>
  <c r="E52" i="14"/>
  <c r="A52" i="14"/>
  <c r="AE52" i="14" s="1"/>
  <c r="AD51" i="14"/>
  <c r="AC51" i="14"/>
  <c r="AB51" i="14"/>
  <c r="AA51" i="14"/>
  <c r="Z51" i="14"/>
  <c r="Y51" i="14"/>
  <c r="X51" i="14"/>
  <c r="W51" i="14"/>
  <c r="U51" i="14"/>
  <c r="V51" i="14" s="1"/>
  <c r="T51" i="14"/>
  <c r="S51" i="14"/>
  <c r="R51" i="14"/>
  <c r="Q51" i="14"/>
  <c r="P51" i="14"/>
  <c r="E51" i="14"/>
  <c r="A51" i="14"/>
  <c r="AE51" i="14" s="1"/>
  <c r="AE50" i="14"/>
  <c r="AD50" i="14"/>
  <c r="AB50" i="14"/>
  <c r="AA50" i="14"/>
  <c r="Z50" i="14"/>
  <c r="Y50" i="14"/>
  <c r="X50" i="14"/>
  <c r="W50" i="14"/>
  <c r="U50" i="14"/>
  <c r="V50" i="14" s="1"/>
  <c r="R50" i="14"/>
  <c r="Q50" i="14"/>
  <c r="P50" i="14"/>
  <c r="E50" i="14"/>
  <c r="T50" i="14" s="1"/>
  <c r="A50" i="14"/>
  <c r="S50" i="14" s="1"/>
  <c r="AD49" i="14"/>
  <c r="AB49" i="14"/>
  <c r="AA49" i="14"/>
  <c r="Z49" i="14"/>
  <c r="Y49" i="14"/>
  <c r="X49" i="14"/>
  <c r="W49" i="14"/>
  <c r="U49" i="14"/>
  <c r="V49" i="14" s="1"/>
  <c r="Q49" i="14"/>
  <c r="E49" i="14"/>
  <c r="A49" i="14"/>
  <c r="AE49" i="14" s="1"/>
  <c r="AD48" i="14"/>
  <c r="AB48" i="14"/>
  <c r="AA48" i="14"/>
  <c r="Z48" i="14"/>
  <c r="Y48" i="14"/>
  <c r="X48" i="14"/>
  <c r="W48" i="14"/>
  <c r="U48" i="14"/>
  <c r="V48" i="14" s="1"/>
  <c r="Q48" i="14"/>
  <c r="P48" i="14"/>
  <c r="E48" i="14"/>
  <c r="AC48" i="14" s="1"/>
  <c r="A48" i="14"/>
  <c r="AE48" i="14" s="1"/>
  <c r="AD47" i="14"/>
  <c r="AB47" i="14"/>
  <c r="AA47" i="14"/>
  <c r="Z47" i="14"/>
  <c r="Y47" i="14"/>
  <c r="X47" i="14"/>
  <c r="W47" i="14"/>
  <c r="U47" i="14"/>
  <c r="V47" i="14" s="1"/>
  <c r="Q47" i="14"/>
  <c r="P47" i="14"/>
  <c r="E47" i="14"/>
  <c r="T47" i="14" s="1"/>
  <c r="A47" i="14"/>
  <c r="S47" i="14" s="1"/>
  <c r="AD46" i="14"/>
  <c r="AB46" i="14"/>
  <c r="AA46" i="14"/>
  <c r="Z46" i="14"/>
  <c r="Y46" i="14"/>
  <c r="X46" i="14"/>
  <c r="W46" i="14"/>
  <c r="U46" i="14"/>
  <c r="V46" i="14" s="1"/>
  <c r="Q46" i="14"/>
  <c r="P46" i="14"/>
  <c r="E46" i="14"/>
  <c r="AC46" i="14" s="1"/>
  <c r="A46" i="14"/>
  <c r="S46" i="14" s="1"/>
  <c r="AD45" i="14"/>
  <c r="AB45" i="14"/>
  <c r="AA45" i="14"/>
  <c r="Z45" i="14"/>
  <c r="Y45" i="14"/>
  <c r="X45" i="14"/>
  <c r="W45" i="14"/>
  <c r="V45" i="14"/>
  <c r="U45" i="14"/>
  <c r="Q45" i="14"/>
  <c r="E45" i="14"/>
  <c r="AC45" i="14" s="1"/>
  <c r="A45" i="14"/>
  <c r="S45" i="14" s="1"/>
  <c r="AD44" i="14"/>
  <c r="AC44" i="14"/>
  <c r="AB44" i="14"/>
  <c r="AA44" i="14"/>
  <c r="Z44" i="14"/>
  <c r="Y44" i="14"/>
  <c r="X44" i="14"/>
  <c r="W44" i="14"/>
  <c r="U44" i="14"/>
  <c r="V44" i="14" s="1"/>
  <c r="Q44" i="14"/>
  <c r="E44" i="14"/>
  <c r="T44" i="14" s="1"/>
  <c r="A44" i="14"/>
  <c r="AE44" i="14" s="1"/>
  <c r="AD43" i="14"/>
  <c r="AC43" i="14"/>
  <c r="AB43" i="14"/>
  <c r="AA43" i="14"/>
  <c r="Z43" i="14"/>
  <c r="Y43" i="14"/>
  <c r="X43" i="14"/>
  <c r="W43" i="14"/>
  <c r="U43" i="14"/>
  <c r="V43" i="14" s="1"/>
  <c r="Q43" i="14"/>
  <c r="E43" i="14"/>
  <c r="T43" i="14" s="1"/>
  <c r="A43" i="14"/>
  <c r="AE43" i="14" s="1"/>
  <c r="AE42" i="14"/>
  <c r="AD42" i="14"/>
  <c r="AB42" i="14"/>
  <c r="AA42" i="14"/>
  <c r="Z42" i="14"/>
  <c r="Y42" i="14"/>
  <c r="X42" i="14"/>
  <c r="W42" i="14"/>
  <c r="U42" i="14"/>
  <c r="V42" i="14" s="1"/>
  <c r="Q42" i="14"/>
  <c r="P42" i="14"/>
  <c r="E42" i="14"/>
  <c r="AC42" i="14" s="1"/>
  <c r="A42" i="14"/>
  <c r="S42" i="14" s="1"/>
  <c r="AD41" i="14"/>
  <c r="AB41" i="14"/>
  <c r="AA41" i="14"/>
  <c r="Z41" i="14"/>
  <c r="Y41" i="14"/>
  <c r="X41" i="14"/>
  <c r="W41" i="14"/>
  <c r="V41" i="14"/>
  <c r="U41" i="14"/>
  <c r="Q41" i="14"/>
  <c r="E41" i="14"/>
  <c r="A41" i="14"/>
  <c r="AD40" i="14"/>
  <c r="AB40" i="14"/>
  <c r="AA40" i="14"/>
  <c r="Z40" i="14"/>
  <c r="Y40" i="14"/>
  <c r="X40" i="14"/>
  <c r="W40" i="14"/>
  <c r="U40" i="14"/>
  <c r="V40" i="14" s="1"/>
  <c r="T40" i="14"/>
  <c r="R40" i="14"/>
  <c r="Q40" i="14"/>
  <c r="E40" i="14"/>
  <c r="AC40" i="14" s="1"/>
  <c r="A40" i="14"/>
  <c r="AE40" i="14" s="1"/>
  <c r="AD39" i="14"/>
  <c r="AB39" i="14"/>
  <c r="AA39" i="14"/>
  <c r="Z39" i="14"/>
  <c r="Y39" i="14"/>
  <c r="X39" i="14"/>
  <c r="W39" i="14"/>
  <c r="U39" i="14"/>
  <c r="V39" i="14" s="1"/>
  <c r="Q39" i="14"/>
  <c r="E39" i="14"/>
  <c r="T39" i="14" s="1"/>
  <c r="A39" i="14"/>
  <c r="S39" i="14" s="1"/>
  <c r="AE38" i="14"/>
  <c r="AD38" i="14"/>
  <c r="AB38" i="14"/>
  <c r="AA38" i="14"/>
  <c r="Z38" i="14"/>
  <c r="Y38" i="14"/>
  <c r="X38" i="14"/>
  <c r="W38" i="14"/>
  <c r="U38" i="14"/>
  <c r="V38" i="14" s="1"/>
  <c r="Q38" i="14"/>
  <c r="E38" i="14"/>
  <c r="AC38" i="14" s="1"/>
  <c r="A38" i="14"/>
  <c r="S38" i="14" s="1"/>
  <c r="AD37" i="14"/>
  <c r="AB37" i="14"/>
  <c r="AA37" i="14"/>
  <c r="Z37" i="14"/>
  <c r="Y37" i="14"/>
  <c r="X37" i="14"/>
  <c r="W37" i="14"/>
  <c r="V37" i="14"/>
  <c r="U37" i="14"/>
  <c r="Q37" i="14"/>
  <c r="E37" i="14"/>
  <c r="AC37" i="14" s="1"/>
  <c r="A37" i="14"/>
  <c r="AE37" i="14" s="1"/>
  <c r="AD36" i="14"/>
  <c r="AB36" i="14"/>
  <c r="AA36" i="14"/>
  <c r="Z36" i="14"/>
  <c r="Y36" i="14"/>
  <c r="X36" i="14"/>
  <c r="W36" i="14"/>
  <c r="U36" i="14"/>
  <c r="V36" i="14" s="1"/>
  <c r="T36" i="14"/>
  <c r="S36" i="14"/>
  <c r="R36" i="14"/>
  <c r="Q36" i="14"/>
  <c r="E36" i="14"/>
  <c r="AC36" i="14" s="1"/>
  <c r="A36" i="14"/>
  <c r="AE36" i="14" s="1"/>
  <c r="AD35" i="14"/>
  <c r="AB35" i="14"/>
  <c r="AA35" i="14"/>
  <c r="Z35" i="14"/>
  <c r="Y35" i="14"/>
  <c r="X35" i="14"/>
  <c r="W35" i="14"/>
  <c r="V35" i="14"/>
  <c r="U35" i="14"/>
  <c r="T35" i="14"/>
  <c r="S35" i="14"/>
  <c r="Q35" i="14"/>
  <c r="P35" i="14"/>
  <c r="E35" i="14"/>
  <c r="R35" i="14" s="1"/>
  <c r="A35" i="14"/>
  <c r="AE35" i="14" s="1"/>
  <c r="AD34" i="14"/>
  <c r="AC34" i="14"/>
  <c r="AB34" i="14"/>
  <c r="AA34" i="14"/>
  <c r="Z34" i="14"/>
  <c r="Y34" i="14"/>
  <c r="X34" i="14"/>
  <c r="W34" i="14"/>
  <c r="U34" i="14"/>
  <c r="V34" i="14" s="1"/>
  <c r="T34" i="14"/>
  <c r="Q34" i="14"/>
  <c r="P34" i="14"/>
  <c r="E34" i="14"/>
  <c r="R34" i="14" s="1"/>
  <c r="A34" i="14"/>
  <c r="S34" i="14" s="1"/>
  <c r="AD33" i="14"/>
  <c r="AB33" i="14"/>
  <c r="AA33" i="14"/>
  <c r="Z33" i="14"/>
  <c r="Y33" i="14"/>
  <c r="X33" i="14"/>
  <c r="W33" i="14"/>
  <c r="V33" i="14"/>
  <c r="U33" i="14"/>
  <c r="Q33" i="14"/>
  <c r="E33" i="14"/>
  <c r="T33" i="14" s="1"/>
  <c r="A33" i="14"/>
  <c r="AE33" i="14" s="1"/>
  <c r="AD32" i="14"/>
  <c r="AC32" i="14"/>
  <c r="AB32" i="14"/>
  <c r="AA32" i="14"/>
  <c r="Z32" i="14"/>
  <c r="Y32" i="14"/>
  <c r="X32" i="14"/>
  <c r="W32" i="14"/>
  <c r="U32" i="14"/>
  <c r="V32" i="14" s="1"/>
  <c r="T32" i="14"/>
  <c r="S32" i="14"/>
  <c r="R32" i="14"/>
  <c r="Q32" i="14"/>
  <c r="P32" i="14"/>
  <c r="E32" i="14"/>
  <c r="A32" i="14"/>
  <c r="AE32" i="14" s="1"/>
  <c r="AD31" i="14"/>
  <c r="AB31" i="14"/>
  <c r="AA31" i="14"/>
  <c r="Z31" i="14"/>
  <c r="Y31" i="14"/>
  <c r="X31" i="14"/>
  <c r="W31" i="14"/>
  <c r="U31" i="14"/>
  <c r="V31" i="14" s="1"/>
  <c r="S31" i="14"/>
  <c r="R31" i="14"/>
  <c r="Q31" i="14"/>
  <c r="P31" i="14"/>
  <c r="E31" i="14"/>
  <c r="T31" i="14" s="1"/>
  <c r="A31" i="14"/>
  <c r="AE31" i="14" s="1"/>
  <c r="AD30" i="14"/>
  <c r="AB30" i="14"/>
  <c r="AA30" i="14"/>
  <c r="Z30" i="14"/>
  <c r="Y30" i="14"/>
  <c r="X30" i="14"/>
  <c r="W30" i="14"/>
  <c r="U30" i="14"/>
  <c r="V30" i="14" s="1"/>
  <c r="T30" i="14"/>
  <c r="R30" i="14"/>
  <c r="Q30" i="14"/>
  <c r="P30" i="14"/>
  <c r="E30" i="14"/>
  <c r="AC30" i="14" s="1"/>
  <c r="A30" i="14"/>
  <c r="S30" i="14" s="1"/>
  <c r="AD29" i="14"/>
  <c r="AB29" i="14"/>
  <c r="AA29" i="14"/>
  <c r="Z29" i="14"/>
  <c r="Y29" i="14"/>
  <c r="X29" i="14"/>
  <c r="W29" i="14"/>
  <c r="U29" i="14"/>
  <c r="V29" i="14" s="1"/>
  <c r="T29" i="14"/>
  <c r="S29" i="14"/>
  <c r="R29" i="14"/>
  <c r="Q29" i="14"/>
  <c r="P29" i="14"/>
  <c r="E29" i="14"/>
  <c r="AC29" i="14" s="1"/>
  <c r="A29" i="14"/>
  <c r="AE29" i="14" s="1"/>
  <c r="AD28" i="14"/>
  <c r="AB28" i="14"/>
  <c r="AA28" i="14"/>
  <c r="Z28" i="14"/>
  <c r="Y28" i="14"/>
  <c r="X28" i="14"/>
  <c r="W28" i="14"/>
  <c r="U28" i="14"/>
  <c r="V28" i="14" s="1"/>
  <c r="T28" i="14"/>
  <c r="S28" i="14"/>
  <c r="R28" i="14"/>
  <c r="Q28" i="14"/>
  <c r="P28" i="14"/>
  <c r="E28" i="14"/>
  <c r="AC28" i="14" s="1"/>
  <c r="A28" i="14"/>
  <c r="AE28" i="14" s="1"/>
  <c r="AD27" i="14"/>
  <c r="AB27" i="14"/>
  <c r="AA27" i="14"/>
  <c r="Z27" i="14"/>
  <c r="Y27" i="14"/>
  <c r="X27" i="14"/>
  <c r="W27" i="14"/>
  <c r="U27" i="14"/>
  <c r="V27" i="14" s="1"/>
  <c r="T27" i="14"/>
  <c r="S27" i="14"/>
  <c r="R27" i="14"/>
  <c r="Q27" i="14"/>
  <c r="P27" i="14"/>
  <c r="E27" i="14"/>
  <c r="AC27" i="14" s="1"/>
  <c r="A27" i="14"/>
  <c r="AE27" i="14" s="1"/>
  <c r="AE26" i="14"/>
  <c r="AD26" i="14"/>
  <c r="AB26" i="14"/>
  <c r="AA26" i="14"/>
  <c r="Z26" i="14"/>
  <c r="Y26" i="14"/>
  <c r="X26" i="14"/>
  <c r="W26" i="14"/>
  <c r="U26" i="14"/>
  <c r="V26" i="14" s="1"/>
  <c r="T26" i="14"/>
  <c r="R26" i="14"/>
  <c r="Q26" i="14"/>
  <c r="P26" i="14"/>
  <c r="E26" i="14"/>
  <c r="AC26" i="14" s="1"/>
  <c r="A26" i="14"/>
  <c r="S26" i="14" s="1"/>
  <c r="AE25" i="14"/>
  <c r="AD25" i="14"/>
  <c r="AB25" i="14"/>
  <c r="AA25" i="14"/>
  <c r="Z25" i="14"/>
  <c r="Y25" i="14"/>
  <c r="X25" i="14"/>
  <c r="W25" i="14"/>
  <c r="U25" i="14"/>
  <c r="V25" i="14" s="1"/>
  <c r="R25" i="14"/>
  <c r="Q25" i="14"/>
  <c r="E25" i="14"/>
  <c r="AC25" i="14" s="1"/>
  <c r="A25" i="14"/>
  <c r="AD24" i="14"/>
  <c r="AB24" i="14"/>
  <c r="AA24" i="14"/>
  <c r="Z24" i="14"/>
  <c r="Y24" i="14"/>
  <c r="X24" i="14"/>
  <c r="W24" i="14"/>
  <c r="U24" i="14"/>
  <c r="V24" i="14" s="1"/>
  <c r="S24" i="14"/>
  <c r="R24" i="14"/>
  <c r="Q24" i="14"/>
  <c r="E24" i="14"/>
  <c r="AC24" i="14" s="1"/>
  <c r="A24" i="14"/>
  <c r="AE24" i="14" s="1"/>
  <c r="AD23" i="14"/>
  <c r="AB23" i="14"/>
  <c r="AA23" i="14"/>
  <c r="Z23" i="14"/>
  <c r="Y23" i="14"/>
  <c r="X23" i="14"/>
  <c r="W23" i="14"/>
  <c r="U23" i="14"/>
  <c r="V23" i="14" s="1"/>
  <c r="Q23" i="14"/>
  <c r="E23" i="14"/>
  <c r="T23" i="14" s="1"/>
  <c r="A23" i="14"/>
  <c r="S23" i="14" s="1"/>
  <c r="AE22" i="14"/>
  <c r="AD22" i="14"/>
  <c r="AB22" i="14"/>
  <c r="AA22" i="14"/>
  <c r="Z22" i="14"/>
  <c r="Y22" i="14"/>
  <c r="X22" i="14"/>
  <c r="W22" i="14"/>
  <c r="U22" i="14"/>
  <c r="V22" i="14" s="1"/>
  <c r="Q22" i="14"/>
  <c r="E22" i="14"/>
  <c r="R22" i="14" s="1"/>
  <c r="A22" i="14"/>
  <c r="S22" i="14" s="1"/>
  <c r="AD21" i="14"/>
  <c r="AB21" i="14"/>
  <c r="AA21" i="14"/>
  <c r="Z21" i="14"/>
  <c r="Y21" i="14"/>
  <c r="X21" i="14"/>
  <c r="W21" i="14"/>
  <c r="U21" i="14"/>
  <c r="V21" i="14" s="1"/>
  <c r="Q21" i="14"/>
  <c r="E21" i="14"/>
  <c r="AC21" i="14" s="1"/>
  <c r="A21" i="14"/>
  <c r="S21" i="14" s="1"/>
  <c r="AD20" i="14"/>
  <c r="AC20" i="14"/>
  <c r="AB20" i="14"/>
  <c r="AA20" i="14"/>
  <c r="Z20" i="14"/>
  <c r="Y20" i="14"/>
  <c r="X20" i="14"/>
  <c r="W20" i="14"/>
  <c r="U20" i="14"/>
  <c r="V20" i="14" s="1"/>
  <c r="T20" i="14"/>
  <c r="Q20" i="14"/>
  <c r="E20" i="14"/>
  <c r="R20" i="14" s="1"/>
  <c r="A20" i="14"/>
  <c r="AE20" i="14" s="1"/>
  <c r="AD19" i="14"/>
  <c r="AC19" i="14"/>
  <c r="AB19" i="14"/>
  <c r="AA19" i="14"/>
  <c r="Z19" i="14"/>
  <c r="Y19" i="14"/>
  <c r="X19" i="14"/>
  <c r="W19" i="14"/>
  <c r="V19" i="14"/>
  <c r="U19" i="14"/>
  <c r="T19" i="14"/>
  <c r="R19" i="14"/>
  <c r="Q19" i="14"/>
  <c r="E19" i="14"/>
  <c r="A19" i="14"/>
  <c r="AE19" i="14" s="1"/>
  <c r="AD18" i="14"/>
  <c r="AB18" i="14"/>
  <c r="AA18" i="14"/>
  <c r="Z18" i="14"/>
  <c r="Y18" i="14"/>
  <c r="X18" i="14"/>
  <c r="W18" i="14"/>
  <c r="U18" i="14"/>
  <c r="V18" i="14" s="1"/>
  <c r="Q18" i="14"/>
  <c r="E18" i="14"/>
  <c r="T18" i="14" s="1"/>
  <c r="A18" i="14"/>
  <c r="S18" i="14" s="1"/>
  <c r="AD17" i="14"/>
  <c r="AB17" i="14"/>
  <c r="AA17" i="14"/>
  <c r="Z17" i="14"/>
  <c r="Y17" i="14"/>
  <c r="X17" i="14"/>
  <c r="W17" i="14"/>
  <c r="U17" i="14"/>
  <c r="V17" i="14" s="1"/>
  <c r="Q17" i="14"/>
  <c r="E17" i="14"/>
  <c r="AC17" i="14" s="1"/>
  <c r="A17" i="14"/>
  <c r="AE17" i="14" s="1"/>
  <c r="AD16" i="14"/>
  <c r="AB16" i="14"/>
  <c r="AA16" i="14"/>
  <c r="Z16" i="14"/>
  <c r="Y16" i="14"/>
  <c r="X16" i="14"/>
  <c r="W16" i="14"/>
  <c r="V16" i="14"/>
  <c r="U16" i="14"/>
  <c r="Q16" i="14"/>
  <c r="P16" i="14"/>
  <c r="E16" i="14"/>
  <c r="AC16" i="14" s="1"/>
  <c r="A16" i="14"/>
  <c r="AE16" i="14" s="1"/>
  <c r="AD15" i="14"/>
  <c r="AB15" i="14"/>
  <c r="AA15" i="14"/>
  <c r="Z15" i="14"/>
  <c r="Y15" i="14"/>
  <c r="X15" i="14"/>
  <c r="W15" i="14"/>
  <c r="U15" i="14"/>
  <c r="V15" i="14" s="1"/>
  <c r="Q15" i="14"/>
  <c r="E15" i="14"/>
  <c r="T15" i="14" s="1"/>
  <c r="A15" i="14"/>
  <c r="S15" i="14" s="1"/>
  <c r="AD14" i="14"/>
  <c r="AB14" i="14"/>
  <c r="AA14" i="14"/>
  <c r="Z14" i="14"/>
  <c r="Y14" i="14"/>
  <c r="X14" i="14"/>
  <c r="W14" i="14"/>
  <c r="U14" i="14"/>
  <c r="V14" i="14" s="1"/>
  <c r="Q14" i="14"/>
  <c r="E14" i="14"/>
  <c r="AC14" i="14" s="1"/>
  <c r="A14" i="14"/>
  <c r="S14" i="14" s="1"/>
  <c r="AD13" i="14"/>
  <c r="AB13" i="14"/>
  <c r="AA13" i="14"/>
  <c r="Z13" i="14"/>
  <c r="Y13" i="14"/>
  <c r="X13" i="14"/>
  <c r="W13" i="14"/>
  <c r="U13" i="14"/>
  <c r="V13" i="14" s="1"/>
  <c r="Q13" i="14"/>
  <c r="E13" i="14"/>
  <c r="AC13" i="14" s="1"/>
  <c r="A13" i="14"/>
  <c r="S13" i="14" s="1"/>
  <c r="AD12" i="14"/>
  <c r="AC12" i="14"/>
  <c r="AB12" i="14"/>
  <c r="AA12" i="14"/>
  <c r="Z12" i="14"/>
  <c r="Y12" i="14"/>
  <c r="X12" i="14"/>
  <c r="W12" i="14"/>
  <c r="U12" i="14"/>
  <c r="V12" i="14" s="1"/>
  <c r="T12" i="14"/>
  <c r="R12" i="14"/>
  <c r="Q12" i="14"/>
  <c r="E12" i="14"/>
  <c r="A12" i="14"/>
  <c r="AE12" i="14" s="1"/>
  <c r="AD11" i="14"/>
  <c r="AC11" i="14"/>
  <c r="AB11" i="14"/>
  <c r="AA11" i="14"/>
  <c r="Z11" i="14"/>
  <c r="Y11" i="14"/>
  <c r="X11" i="14"/>
  <c r="W11" i="14"/>
  <c r="U11" i="14"/>
  <c r="V11" i="14" s="1"/>
  <c r="Q11" i="14"/>
  <c r="E11" i="14"/>
  <c r="T11" i="14" s="1"/>
  <c r="A11" i="14"/>
  <c r="AE11" i="14" s="1"/>
  <c r="AE10" i="14"/>
  <c r="AD10" i="14"/>
  <c r="AB10" i="14"/>
  <c r="AA10" i="14"/>
  <c r="Z10" i="14"/>
  <c r="Y10" i="14"/>
  <c r="X10" i="14"/>
  <c r="W10" i="14"/>
  <c r="U10" i="14"/>
  <c r="V10" i="14" s="1"/>
  <c r="Q10" i="14"/>
  <c r="P10" i="14"/>
  <c r="E10" i="14"/>
  <c r="AC10" i="14" s="1"/>
  <c r="A10" i="14"/>
  <c r="S10" i="14" s="1"/>
  <c r="AD9" i="14"/>
  <c r="AB9" i="14"/>
  <c r="AA9" i="14"/>
  <c r="Z9" i="14"/>
  <c r="Y9" i="14"/>
  <c r="X9" i="14"/>
  <c r="W9" i="14"/>
  <c r="U9" i="14"/>
  <c r="V9" i="14" s="1"/>
  <c r="Q9" i="14"/>
  <c r="E9" i="14"/>
  <c r="AC9" i="14" s="1"/>
  <c r="A9" i="14"/>
  <c r="P9" i="14" s="1"/>
  <c r="AD8" i="14"/>
  <c r="AB8" i="14"/>
  <c r="AA8" i="14"/>
  <c r="Z8" i="14"/>
  <c r="Y8" i="14"/>
  <c r="X8" i="14"/>
  <c r="W8" i="14"/>
  <c r="U8" i="14"/>
  <c r="V8" i="14" s="1"/>
  <c r="S8" i="14"/>
  <c r="Q8" i="14"/>
  <c r="P8" i="14"/>
  <c r="E8" i="14"/>
  <c r="AC8" i="14" s="1"/>
  <c r="A8" i="14"/>
  <c r="AE8" i="14" s="1"/>
  <c r="AD7" i="14"/>
  <c r="AB7" i="14"/>
  <c r="AA7" i="14"/>
  <c r="Z7" i="14"/>
  <c r="Y7" i="14"/>
  <c r="X7" i="14"/>
  <c r="W7" i="14"/>
  <c r="U7" i="14"/>
  <c r="V7" i="14" s="1"/>
  <c r="Q7" i="14"/>
  <c r="E7" i="14"/>
  <c r="T7" i="14" s="1"/>
  <c r="A7" i="14"/>
  <c r="AE7" i="14" s="1"/>
  <c r="AD6" i="14"/>
  <c r="AB6" i="14"/>
  <c r="AA6" i="14"/>
  <c r="Z6" i="14"/>
  <c r="Y6" i="14"/>
  <c r="X6" i="14"/>
  <c r="W6" i="14"/>
  <c r="U6" i="14"/>
  <c r="V6" i="14" s="1"/>
  <c r="Q6" i="14"/>
  <c r="E6" i="14"/>
  <c r="AC6" i="14" s="1"/>
  <c r="A6" i="14"/>
  <c r="S6" i="14" s="1"/>
  <c r="AD5" i="14"/>
  <c r="AB5" i="14"/>
  <c r="AA5" i="14"/>
  <c r="Z5" i="14"/>
  <c r="Y5" i="14"/>
  <c r="X5" i="14"/>
  <c r="W5" i="14"/>
  <c r="U5" i="14"/>
  <c r="V5" i="14" s="1"/>
  <c r="Q5" i="14"/>
  <c r="E5" i="14"/>
  <c r="AC5" i="14" s="1"/>
  <c r="A5" i="14"/>
  <c r="AE5" i="14" s="1"/>
  <c r="AD4" i="14"/>
  <c r="AC4" i="14"/>
  <c r="AB4" i="14"/>
  <c r="AA4" i="14"/>
  <c r="Z4" i="14"/>
  <c r="Y4" i="14"/>
  <c r="X4" i="14"/>
  <c r="W4" i="14"/>
  <c r="U4" i="14"/>
  <c r="V4" i="14" s="1"/>
  <c r="Q4" i="14"/>
  <c r="E4" i="14"/>
  <c r="T4" i="14" s="1"/>
  <c r="A4" i="14"/>
  <c r="AE4" i="14" s="1"/>
  <c r="AD3" i="14"/>
  <c r="AC3" i="14"/>
  <c r="AB3" i="14"/>
  <c r="AA3" i="14"/>
  <c r="Z3" i="14"/>
  <c r="Y3" i="14"/>
  <c r="X3" i="14"/>
  <c r="W3" i="14"/>
  <c r="U3" i="14"/>
  <c r="V3" i="14" s="1"/>
  <c r="Q3" i="14"/>
  <c r="E3" i="14"/>
  <c r="T3" i="14" s="1"/>
  <c r="A3" i="14"/>
  <c r="P3" i="14" s="1"/>
  <c r="AD2" i="14"/>
  <c r="AC2" i="14"/>
  <c r="AB2" i="14"/>
  <c r="AA2" i="14"/>
  <c r="Z2" i="14"/>
  <c r="Y2" i="14"/>
  <c r="X2" i="14"/>
  <c r="W2" i="14"/>
  <c r="U2" i="14"/>
  <c r="V2" i="14" s="1"/>
  <c r="T2" i="14"/>
  <c r="Q2" i="14"/>
  <c r="E2" i="14"/>
  <c r="R2" i="14" s="1"/>
  <c r="A2" i="14"/>
  <c r="S2" i="14" s="1"/>
  <c r="AE178" i="14" l="1"/>
  <c r="T25" i="14"/>
  <c r="R48" i="14"/>
  <c r="T80" i="14"/>
  <c r="T88" i="14"/>
  <c r="AC94" i="14"/>
  <c r="R104" i="14"/>
  <c r="AE111" i="14"/>
  <c r="P115" i="14"/>
  <c r="P117" i="14"/>
  <c r="P118" i="14"/>
  <c r="R119" i="14"/>
  <c r="T163" i="14"/>
  <c r="T164" i="14"/>
  <c r="R170" i="14"/>
  <c r="P181" i="14"/>
  <c r="R46" i="14"/>
  <c r="R47" i="14"/>
  <c r="T48" i="14"/>
  <c r="R64" i="14"/>
  <c r="R87" i="14"/>
  <c r="R96" i="14"/>
  <c r="T104" i="14"/>
  <c r="R114" i="14"/>
  <c r="R151" i="14"/>
  <c r="T170" i="14"/>
  <c r="R171" i="14"/>
  <c r="R173" i="14"/>
  <c r="P14" i="14"/>
  <c r="P5" i="14"/>
  <c r="T96" i="14"/>
  <c r="T114" i="14"/>
  <c r="R115" i="14"/>
  <c r="R117" i="14"/>
  <c r="R118" i="14"/>
  <c r="S173" i="14"/>
  <c r="P179" i="14"/>
  <c r="R16" i="14"/>
  <c r="T24" i="14"/>
  <c r="T46" i="14"/>
  <c r="S7" i="14"/>
  <c r="T16" i="14"/>
  <c r="R45" i="14"/>
  <c r="T56" i="14"/>
  <c r="R63" i="14"/>
  <c r="T64" i="14"/>
  <c r="R86" i="14"/>
  <c r="S115" i="14"/>
  <c r="S116" i="14"/>
  <c r="S117" i="14"/>
  <c r="T118" i="14"/>
  <c r="AC122" i="14"/>
  <c r="R138" i="14"/>
  <c r="AE147" i="14"/>
  <c r="T171" i="14"/>
  <c r="S172" i="14"/>
  <c r="T173" i="14"/>
  <c r="R180" i="14"/>
  <c r="S181" i="14"/>
  <c r="R8" i="14"/>
  <c r="T14" i="14"/>
  <c r="R3" i="14"/>
  <c r="R4" i="14"/>
  <c r="R5" i="14"/>
  <c r="R6" i="14"/>
  <c r="R13" i="14"/>
  <c r="T22" i="14"/>
  <c r="AE34" i="14"/>
  <c r="AC35" i="14"/>
  <c r="P43" i="14"/>
  <c r="AE82" i="14"/>
  <c r="P111" i="14"/>
  <c r="T115" i="14"/>
  <c r="T117" i="14"/>
  <c r="AC123" i="14"/>
  <c r="R139" i="14"/>
  <c r="R141" i="14"/>
  <c r="P149" i="14"/>
  <c r="P150" i="14"/>
  <c r="P168" i="14"/>
  <c r="AC175" i="14"/>
  <c r="R178" i="14"/>
  <c r="S180" i="14"/>
  <c r="T181" i="14"/>
  <c r="P6" i="14"/>
  <c r="R14" i="14"/>
  <c r="S3" i="14"/>
  <c r="T6" i="14"/>
  <c r="R44" i="14"/>
  <c r="AC50" i="14"/>
  <c r="AC90" i="14"/>
  <c r="R112" i="14"/>
  <c r="R140" i="14"/>
  <c r="S141" i="14"/>
  <c r="AC144" i="14"/>
  <c r="P147" i="14"/>
  <c r="S159" i="14"/>
  <c r="S16" i="14"/>
  <c r="T5" i="14"/>
  <c r="AE18" i="14"/>
  <c r="AC31" i="14"/>
  <c r="R43" i="14"/>
  <c r="AE74" i="14"/>
  <c r="AE123" i="14"/>
  <c r="S140" i="14"/>
  <c r="T141" i="14"/>
  <c r="AC143" i="14"/>
  <c r="R149" i="14"/>
  <c r="AE154" i="14"/>
  <c r="P4" i="14"/>
  <c r="R7" i="14"/>
  <c r="R15" i="14"/>
  <c r="S4" i="14"/>
  <c r="S5" i="14"/>
  <c r="S149" i="14"/>
  <c r="R11" i="14"/>
  <c r="P36" i="14"/>
  <c r="AC66" i="14"/>
  <c r="R84" i="14"/>
  <c r="AC119" i="14"/>
  <c r="P125" i="14"/>
  <c r="R136" i="14"/>
  <c r="AE143" i="14"/>
  <c r="T149" i="14"/>
  <c r="AC152" i="14"/>
  <c r="AE155" i="14"/>
  <c r="R167" i="14"/>
  <c r="P7" i="14"/>
  <c r="P15" i="14"/>
  <c r="T8" i="14"/>
  <c r="S43" i="14"/>
  <c r="AE39" i="14"/>
  <c r="AC47" i="14"/>
  <c r="P74" i="14"/>
  <c r="P75" i="14"/>
  <c r="P76" i="14"/>
  <c r="P82" i="14"/>
  <c r="AC87" i="14"/>
  <c r="AE98" i="14"/>
  <c r="R122" i="14"/>
  <c r="R126" i="14"/>
  <c r="R135" i="14"/>
  <c r="T148" i="14"/>
  <c r="P157" i="14"/>
  <c r="AE162" i="14"/>
  <c r="S167" i="14"/>
  <c r="AE174" i="14"/>
  <c r="AC23" i="14"/>
  <c r="AE66" i="14"/>
  <c r="AE119" i="14"/>
  <c r="R123" i="14"/>
  <c r="R125" i="14"/>
  <c r="AC151" i="14"/>
  <c r="AE47" i="14"/>
  <c r="AC63" i="14"/>
  <c r="AC86" i="14"/>
  <c r="AE87" i="14"/>
  <c r="AC103" i="14"/>
  <c r="S124" i="14"/>
  <c r="AC128" i="14"/>
  <c r="AC15" i="14"/>
  <c r="P18" i="14"/>
  <c r="AC22" i="14"/>
  <c r="AE46" i="14"/>
  <c r="S75" i="14"/>
  <c r="S76" i="14"/>
  <c r="AE118" i="14"/>
  <c r="T125" i="14"/>
  <c r="AE170" i="14"/>
  <c r="AE14" i="14"/>
  <c r="S129" i="14"/>
  <c r="P129" i="14"/>
  <c r="S145" i="14"/>
  <c r="P145" i="14"/>
  <c r="S161" i="14"/>
  <c r="P161" i="14"/>
  <c r="R81" i="14"/>
  <c r="AC81" i="14"/>
  <c r="P166" i="14"/>
  <c r="R9" i="14"/>
  <c r="P11" i="14"/>
  <c r="AE13" i="14"/>
  <c r="AC18" i="14"/>
  <c r="P38" i="14"/>
  <c r="P39" i="14"/>
  <c r="P40" i="14"/>
  <c r="R41" i="14"/>
  <c r="AC41" i="14"/>
  <c r="AE45" i="14"/>
  <c r="R77" i="14"/>
  <c r="R82" i="14"/>
  <c r="P84" i="14"/>
  <c r="S120" i="14"/>
  <c r="AE120" i="14"/>
  <c r="S121" i="14"/>
  <c r="P121" i="14"/>
  <c r="P127" i="14"/>
  <c r="T145" i="14"/>
  <c r="R145" i="14"/>
  <c r="AC145" i="14"/>
  <c r="T161" i="14"/>
  <c r="R161" i="14"/>
  <c r="AC161" i="14"/>
  <c r="S9" i="14"/>
  <c r="R10" i="14"/>
  <c r="P12" i="14"/>
  <c r="AE15" i="14"/>
  <c r="R37" i="14"/>
  <c r="R42" i="14"/>
  <c r="P44" i="14"/>
  <c r="AC58" i="14"/>
  <c r="R78" i="14"/>
  <c r="R79" i="14"/>
  <c r="T81" i="14"/>
  <c r="T82" i="14"/>
  <c r="P85" i="14"/>
  <c r="S89" i="14"/>
  <c r="P89" i="14"/>
  <c r="AE110" i="14"/>
  <c r="T121" i="14"/>
  <c r="R121" i="14"/>
  <c r="AC121" i="14"/>
  <c r="P126" i="14"/>
  <c r="AE142" i="14"/>
  <c r="AE158" i="14"/>
  <c r="S177" i="14"/>
  <c r="P177" i="14"/>
  <c r="T9" i="14"/>
  <c r="T10" i="14"/>
  <c r="P13" i="14"/>
  <c r="S37" i="14"/>
  <c r="R38" i="14"/>
  <c r="R39" i="14"/>
  <c r="T41" i="14"/>
  <c r="T42" i="14"/>
  <c r="P45" i="14"/>
  <c r="S49" i="14"/>
  <c r="P49" i="14"/>
  <c r="T77" i="14"/>
  <c r="T78" i="14"/>
  <c r="S79" i="14"/>
  <c r="S80" i="14"/>
  <c r="P86" i="14"/>
  <c r="P87" i="14"/>
  <c r="P88" i="14"/>
  <c r="R89" i="14"/>
  <c r="AC89" i="14"/>
  <c r="AE94" i="14"/>
  <c r="AE95" i="14"/>
  <c r="AE102" i="14"/>
  <c r="AE103" i="14"/>
  <c r="S112" i="14"/>
  <c r="AE112" i="14"/>
  <c r="S113" i="14"/>
  <c r="P113" i="14"/>
  <c r="P119" i="14"/>
  <c r="P120" i="14"/>
  <c r="R127" i="14"/>
  <c r="AE175" i="14"/>
  <c r="T177" i="14"/>
  <c r="R177" i="14"/>
  <c r="AC177" i="14"/>
  <c r="P80" i="14"/>
  <c r="S40" i="14"/>
  <c r="R49" i="14"/>
  <c r="AC49" i="14"/>
  <c r="S84" i="14"/>
  <c r="T49" i="14"/>
  <c r="P53" i="14"/>
  <c r="S57" i="14"/>
  <c r="P57" i="14"/>
  <c r="T85" i="14"/>
  <c r="S88" i="14"/>
  <c r="P94" i="14"/>
  <c r="P95" i="14"/>
  <c r="P100" i="14"/>
  <c r="P103" i="14"/>
  <c r="P109" i="14"/>
  <c r="P110" i="14"/>
  <c r="AC142" i="14"/>
  <c r="R142" i="14"/>
  <c r="R143" i="14"/>
  <c r="AC158" i="14"/>
  <c r="R158" i="14"/>
  <c r="R159" i="14"/>
  <c r="S81" i="14"/>
  <c r="P81" i="14"/>
  <c r="AE85" i="14"/>
  <c r="S104" i="14"/>
  <c r="AE104" i="14"/>
  <c r="T113" i="14"/>
  <c r="R113" i="14"/>
  <c r="AC113" i="14"/>
  <c r="T13" i="14"/>
  <c r="R17" i="14"/>
  <c r="R18" i="14"/>
  <c r="P20" i="14"/>
  <c r="AE23" i="14"/>
  <c r="T45" i="14"/>
  <c r="S48" i="14"/>
  <c r="P54" i="14"/>
  <c r="P55" i="14"/>
  <c r="P56" i="14"/>
  <c r="R57" i="14"/>
  <c r="AC57" i="14"/>
  <c r="AE61" i="14"/>
  <c r="S92" i="14"/>
  <c r="R93" i="14"/>
  <c r="P101" i="14"/>
  <c r="P102" i="14"/>
  <c r="R111" i="14"/>
  <c r="P142" i="14"/>
  <c r="P158" i="14"/>
  <c r="T129" i="14"/>
  <c r="R129" i="14"/>
  <c r="AC129" i="14"/>
  <c r="S41" i="14"/>
  <c r="P41" i="14"/>
  <c r="P79" i="14"/>
  <c r="AE53" i="14"/>
  <c r="R105" i="14"/>
  <c r="AC105" i="14"/>
  <c r="AE2" i="14"/>
  <c r="T17" i="14"/>
  <c r="P21" i="14"/>
  <c r="R53" i="14"/>
  <c r="R58" i="14"/>
  <c r="P60" i="14"/>
  <c r="R94" i="14"/>
  <c r="R95" i="14"/>
  <c r="R103" i="14"/>
  <c r="R110" i="14"/>
  <c r="AE135" i="14"/>
  <c r="S137" i="14"/>
  <c r="P137" i="14"/>
  <c r="S153" i="14"/>
  <c r="P153" i="14"/>
  <c r="AC167" i="14"/>
  <c r="AC174" i="14"/>
  <c r="R174" i="14"/>
  <c r="R175" i="14"/>
  <c r="R33" i="14"/>
  <c r="AC33" i="14"/>
  <c r="AC150" i="14"/>
  <c r="R150" i="14"/>
  <c r="P37" i="14"/>
  <c r="T37" i="14"/>
  <c r="S12" i="14"/>
  <c r="S44" i="14"/>
  <c r="T126" i="14"/>
  <c r="S19" i="14"/>
  <c r="P22" i="14"/>
  <c r="P23" i="14"/>
  <c r="S25" i="14"/>
  <c r="P25" i="14"/>
  <c r="R54" i="14"/>
  <c r="R55" i="14"/>
  <c r="T57" i="14"/>
  <c r="P61" i="14"/>
  <c r="S65" i="14"/>
  <c r="P65" i="14"/>
  <c r="T93" i="14"/>
  <c r="S100" i="14"/>
  <c r="R102" i="14"/>
  <c r="S109" i="14"/>
  <c r="T110" i="14"/>
  <c r="AE134" i="14"/>
  <c r="T137" i="14"/>
  <c r="R137" i="14"/>
  <c r="AC137" i="14"/>
  <c r="T142" i="14"/>
  <c r="AE151" i="14"/>
  <c r="T153" i="14"/>
  <c r="R153" i="14"/>
  <c r="AC153" i="14"/>
  <c r="T158" i="14"/>
  <c r="S169" i="14"/>
  <c r="P169" i="14"/>
  <c r="P174" i="14"/>
  <c r="S175" i="14"/>
  <c r="S128" i="14"/>
  <c r="AE128" i="14"/>
  <c r="S17" i="14"/>
  <c r="P17" i="14"/>
  <c r="AC7" i="14"/>
  <c r="S20" i="14"/>
  <c r="R21" i="14"/>
  <c r="P24" i="14"/>
  <c r="T53" i="14"/>
  <c r="S56" i="14"/>
  <c r="P62" i="14"/>
  <c r="P63" i="14"/>
  <c r="P64" i="14"/>
  <c r="R65" i="14"/>
  <c r="AC65" i="14"/>
  <c r="AE70" i="14"/>
  <c r="S101" i="14"/>
  <c r="T102" i="14"/>
  <c r="AE129" i="14"/>
  <c r="AE150" i="14"/>
  <c r="AE167" i="14"/>
  <c r="T169" i="14"/>
  <c r="R169" i="14"/>
  <c r="AC169" i="14"/>
  <c r="S96" i="14"/>
  <c r="AE96" i="14"/>
  <c r="P19" i="14"/>
  <c r="AE21" i="14"/>
  <c r="P2" i="14"/>
  <c r="AE3" i="14"/>
  <c r="AE6" i="14"/>
  <c r="R23" i="14"/>
  <c r="AE30" i="14"/>
  <c r="S60" i="14"/>
  <c r="R61" i="14"/>
  <c r="R66" i="14"/>
  <c r="AC79" i="14"/>
  <c r="AE166" i="14"/>
  <c r="T174" i="14"/>
  <c r="AC166" i="14"/>
  <c r="R166" i="14"/>
  <c r="T38" i="14"/>
  <c r="T21" i="14"/>
  <c r="AC39" i="14"/>
  <c r="R62" i="14"/>
  <c r="S73" i="14"/>
  <c r="P73" i="14"/>
  <c r="AE81" i="14"/>
  <c r="AC127" i="14"/>
  <c r="AE145" i="14"/>
  <c r="AE161" i="14"/>
  <c r="P78" i="14"/>
  <c r="S11" i="14"/>
  <c r="S97" i="14"/>
  <c r="P97" i="14"/>
  <c r="S105" i="14"/>
  <c r="P105" i="14"/>
  <c r="R97" i="14"/>
  <c r="AC97" i="14"/>
  <c r="AE9" i="14"/>
  <c r="S33" i="14"/>
  <c r="P33" i="14"/>
  <c r="AE41" i="14"/>
  <c r="T61" i="14"/>
  <c r="R73" i="14"/>
  <c r="AC73" i="14"/>
  <c r="AE78" i="14"/>
  <c r="AE121" i="14"/>
  <c r="AC134" i="14"/>
  <c r="R134" i="14"/>
  <c r="AE136" i="14"/>
  <c r="AE144" i="14"/>
  <c r="AE152" i="14"/>
  <c r="AE160" i="14"/>
  <c r="AE168" i="14"/>
  <c r="AE176" i="14"/>
  <c r="R144" i="14"/>
  <c r="R152" i="14"/>
  <c r="R160" i="14"/>
  <c r="R168" i="14"/>
  <c r="R176" i="14"/>
  <c r="P106" i="14"/>
  <c r="P114" i="14"/>
  <c r="P122" i="14"/>
  <c r="P130" i="14"/>
  <c r="P138" i="14"/>
  <c r="P146" i="14"/>
  <c r="P154" i="14"/>
  <c r="P162" i="14"/>
  <c r="P170" i="14"/>
  <c r="P178" i="14"/>
  <c r="AE116" i="14"/>
  <c r="AE124" i="14"/>
  <c r="AE132" i="14"/>
  <c r="AE140" i="14"/>
  <c r="AE148" i="14"/>
  <c r="AE156" i="14"/>
  <c r="AE164" i="14"/>
  <c r="AE172" i="14"/>
  <c r="AE180" i="14"/>
  <c r="AB3" i="12"/>
  <c r="AB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2" i="12"/>
  <c r="A33" i="12"/>
  <c r="AE33" i="12" s="1"/>
  <c r="A34" i="12"/>
  <c r="S34" i="12" s="1"/>
  <c r="A35" i="12"/>
  <c r="S35" i="12" s="1"/>
  <c r="A36" i="12"/>
  <c r="S36" i="12" s="1"/>
  <c r="A37" i="12"/>
  <c r="AE37" i="12" s="1"/>
  <c r="A38" i="12"/>
  <c r="AE38" i="12" s="1"/>
  <c r="A39" i="12"/>
  <c r="S39" i="12" s="1"/>
  <c r="A40" i="12"/>
  <c r="AE40" i="12" s="1"/>
  <c r="A41" i="12"/>
  <c r="AE41" i="12" s="1"/>
  <c r="A42" i="12"/>
  <c r="S42" i="12" s="1"/>
  <c r="A43" i="12"/>
  <c r="S43" i="12" s="1"/>
  <c r="A44" i="12"/>
  <c r="S44" i="12" s="1"/>
  <c r="A45" i="12"/>
  <c r="S45" i="12" s="1"/>
  <c r="A46" i="12"/>
  <c r="S46" i="12" s="1"/>
  <c r="A32" i="12"/>
  <c r="AE32" i="12" s="1"/>
  <c r="AD46" i="12"/>
  <c r="AC46" i="12"/>
  <c r="AA46" i="12"/>
  <c r="Z46" i="12"/>
  <c r="Y46" i="12"/>
  <c r="X46" i="12"/>
  <c r="W46" i="12"/>
  <c r="U46" i="12"/>
  <c r="V46" i="12" s="1"/>
  <c r="Q46" i="12"/>
  <c r="E46" i="12"/>
  <c r="T46" i="12" s="1"/>
  <c r="AD45" i="12"/>
  <c r="AA45" i="12"/>
  <c r="Z45" i="12"/>
  <c r="Y45" i="12"/>
  <c r="X45" i="12"/>
  <c r="W45" i="12"/>
  <c r="U45" i="12"/>
  <c r="V45" i="12" s="1"/>
  <c r="Q45" i="12"/>
  <c r="E45" i="12"/>
  <c r="AC45" i="12" s="1"/>
  <c r="AD44" i="12"/>
  <c r="AA44" i="12"/>
  <c r="Z44" i="12"/>
  <c r="Y44" i="12"/>
  <c r="X44" i="12"/>
  <c r="W44" i="12"/>
  <c r="U44" i="12"/>
  <c r="V44" i="12" s="1"/>
  <c r="Q44" i="12"/>
  <c r="E44" i="12"/>
  <c r="AC44" i="12" s="1"/>
  <c r="AD43" i="12"/>
  <c r="AA43" i="12"/>
  <c r="Z43" i="12"/>
  <c r="Y43" i="12"/>
  <c r="X43" i="12"/>
  <c r="W43" i="12"/>
  <c r="U43" i="12"/>
  <c r="V43" i="12" s="1"/>
  <c r="R43" i="12"/>
  <c r="Q43" i="12"/>
  <c r="E43" i="12"/>
  <c r="AC43" i="12" s="1"/>
  <c r="AD42" i="12"/>
  <c r="AC42" i="12"/>
  <c r="AA42" i="12"/>
  <c r="Z42" i="12"/>
  <c r="Y42" i="12"/>
  <c r="X42" i="12"/>
  <c r="W42" i="12"/>
  <c r="U42" i="12"/>
  <c r="V42" i="12" s="1"/>
  <c r="Q42" i="12"/>
  <c r="E42" i="12"/>
  <c r="T42" i="12" s="1"/>
  <c r="AD41" i="12"/>
  <c r="AA41" i="12"/>
  <c r="Z41" i="12"/>
  <c r="Y41" i="12"/>
  <c r="X41" i="12"/>
  <c r="W41" i="12"/>
  <c r="U41" i="12"/>
  <c r="V41" i="12" s="1"/>
  <c r="Q41" i="12"/>
  <c r="E41" i="12"/>
  <c r="T41" i="12" s="1"/>
  <c r="AD40" i="12"/>
  <c r="AA40" i="12"/>
  <c r="Z40" i="12"/>
  <c r="Y40" i="12"/>
  <c r="X40" i="12"/>
  <c r="W40" i="12"/>
  <c r="U40" i="12"/>
  <c r="V40" i="12" s="1"/>
  <c r="S40" i="12"/>
  <c r="Q40" i="12"/>
  <c r="P40" i="12"/>
  <c r="E40" i="12"/>
  <c r="T40" i="12" s="1"/>
  <c r="AD39" i="12"/>
  <c r="AA39" i="12"/>
  <c r="Z39" i="12"/>
  <c r="Y39" i="12"/>
  <c r="X39" i="12"/>
  <c r="W39" i="12"/>
  <c r="U39" i="12"/>
  <c r="V39" i="12" s="1"/>
  <c r="Q39" i="12"/>
  <c r="E39" i="12"/>
  <c r="AC39" i="12" s="1"/>
  <c r="AD38" i="12"/>
  <c r="AA38" i="12"/>
  <c r="Z38" i="12"/>
  <c r="Y38" i="12"/>
  <c r="X38" i="12"/>
  <c r="W38" i="12"/>
  <c r="U38" i="12"/>
  <c r="V38" i="12" s="1"/>
  <c r="Q38" i="12"/>
  <c r="P38" i="12"/>
  <c r="E38" i="12"/>
  <c r="AC38" i="12" s="1"/>
  <c r="AD37" i="12"/>
  <c r="AA37" i="12"/>
  <c r="Z37" i="12"/>
  <c r="Y37" i="12"/>
  <c r="X37" i="12"/>
  <c r="W37" i="12"/>
  <c r="U37" i="12"/>
  <c r="V37" i="12" s="1"/>
  <c r="Q37" i="12"/>
  <c r="E37" i="12"/>
  <c r="AC37" i="12" s="1"/>
  <c r="AE36" i="12"/>
  <c r="AD36" i="12"/>
  <c r="AA36" i="12"/>
  <c r="Z36" i="12"/>
  <c r="Y36" i="12"/>
  <c r="X36" i="12"/>
  <c r="W36" i="12"/>
  <c r="U36" i="12"/>
  <c r="V36" i="12" s="1"/>
  <c r="Q36" i="12"/>
  <c r="E36" i="12"/>
  <c r="AC36" i="12" s="1"/>
  <c r="AD35" i="12"/>
  <c r="AA35" i="12"/>
  <c r="Z35" i="12"/>
  <c r="Y35" i="12"/>
  <c r="X35" i="12"/>
  <c r="W35" i="12"/>
  <c r="U35" i="12"/>
  <c r="V35" i="12" s="1"/>
  <c r="Q35" i="12"/>
  <c r="E35" i="12"/>
  <c r="R35" i="12" s="1"/>
  <c r="AD34" i="12"/>
  <c r="AA34" i="12"/>
  <c r="Z34" i="12"/>
  <c r="Y34" i="12"/>
  <c r="X34" i="12"/>
  <c r="W34" i="12"/>
  <c r="U34" i="12"/>
  <c r="V34" i="12" s="1"/>
  <c r="Q34" i="12"/>
  <c r="E34" i="12"/>
  <c r="T34" i="12" s="1"/>
  <c r="AD33" i="12"/>
  <c r="AA33" i="12"/>
  <c r="Z33" i="12"/>
  <c r="Y33" i="12"/>
  <c r="X33" i="12"/>
  <c r="W33" i="12"/>
  <c r="U33" i="12"/>
  <c r="V33" i="12" s="1"/>
  <c r="Q33" i="12"/>
  <c r="E33" i="12"/>
  <c r="T33" i="12" s="1"/>
  <c r="AD32" i="12"/>
  <c r="AA32" i="12"/>
  <c r="Z32" i="12"/>
  <c r="Y32" i="12"/>
  <c r="X32" i="12"/>
  <c r="W32" i="12"/>
  <c r="U32" i="12"/>
  <c r="V32" i="12" s="1"/>
  <c r="S32" i="12"/>
  <c r="Q32" i="12"/>
  <c r="E32" i="12"/>
  <c r="T32" i="12" s="1"/>
  <c r="A18" i="12"/>
  <c r="AE18" i="12" s="1"/>
  <c r="A19" i="12"/>
  <c r="P19" i="12" s="1"/>
  <c r="A20" i="12"/>
  <c r="S20" i="12" s="1"/>
  <c r="A21" i="12"/>
  <c r="P21" i="12" s="1"/>
  <c r="A22" i="12"/>
  <c r="P22" i="12" s="1"/>
  <c r="A23" i="12"/>
  <c r="P23" i="12" s="1"/>
  <c r="A24" i="12"/>
  <c r="S24" i="12" s="1"/>
  <c r="A25" i="12"/>
  <c r="AE25" i="12" s="1"/>
  <c r="A26" i="12"/>
  <c r="S26" i="12" s="1"/>
  <c r="A27" i="12"/>
  <c r="S27" i="12" s="1"/>
  <c r="A28" i="12"/>
  <c r="S28" i="12" s="1"/>
  <c r="A29" i="12"/>
  <c r="AE29" i="12" s="1"/>
  <c r="A30" i="12"/>
  <c r="P30" i="12" s="1"/>
  <c r="A31" i="12"/>
  <c r="S31" i="12" s="1"/>
  <c r="A17" i="12"/>
  <c r="AE17" i="12" s="1"/>
  <c r="AD31" i="12"/>
  <c r="AA31" i="12"/>
  <c r="Z31" i="12"/>
  <c r="Y31" i="12"/>
  <c r="X31" i="12"/>
  <c r="W31" i="12"/>
  <c r="U31" i="12"/>
  <c r="V31" i="12" s="1"/>
  <c r="Q31" i="12"/>
  <c r="E31" i="12"/>
  <c r="T31" i="12" s="1"/>
  <c r="AD30" i="12"/>
  <c r="AA30" i="12"/>
  <c r="Z30" i="12"/>
  <c r="Y30" i="12"/>
  <c r="X30" i="12"/>
  <c r="W30" i="12"/>
  <c r="U30" i="12"/>
  <c r="V30" i="12" s="1"/>
  <c r="Q30" i="12"/>
  <c r="E30" i="12"/>
  <c r="AC30" i="12" s="1"/>
  <c r="AD29" i="12"/>
  <c r="AA29" i="12"/>
  <c r="Z29" i="12"/>
  <c r="Y29" i="12"/>
  <c r="X29" i="12"/>
  <c r="W29" i="12"/>
  <c r="U29" i="12"/>
  <c r="V29" i="12" s="1"/>
  <c r="Q29" i="12"/>
  <c r="E29" i="12"/>
  <c r="R29" i="12" s="1"/>
  <c r="AD28" i="12"/>
  <c r="AA28" i="12"/>
  <c r="Z28" i="12"/>
  <c r="Y28" i="12"/>
  <c r="X28" i="12"/>
  <c r="W28" i="12"/>
  <c r="U28" i="12"/>
  <c r="V28" i="12" s="1"/>
  <c r="Q28" i="12"/>
  <c r="E28" i="12"/>
  <c r="AC28" i="12" s="1"/>
  <c r="AD27" i="12"/>
  <c r="AC27" i="12"/>
  <c r="AA27" i="12"/>
  <c r="Z27" i="12"/>
  <c r="Y27" i="12"/>
  <c r="X27" i="12"/>
  <c r="W27" i="12"/>
  <c r="U27" i="12"/>
  <c r="V27" i="12" s="1"/>
  <c r="Q27" i="12"/>
  <c r="E27" i="12"/>
  <c r="R27" i="12" s="1"/>
  <c r="AD26" i="12"/>
  <c r="AA26" i="12"/>
  <c r="Z26" i="12"/>
  <c r="Y26" i="12"/>
  <c r="X26" i="12"/>
  <c r="W26" i="12"/>
  <c r="U26" i="12"/>
  <c r="V26" i="12" s="1"/>
  <c r="Q26" i="12"/>
  <c r="E26" i="12"/>
  <c r="T26" i="12" s="1"/>
  <c r="AD25" i="12"/>
  <c r="AA25" i="12"/>
  <c r="Z25" i="12"/>
  <c r="Y25" i="12"/>
  <c r="X25" i="12"/>
  <c r="W25" i="12"/>
  <c r="U25" i="12"/>
  <c r="V25" i="12" s="1"/>
  <c r="Q25" i="12"/>
  <c r="E25" i="12"/>
  <c r="T25" i="12" s="1"/>
  <c r="AD24" i="12"/>
  <c r="AA24" i="12"/>
  <c r="Z24" i="12"/>
  <c r="Y24" i="12"/>
  <c r="X24" i="12"/>
  <c r="W24" i="12"/>
  <c r="U24" i="12"/>
  <c r="V24" i="12" s="1"/>
  <c r="Q24" i="12"/>
  <c r="E24" i="12"/>
  <c r="AC24" i="12" s="1"/>
  <c r="AD23" i="12"/>
  <c r="AA23" i="12"/>
  <c r="Z23" i="12"/>
  <c r="Y23" i="12"/>
  <c r="X23" i="12"/>
  <c r="W23" i="12"/>
  <c r="U23" i="12"/>
  <c r="V23" i="12" s="1"/>
  <c r="Q23" i="12"/>
  <c r="E23" i="12"/>
  <c r="T23" i="12" s="1"/>
  <c r="AD22" i="12"/>
  <c r="AA22" i="12"/>
  <c r="Z22" i="12"/>
  <c r="Y22" i="12"/>
  <c r="X22" i="12"/>
  <c r="W22" i="12"/>
  <c r="U22" i="12"/>
  <c r="V22" i="12" s="1"/>
  <c r="Q22" i="12"/>
  <c r="E22" i="12"/>
  <c r="AC22" i="12" s="1"/>
  <c r="AD21" i="12"/>
  <c r="AA21" i="12"/>
  <c r="Z21" i="12"/>
  <c r="Y21" i="12"/>
  <c r="X21" i="12"/>
  <c r="W21" i="12"/>
  <c r="U21" i="12"/>
  <c r="V21" i="12" s="1"/>
  <c r="Q21" i="12"/>
  <c r="E21" i="12"/>
  <c r="R21" i="12" s="1"/>
  <c r="AD20" i="12"/>
  <c r="AA20" i="12"/>
  <c r="Z20" i="12"/>
  <c r="Y20" i="12"/>
  <c r="X20" i="12"/>
  <c r="W20" i="12"/>
  <c r="U20" i="12"/>
  <c r="V20" i="12" s="1"/>
  <c r="Q20" i="12"/>
  <c r="E20" i="12"/>
  <c r="AC20" i="12" s="1"/>
  <c r="AD19" i="12"/>
  <c r="AA19" i="12"/>
  <c r="Z19" i="12"/>
  <c r="Y19" i="12"/>
  <c r="X19" i="12"/>
  <c r="W19" i="12"/>
  <c r="U19" i="12"/>
  <c r="V19" i="12" s="1"/>
  <c r="Q19" i="12"/>
  <c r="E19" i="12"/>
  <c r="R19" i="12" s="1"/>
  <c r="AD18" i="12"/>
  <c r="AA18" i="12"/>
  <c r="Z18" i="12"/>
  <c r="Y18" i="12"/>
  <c r="X18" i="12"/>
  <c r="W18" i="12"/>
  <c r="U18" i="12"/>
  <c r="V18" i="12" s="1"/>
  <c r="Q18" i="12"/>
  <c r="E18" i="12"/>
  <c r="T18" i="12" s="1"/>
  <c r="AD17" i="12"/>
  <c r="AA17" i="12"/>
  <c r="Z17" i="12"/>
  <c r="Y17" i="12"/>
  <c r="X17" i="12"/>
  <c r="W17" i="12"/>
  <c r="U17" i="12"/>
  <c r="V17" i="12" s="1"/>
  <c r="Q17" i="12"/>
  <c r="E17" i="12"/>
  <c r="T17" i="12" s="1"/>
  <c r="AD16" i="12"/>
  <c r="AA16" i="12"/>
  <c r="Z16" i="12"/>
  <c r="Y16" i="12"/>
  <c r="X16" i="12"/>
  <c r="W16" i="12"/>
  <c r="U16" i="12"/>
  <c r="V16" i="12" s="1"/>
  <c r="Q16" i="12"/>
  <c r="E16" i="12"/>
  <c r="AC16" i="12" s="1"/>
  <c r="A16" i="12"/>
  <c r="S16" i="12" s="1"/>
  <c r="AD15" i="12"/>
  <c r="AA15" i="12"/>
  <c r="Z15" i="12"/>
  <c r="Y15" i="12"/>
  <c r="X15" i="12"/>
  <c r="W15" i="12"/>
  <c r="U15" i="12"/>
  <c r="V15" i="12" s="1"/>
  <c r="Q15" i="12"/>
  <c r="E15" i="12"/>
  <c r="T15" i="12" s="1"/>
  <c r="A15" i="12"/>
  <c r="S15" i="12" s="1"/>
  <c r="AD14" i="12"/>
  <c r="AA14" i="12"/>
  <c r="Z14" i="12"/>
  <c r="Y14" i="12"/>
  <c r="X14" i="12"/>
  <c r="W14" i="12"/>
  <c r="U14" i="12"/>
  <c r="V14" i="12" s="1"/>
  <c r="Q14" i="12"/>
  <c r="E14" i="12"/>
  <c r="AC14" i="12" s="1"/>
  <c r="A14" i="12"/>
  <c r="S14" i="12" s="1"/>
  <c r="AD13" i="12"/>
  <c r="AA13" i="12"/>
  <c r="Z13" i="12"/>
  <c r="Y13" i="12"/>
  <c r="X13" i="12"/>
  <c r="W13" i="12"/>
  <c r="U13" i="12"/>
  <c r="V13" i="12" s="1"/>
  <c r="Q13" i="12"/>
  <c r="E13" i="12"/>
  <c r="A13" i="12"/>
  <c r="P13" i="12" s="1"/>
  <c r="AD12" i="12"/>
  <c r="AA12" i="12"/>
  <c r="Z12" i="12"/>
  <c r="Y12" i="12"/>
  <c r="X12" i="12"/>
  <c r="W12" i="12"/>
  <c r="U12" i="12"/>
  <c r="V12" i="12" s="1"/>
  <c r="Q12" i="12"/>
  <c r="E12" i="12"/>
  <c r="A12" i="12"/>
  <c r="AE12" i="12" s="1"/>
  <c r="AD11" i="12"/>
  <c r="AA11" i="12"/>
  <c r="Z11" i="12"/>
  <c r="Y11" i="12"/>
  <c r="X11" i="12"/>
  <c r="W11" i="12"/>
  <c r="U11" i="12"/>
  <c r="V11" i="12" s="1"/>
  <c r="Q11" i="12"/>
  <c r="E11" i="12"/>
  <c r="T11" i="12" s="1"/>
  <c r="A11" i="12"/>
  <c r="AE11" i="12" s="1"/>
  <c r="AD10" i="12"/>
  <c r="AA10" i="12"/>
  <c r="Z10" i="12"/>
  <c r="Y10" i="12"/>
  <c r="X10" i="12"/>
  <c r="W10" i="12"/>
  <c r="U10" i="12"/>
  <c r="V10" i="12" s="1"/>
  <c r="Q10" i="12"/>
  <c r="E10" i="12"/>
  <c r="R10" i="12" s="1"/>
  <c r="A10" i="12"/>
  <c r="P10" i="12" s="1"/>
  <c r="AD9" i="12"/>
  <c r="AA9" i="12"/>
  <c r="Z9" i="12"/>
  <c r="Y9" i="12"/>
  <c r="X9" i="12"/>
  <c r="W9" i="12"/>
  <c r="U9" i="12"/>
  <c r="V9" i="12" s="1"/>
  <c r="Q9" i="12"/>
  <c r="E9" i="12"/>
  <c r="A9" i="12"/>
  <c r="AE9" i="12" s="1"/>
  <c r="AD8" i="12"/>
  <c r="AA8" i="12"/>
  <c r="Z8" i="12"/>
  <c r="Y8" i="12"/>
  <c r="X8" i="12"/>
  <c r="W8" i="12"/>
  <c r="U8" i="12"/>
  <c r="V8" i="12" s="1"/>
  <c r="Q8" i="12"/>
  <c r="E8" i="12"/>
  <c r="A8" i="12"/>
  <c r="AD7" i="12"/>
  <c r="AA7" i="12"/>
  <c r="Z7" i="12"/>
  <c r="Y7" i="12"/>
  <c r="X7" i="12"/>
  <c r="W7" i="12"/>
  <c r="U7" i="12"/>
  <c r="V7" i="12" s="1"/>
  <c r="Q7" i="12"/>
  <c r="E7" i="12"/>
  <c r="T7" i="12" s="1"/>
  <c r="A7" i="12"/>
  <c r="AD6" i="12"/>
  <c r="AA6" i="12"/>
  <c r="Z6" i="12"/>
  <c r="Y6" i="12"/>
  <c r="X6" i="12"/>
  <c r="W6" i="12"/>
  <c r="U6" i="12"/>
  <c r="V6" i="12" s="1"/>
  <c r="Q6" i="12"/>
  <c r="E6" i="12"/>
  <c r="R6" i="12" s="1"/>
  <c r="A6" i="12"/>
  <c r="AE6" i="12" s="1"/>
  <c r="AD5" i="12"/>
  <c r="AA5" i="12"/>
  <c r="Z5" i="12"/>
  <c r="Y5" i="12"/>
  <c r="X5" i="12"/>
  <c r="W5" i="12"/>
  <c r="U5" i="12"/>
  <c r="V5" i="12" s="1"/>
  <c r="Q5" i="12"/>
  <c r="E5" i="12"/>
  <c r="AC5" i="12" s="1"/>
  <c r="A5" i="12"/>
  <c r="P5" i="12" s="1"/>
  <c r="AD4" i="12"/>
  <c r="AA4" i="12"/>
  <c r="Z4" i="12"/>
  <c r="Y4" i="12"/>
  <c r="X4" i="12"/>
  <c r="W4" i="12"/>
  <c r="U4" i="12"/>
  <c r="V4" i="12" s="1"/>
  <c r="Q4" i="12"/>
  <c r="E4" i="12"/>
  <c r="T4" i="12" s="1"/>
  <c r="A4" i="12"/>
  <c r="AE4" i="12" s="1"/>
  <c r="AD3" i="12"/>
  <c r="AA3" i="12"/>
  <c r="Z3" i="12"/>
  <c r="Y3" i="12"/>
  <c r="X3" i="12"/>
  <c r="W3" i="12"/>
  <c r="U3" i="12"/>
  <c r="V3" i="12" s="1"/>
  <c r="Q3" i="12"/>
  <c r="E3" i="12"/>
  <c r="T3" i="12" s="1"/>
  <c r="A3" i="12"/>
  <c r="AE3" i="12" s="1"/>
  <c r="AD2" i="12"/>
  <c r="AA2" i="12"/>
  <c r="Z2" i="12"/>
  <c r="Y2" i="12"/>
  <c r="X2" i="12"/>
  <c r="W2" i="12"/>
  <c r="U2" i="12"/>
  <c r="V2" i="12" s="1"/>
  <c r="Q2" i="12"/>
  <c r="E2" i="12"/>
  <c r="AC2" i="12" s="1"/>
  <c r="A2" i="12"/>
  <c r="S2" i="12" s="1"/>
  <c r="R39" i="12" l="1"/>
  <c r="AE46" i="12"/>
  <c r="R38" i="12"/>
  <c r="P46" i="12"/>
  <c r="T38" i="12"/>
  <c r="S25" i="12"/>
  <c r="P25" i="12"/>
  <c r="T43" i="12"/>
  <c r="AC26" i="12"/>
  <c r="P32" i="12"/>
  <c r="T44" i="12"/>
  <c r="R22" i="12"/>
  <c r="R46" i="12"/>
  <c r="AC41" i="12"/>
  <c r="T35" i="12"/>
  <c r="R31" i="12"/>
  <c r="T39" i="12"/>
  <c r="R44" i="12"/>
  <c r="P20" i="12"/>
  <c r="P36" i="12"/>
  <c r="S37" i="12"/>
  <c r="T24" i="12"/>
  <c r="R36" i="12"/>
  <c r="T21" i="12"/>
  <c r="AE23" i="12"/>
  <c r="P35" i="12"/>
  <c r="T36" i="12"/>
  <c r="P37" i="12"/>
  <c r="T20" i="12"/>
  <c r="S23" i="12"/>
  <c r="T29" i="12"/>
  <c r="AC33" i="12"/>
  <c r="AE31" i="12"/>
  <c r="AC18" i="12"/>
  <c r="S38" i="12"/>
  <c r="R20" i="12"/>
  <c r="P31" i="12"/>
  <c r="T19" i="12"/>
  <c r="S21" i="12"/>
  <c r="AC31" i="12"/>
  <c r="AC34" i="12"/>
  <c r="AC23" i="12"/>
  <c r="R24" i="12"/>
  <c r="T28" i="12"/>
  <c r="AE21" i="12"/>
  <c r="R23" i="12"/>
  <c r="T27" i="12"/>
  <c r="R30" i="12"/>
  <c r="AC11" i="12"/>
  <c r="AC19" i="12"/>
  <c r="AC35" i="12"/>
  <c r="R28" i="12"/>
  <c r="AE45" i="12"/>
  <c r="P43" i="12"/>
  <c r="P44" i="12"/>
  <c r="P45" i="12"/>
  <c r="R37" i="12"/>
  <c r="R45" i="12"/>
  <c r="AC32" i="12"/>
  <c r="AE39" i="12"/>
  <c r="AC40" i="12"/>
  <c r="T37" i="12"/>
  <c r="P39" i="12"/>
  <c r="T45" i="12"/>
  <c r="R40" i="12"/>
  <c r="P41" i="12"/>
  <c r="AE42" i="12"/>
  <c r="R41" i="12"/>
  <c r="P42" i="12"/>
  <c r="P33" i="12"/>
  <c r="R33" i="12"/>
  <c r="S33" i="12"/>
  <c r="AE35" i="12"/>
  <c r="S41" i="12"/>
  <c r="AE43" i="12"/>
  <c r="AE34" i="12"/>
  <c r="P34" i="12"/>
  <c r="R34" i="12"/>
  <c r="R42" i="12"/>
  <c r="AE44" i="12"/>
  <c r="R32" i="12"/>
  <c r="S19" i="12"/>
  <c r="S29" i="12"/>
  <c r="P29" i="12"/>
  <c r="P17" i="12"/>
  <c r="S17" i="12"/>
  <c r="AC17" i="12"/>
  <c r="S22" i="12"/>
  <c r="AE24" i="12"/>
  <c r="AC25" i="12"/>
  <c r="S30" i="12"/>
  <c r="T22" i="12"/>
  <c r="P24" i="12"/>
  <c r="T30" i="12"/>
  <c r="AE26" i="12"/>
  <c r="R25" i="12"/>
  <c r="P26" i="12"/>
  <c r="AE19" i="12"/>
  <c r="AE27" i="12"/>
  <c r="R17" i="12"/>
  <c r="P18" i="12"/>
  <c r="R18" i="12"/>
  <c r="R26" i="12"/>
  <c r="P27" i="12"/>
  <c r="S18" i="12"/>
  <c r="AE20" i="12"/>
  <c r="AC21" i="12"/>
  <c r="AE28" i="12"/>
  <c r="AC29" i="12"/>
  <c r="P28" i="12"/>
  <c r="AE22" i="12"/>
  <c r="AE30" i="12"/>
  <c r="T10" i="12"/>
  <c r="T5" i="12"/>
  <c r="AC10" i="12"/>
  <c r="R5" i="12"/>
  <c r="AC15" i="12"/>
  <c r="AE14" i="12"/>
  <c r="AE15" i="12"/>
  <c r="R14" i="12"/>
  <c r="R15" i="12"/>
  <c r="P3" i="12"/>
  <c r="P14" i="12"/>
  <c r="P15" i="12"/>
  <c r="R3" i="12"/>
  <c r="R2" i="12"/>
  <c r="R11" i="12"/>
  <c r="P16" i="12"/>
  <c r="T14" i="12"/>
  <c r="P12" i="12"/>
  <c r="P2" i="12"/>
  <c r="R7" i="12"/>
  <c r="P11" i="12"/>
  <c r="S12" i="12"/>
  <c r="T2" i="12"/>
  <c r="S10" i="12"/>
  <c r="S11" i="12"/>
  <c r="P6" i="12"/>
  <c r="AE10" i="12"/>
  <c r="AC3" i="12"/>
  <c r="S6" i="12"/>
  <c r="S13" i="12"/>
  <c r="AE2" i="12"/>
  <c r="P4" i="12"/>
  <c r="S3" i="12"/>
  <c r="AE7" i="12"/>
  <c r="S7" i="12"/>
  <c r="P7" i="12"/>
  <c r="AC13" i="12"/>
  <c r="R13" i="12"/>
  <c r="AC12" i="12"/>
  <c r="R12" i="12"/>
  <c r="T13" i="12"/>
  <c r="R9" i="12"/>
  <c r="AC9" i="12"/>
  <c r="T9" i="12"/>
  <c r="T12" i="12"/>
  <c r="AC6" i="12"/>
  <c r="T6" i="12"/>
  <c r="S8" i="12"/>
  <c r="AE8" i="12"/>
  <c r="P8" i="12"/>
  <c r="T8" i="12"/>
  <c r="R8" i="12"/>
  <c r="S4" i="12"/>
  <c r="S5" i="12"/>
  <c r="T16" i="12"/>
  <c r="R16" i="12"/>
  <c r="AC8" i="12"/>
  <c r="AC7" i="12"/>
  <c r="AE5" i="12"/>
  <c r="AC4" i="12"/>
  <c r="R4" i="12"/>
  <c r="S9" i="12"/>
  <c r="P9" i="12"/>
  <c r="AE13" i="12"/>
  <c r="AE16" i="12"/>
  <c r="AA181" i="11"/>
  <c r="Z181" i="11"/>
  <c r="Y181" i="11"/>
  <c r="X181" i="11"/>
  <c r="W181" i="11"/>
  <c r="U181" i="11"/>
  <c r="V181" i="11" s="1"/>
  <c r="Q181" i="11"/>
  <c r="E181" i="11"/>
  <c r="T181" i="11" s="1"/>
  <c r="A181" i="11"/>
  <c r="P181" i="11" s="1"/>
  <c r="AA176" i="11"/>
  <c r="Z176" i="11"/>
  <c r="Y176" i="11"/>
  <c r="X176" i="11"/>
  <c r="W176" i="11"/>
  <c r="U176" i="11"/>
  <c r="V176" i="11" s="1"/>
  <c r="Q176" i="11"/>
  <c r="E176" i="11"/>
  <c r="A176" i="11"/>
  <c r="P176" i="11" s="1"/>
  <c r="AA171" i="11"/>
  <c r="Z171" i="11"/>
  <c r="Y171" i="11"/>
  <c r="X171" i="11"/>
  <c r="W171" i="11"/>
  <c r="U171" i="11"/>
  <c r="V171" i="11" s="1"/>
  <c r="Q171" i="11"/>
  <c r="E171" i="11"/>
  <c r="R171" i="11" s="1"/>
  <c r="A171" i="11"/>
  <c r="AA166" i="11"/>
  <c r="Z166" i="11"/>
  <c r="Y166" i="11"/>
  <c r="X166" i="11"/>
  <c r="W166" i="11"/>
  <c r="U166" i="11"/>
  <c r="V166" i="11" s="1"/>
  <c r="Q166" i="11"/>
  <c r="E166" i="11"/>
  <c r="A166" i="11"/>
  <c r="S166" i="11" s="1"/>
  <c r="AA161" i="11"/>
  <c r="Z161" i="11"/>
  <c r="Y161" i="11"/>
  <c r="X161" i="11"/>
  <c r="W161" i="11"/>
  <c r="U161" i="11"/>
  <c r="V161" i="11" s="1"/>
  <c r="Q161" i="11"/>
  <c r="E161" i="11"/>
  <c r="T161" i="11" s="1"/>
  <c r="A161" i="11"/>
  <c r="P161" i="11" s="1"/>
  <c r="AA156" i="11"/>
  <c r="Z156" i="11"/>
  <c r="Y156" i="11"/>
  <c r="X156" i="11"/>
  <c r="W156" i="11"/>
  <c r="U156" i="11"/>
  <c r="V156" i="11" s="1"/>
  <c r="Q156" i="11"/>
  <c r="E156" i="11"/>
  <c r="A156" i="11"/>
  <c r="S156" i="11" s="1"/>
  <c r="AA151" i="11"/>
  <c r="Z151" i="11"/>
  <c r="Y151" i="11"/>
  <c r="X151" i="11"/>
  <c r="W151" i="11"/>
  <c r="U151" i="11"/>
  <c r="V151" i="11" s="1"/>
  <c r="Q151" i="11"/>
  <c r="E151" i="11"/>
  <c r="A151" i="11"/>
  <c r="S151" i="11" s="1"/>
  <c r="AA146" i="11"/>
  <c r="Z146" i="11"/>
  <c r="Y146" i="11"/>
  <c r="X146" i="11"/>
  <c r="W146" i="11"/>
  <c r="U146" i="11"/>
  <c r="V146" i="11" s="1"/>
  <c r="Q146" i="11"/>
  <c r="E146" i="11"/>
  <c r="T146" i="11" s="1"/>
  <c r="A146" i="11"/>
  <c r="AA141" i="11"/>
  <c r="Z141" i="11"/>
  <c r="Y141" i="11"/>
  <c r="X141" i="11"/>
  <c r="W141" i="11"/>
  <c r="U141" i="11"/>
  <c r="V141" i="11" s="1"/>
  <c r="Q141" i="11"/>
  <c r="E141" i="11"/>
  <c r="A141" i="11"/>
  <c r="AA136" i="11"/>
  <c r="Z136" i="11"/>
  <c r="Y136" i="11"/>
  <c r="X136" i="11"/>
  <c r="W136" i="11"/>
  <c r="U136" i="11"/>
  <c r="V136" i="11" s="1"/>
  <c r="Q136" i="11"/>
  <c r="E136" i="11"/>
  <c r="A136" i="11"/>
  <c r="AA131" i="11"/>
  <c r="Z131" i="11"/>
  <c r="Y131" i="11"/>
  <c r="X131" i="11"/>
  <c r="W131" i="11"/>
  <c r="U131" i="11"/>
  <c r="V131" i="11" s="1"/>
  <c r="Q131" i="11"/>
  <c r="E131" i="11"/>
  <c r="R131" i="11" s="1"/>
  <c r="A131" i="11"/>
  <c r="AA126" i="11"/>
  <c r="Z126" i="11"/>
  <c r="Y126" i="11"/>
  <c r="X126" i="11"/>
  <c r="W126" i="11"/>
  <c r="U126" i="11"/>
  <c r="V126" i="11" s="1"/>
  <c r="Q126" i="11"/>
  <c r="E126" i="11"/>
  <c r="A126" i="11"/>
  <c r="S126" i="11" s="1"/>
  <c r="AA121" i="11"/>
  <c r="Z121" i="11"/>
  <c r="Y121" i="11"/>
  <c r="X121" i="11"/>
  <c r="W121" i="11"/>
  <c r="U121" i="11"/>
  <c r="V121" i="11" s="1"/>
  <c r="Q121" i="11"/>
  <c r="E121" i="11"/>
  <c r="R121" i="11" s="1"/>
  <c r="A121" i="11"/>
  <c r="P121" i="11" s="1"/>
  <c r="AA116" i="11"/>
  <c r="Z116" i="11"/>
  <c r="Y116" i="11"/>
  <c r="X116" i="11"/>
  <c r="W116" i="11"/>
  <c r="U116" i="11"/>
  <c r="V116" i="11" s="1"/>
  <c r="Q116" i="11"/>
  <c r="E116" i="11"/>
  <c r="A116" i="11"/>
  <c r="P116" i="11" s="1"/>
  <c r="AA111" i="11"/>
  <c r="Z111" i="11"/>
  <c r="Y111" i="11"/>
  <c r="X111" i="11"/>
  <c r="W111" i="11"/>
  <c r="U111" i="11"/>
  <c r="V111" i="11" s="1"/>
  <c r="Q111" i="11"/>
  <c r="E111" i="11"/>
  <c r="T111" i="11" s="1"/>
  <c r="A111" i="11"/>
  <c r="S111" i="11" s="1"/>
  <c r="AA106" i="11"/>
  <c r="Z106" i="11"/>
  <c r="Y106" i="11"/>
  <c r="X106" i="11"/>
  <c r="W106" i="11"/>
  <c r="U106" i="11"/>
  <c r="V106" i="11" s="1"/>
  <c r="Q106" i="11"/>
  <c r="E106" i="11"/>
  <c r="A106" i="11"/>
  <c r="P106" i="11" s="1"/>
  <c r="AA101" i="11"/>
  <c r="Z101" i="11"/>
  <c r="Y101" i="11"/>
  <c r="X101" i="11"/>
  <c r="W101" i="11"/>
  <c r="U101" i="11"/>
  <c r="V101" i="11" s="1"/>
  <c r="Q101" i="11"/>
  <c r="E101" i="11"/>
  <c r="T101" i="11" s="1"/>
  <c r="A101" i="11"/>
  <c r="S101" i="11" s="1"/>
  <c r="AA96" i="11"/>
  <c r="Z96" i="11"/>
  <c r="Y96" i="11"/>
  <c r="X96" i="11"/>
  <c r="W96" i="11"/>
  <c r="U96" i="11"/>
  <c r="V96" i="11" s="1"/>
  <c r="Q96" i="11"/>
  <c r="E96" i="11"/>
  <c r="A96" i="11"/>
  <c r="P96" i="11" s="1"/>
  <c r="AA91" i="11"/>
  <c r="Z91" i="11"/>
  <c r="Y91" i="11"/>
  <c r="X91" i="11"/>
  <c r="W91" i="11"/>
  <c r="U91" i="11"/>
  <c r="V91" i="11" s="1"/>
  <c r="Q91" i="11"/>
  <c r="E91" i="11"/>
  <c r="R91" i="11" s="1"/>
  <c r="A91" i="11"/>
  <c r="AA86" i="11"/>
  <c r="Z86" i="11"/>
  <c r="Y86" i="11"/>
  <c r="X86" i="11"/>
  <c r="W86" i="11"/>
  <c r="U86" i="11"/>
  <c r="V86" i="11" s="1"/>
  <c r="Q86" i="11"/>
  <c r="E86" i="11"/>
  <c r="A86" i="11"/>
  <c r="AA81" i="11"/>
  <c r="Z81" i="11"/>
  <c r="Y81" i="11"/>
  <c r="X81" i="11"/>
  <c r="W81" i="11"/>
  <c r="U81" i="11"/>
  <c r="V81" i="11" s="1"/>
  <c r="Q81" i="11"/>
  <c r="E81" i="11"/>
  <c r="T81" i="11" s="1"/>
  <c r="A81" i="11"/>
  <c r="AA76" i="11"/>
  <c r="Z76" i="11"/>
  <c r="Y76" i="11"/>
  <c r="X76" i="11"/>
  <c r="W76" i="11"/>
  <c r="U76" i="11"/>
  <c r="V76" i="11" s="1"/>
  <c r="Q76" i="11"/>
  <c r="E76" i="11"/>
  <c r="T76" i="11" s="1"/>
  <c r="A76" i="11"/>
  <c r="AA71" i="11"/>
  <c r="Z71" i="11"/>
  <c r="Y71" i="11"/>
  <c r="X71" i="11"/>
  <c r="W71" i="11"/>
  <c r="U71" i="11"/>
  <c r="V71" i="11" s="1"/>
  <c r="Q71" i="11"/>
  <c r="E71" i="11"/>
  <c r="R71" i="11" s="1"/>
  <c r="A71" i="11"/>
  <c r="S71" i="11" s="1"/>
  <c r="AA66" i="11"/>
  <c r="Z66" i="11"/>
  <c r="Y66" i="11"/>
  <c r="X66" i="11"/>
  <c r="W66" i="11"/>
  <c r="U66" i="11"/>
  <c r="V66" i="11" s="1"/>
  <c r="Q66" i="11"/>
  <c r="E66" i="11"/>
  <c r="T66" i="11" s="1"/>
  <c r="A66" i="11"/>
  <c r="P66" i="11" s="1"/>
  <c r="AA61" i="11"/>
  <c r="Z61" i="11"/>
  <c r="Y61" i="11"/>
  <c r="X61" i="11"/>
  <c r="W61" i="11"/>
  <c r="U61" i="11"/>
  <c r="V61" i="11" s="1"/>
  <c r="Q61" i="11"/>
  <c r="E61" i="11"/>
  <c r="R61" i="11" s="1"/>
  <c r="A61" i="11"/>
  <c r="S61" i="11" s="1"/>
  <c r="AA56" i="11"/>
  <c r="Z56" i="11"/>
  <c r="Y56" i="11"/>
  <c r="X56" i="11"/>
  <c r="W56" i="11"/>
  <c r="U56" i="11"/>
  <c r="V56" i="11" s="1"/>
  <c r="Q56" i="11"/>
  <c r="E56" i="11"/>
  <c r="A56" i="11"/>
  <c r="P56" i="11" s="1"/>
  <c r="AA51" i="11"/>
  <c r="Z51" i="11"/>
  <c r="Y51" i="11"/>
  <c r="X51" i="11"/>
  <c r="W51" i="11"/>
  <c r="U51" i="11"/>
  <c r="V51" i="11" s="1"/>
  <c r="Q51" i="11"/>
  <c r="E51" i="11"/>
  <c r="R51" i="11" s="1"/>
  <c r="A51" i="11"/>
  <c r="AA46" i="11"/>
  <c r="Z46" i="11"/>
  <c r="Y46" i="11"/>
  <c r="X46" i="11"/>
  <c r="W46" i="11"/>
  <c r="U46" i="11"/>
  <c r="V46" i="11" s="1"/>
  <c r="Q46" i="11"/>
  <c r="E46" i="11"/>
  <c r="A46" i="11"/>
  <c r="S46" i="11" s="1"/>
  <c r="AA41" i="11"/>
  <c r="Z41" i="11"/>
  <c r="Y41" i="11"/>
  <c r="X41" i="11"/>
  <c r="W41" i="11"/>
  <c r="U41" i="11"/>
  <c r="V41" i="11" s="1"/>
  <c r="Q41" i="11"/>
  <c r="E41" i="11"/>
  <c r="T41" i="11" s="1"/>
  <c r="A41" i="11"/>
  <c r="P41" i="11" s="1"/>
  <c r="AA36" i="11"/>
  <c r="Z36" i="11"/>
  <c r="Y36" i="11"/>
  <c r="X36" i="11"/>
  <c r="W36" i="11"/>
  <c r="U36" i="11"/>
  <c r="V36" i="11" s="1"/>
  <c r="Q36" i="11"/>
  <c r="E36" i="11"/>
  <c r="A36" i="11"/>
  <c r="AA31" i="11"/>
  <c r="Z31" i="11"/>
  <c r="Y31" i="11"/>
  <c r="X31" i="11"/>
  <c r="W31" i="11"/>
  <c r="U31" i="11"/>
  <c r="V31" i="11" s="1"/>
  <c r="Q31" i="11"/>
  <c r="E31" i="11"/>
  <c r="A31" i="11"/>
  <c r="S31" i="11" s="1"/>
  <c r="AA26" i="11"/>
  <c r="Z26" i="11"/>
  <c r="Y26" i="11"/>
  <c r="X26" i="11"/>
  <c r="W26" i="11"/>
  <c r="U26" i="11"/>
  <c r="V26" i="11" s="1"/>
  <c r="Q26" i="11"/>
  <c r="E26" i="11"/>
  <c r="T26" i="11" s="1"/>
  <c r="A26" i="11"/>
  <c r="AA21" i="11"/>
  <c r="Z21" i="11"/>
  <c r="Y21" i="11"/>
  <c r="X21" i="11"/>
  <c r="W21" i="11"/>
  <c r="U21" i="11"/>
  <c r="V21" i="11" s="1"/>
  <c r="Q21" i="11"/>
  <c r="E21" i="11"/>
  <c r="R21" i="11" s="1"/>
  <c r="A21" i="11"/>
  <c r="AA16" i="11"/>
  <c r="Z16" i="11"/>
  <c r="Y16" i="11"/>
  <c r="X16" i="11"/>
  <c r="W16" i="11"/>
  <c r="U16" i="11"/>
  <c r="V16" i="11" s="1"/>
  <c r="Q16" i="11"/>
  <c r="E16" i="11"/>
  <c r="T16" i="11" s="1"/>
  <c r="A16" i="11"/>
  <c r="AA11" i="11"/>
  <c r="Z11" i="11"/>
  <c r="Y11" i="11"/>
  <c r="X11" i="11"/>
  <c r="W11" i="11"/>
  <c r="U11" i="11"/>
  <c r="V11" i="11" s="1"/>
  <c r="Q11" i="11"/>
  <c r="E11" i="11"/>
  <c r="R11" i="11" s="1"/>
  <c r="A11" i="11"/>
  <c r="AA6" i="11"/>
  <c r="Z6" i="11"/>
  <c r="Y6" i="11"/>
  <c r="X6" i="11"/>
  <c r="W6" i="11"/>
  <c r="U6" i="11"/>
  <c r="V6" i="11" s="1"/>
  <c r="Q6" i="11"/>
  <c r="E6" i="11"/>
  <c r="A6" i="11"/>
  <c r="S6" i="11" s="1"/>
  <c r="AA180" i="11"/>
  <c r="Z180" i="11"/>
  <c r="Y180" i="11"/>
  <c r="X180" i="11"/>
  <c r="W180" i="11"/>
  <c r="U180" i="11"/>
  <c r="V180" i="11" s="1"/>
  <c r="Q180" i="11"/>
  <c r="E180" i="11"/>
  <c r="T180" i="11" s="1"/>
  <c r="A180" i="11"/>
  <c r="P180" i="11" s="1"/>
  <c r="AA175" i="11"/>
  <c r="Z175" i="11"/>
  <c r="Y175" i="11"/>
  <c r="X175" i="11"/>
  <c r="W175" i="11"/>
  <c r="U175" i="11"/>
  <c r="V175" i="11" s="1"/>
  <c r="Q175" i="11"/>
  <c r="E175" i="11"/>
  <c r="R175" i="11" s="1"/>
  <c r="A175" i="11"/>
  <c r="S175" i="11" s="1"/>
  <c r="AA170" i="11"/>
  <c r="Z170" i="11"/>
  <c r="Y170" i="11"/>
  <c r="X170" i="11"/>
  <c r="W170" i="11"/>
  <c r="U170" i="11"/>
  <c r="V170" i="11" s="1"/>
  <c r="Q170" i="11"/>
  <c r="E170" i="11"/>
  <c r="A170" i="11"/>
  <c r="AA165" i="11"/>
  <c r="Z165" i="11"/>
  <c r="Y165" i="11"/>
  <c r="X165" i="11"/>
  <c r="W165" i="11"/>
  <c r="U165" i="11"/>
  <c r="V165" i="11" s="1"/>
  <c r="Q165" i="11"/>
  <c r="E165" i="11"/>
  <c r="A165" i="11"/>
  <c r="S165" i="11" s="1"/>
  <c r="AA160" i="11"/>
  <c r="Z160" i="11"/>
  <c r="Y160" i="11"/>
  <c r="X160" i="11"/>
  <c r="W160" i="11"/>
  <c r="U160" i="11"/>
  <c r="V160" i="11" s="1"/>
  <c r="Q160" i="11"/>
  <c r="E160" i="11"/>
  <c r="T160" i="11" s="1"/>
  <c r="A160" i="11"/>
  <c r="AA155" i="11"/>
  <c r="Z155" i="11"/>
  <c r="Y155" i="11"/>
  <c r="X155" i="11"/>
  <c r="W155" i="11"/>
  <c r="U155" i="11"/>
  <c r="V155" i="11" s="1"/>
  <c r="Q155" i="11"/>
  <c r="E155" i="11"/>
  <c r="R155" i="11" s="1"/>
  <c r="A155" i="11"/>
  <c r="AA150" i="11"/>
  <c r="Z150" i="11"/>
  <c r="Y150" i="11"/>
  <c r="X150" i="11"/>
  <c r="W150" i="11"/>
  <c r="U150" i="11"/>
  <c r="V150" i="11" s="1"/>
  <c r="Q150" i="11"/>
  <c r="E150" i="11"/>
  <c r="A150" i="11"/>
  <c r="AA145" i="11"/>
  <c r="Z145" i="11"/>
  <c r="Y145" i="11"/>
  <c r="X145" i="11"/>
  <c r="W145" i="11"/>
  <c r="U145" i="11"/>
  <c r="V145" i="11" s="1"/>
  <c r="Q145" i="11"/>
  <c r="E145" i="11"/>
  <c r="A145" i="11"/>
  <c r="AA140" i="11"/>
  <c r="Z140" i="11"/>
  <c r="Y140" i="11"/>
  <c r="X140" i="11"/>
  <c r="W140" i="11"/>
  <c r="U140" i="11"/>
  <c r="V140" i="11" s="1"/>
  <c r="Q140" i="11"/>
  <c r="E140" i="11"/>
  <c r="A140" i="11"/>
  <c r="AA135" i="11"/>
  <c r="Z135" i="11"/>
  <c r="Y135" i="11"/>
  <c r="X135" i="11"/>
  <c r="W135" i="11"/>
  <c r="U135" i="11"/>
  <c r="V135" i="11" s="1"/>
  <c r="Q135" i="11"/>
  <c r="E135" i="11"/>
  <c r="R135" i="11" s="1"/>
  <c r="A135" i="11"/>
  <c r="AA130" i="11"/>
  <c r="Z130" i="11"/>
  <c r="Y130" i="11"/>
  <c r="X130" i="11"/>
  <c r="W130" i="11"/>
  <c r="U130" i="11"/>
  <c r="V130" i="11" s="1"/>
  <c r="Q130" i="11"/>
  <c r="E130" i="11"/>
  <c r="R130" i="11" s="1"/>
  <c r="A130" i="11"/>
  <c r="AA125" i="11"/>
  <c r="Z125" i="11"/>
  <c r="Y125" i="11"/>
  <c r="X125" i="11"/>
  <c r="W125" i="11"/>
  <c r="U125" i="11"/>
  <c r="V125" i="11" s="1"/>
  <c r="Q125" i="11"/>
  <c r="E125" i="11"/>
  <c r="A125" i="11"/>
  <c r="S125" i="11" s="1"/>
  <c r="AA120" i="11"/>
  <c r="Z120" i="11"/>
  <c r="Y120" i="11"/>
  <c r="X120" i="11"/>
  <c r="W120" i="11"/>
  <c r="U120" i="11"/>
  <c r="V120" i="11" s="1"/>
  <c r="Q120" i="11"/>
  <c r="E120" i="11"/>
  <c r="R120" i="11" s="1"/>
  <c r="A120" i="11"/>
  <c r="AA115" i="11"/>
  <c r="Z115" i="11"/>
  <c r="Y115" i="11"/>
  <c r="X115" i="11"/>
  <c r="W115" i="11"/>
  <c r="U115" i="11"/>
  <c r="V115" i="11" s="1"/>
  <c r="Q115" i="11"/>
  <c r="E115" i="11"/>
  <c r="R115" i="11" s="1"/>
  <c r="A115" i="11"/>
  <c r="P115" i="11" s="1"/>
  <c r="AA110" i="11"/>
  <c r="Z110" i="11"/>
  <c r="Y110" i="11"/>
  <c r="X110" i="11"/>
  <c r="W110" i="11"/>
  <c r="U110" i="11"/>
  <c r="V110" i="11" s="1"/>
  <c r="Q110" i="11"/>
  <c r="E110" i="11"/>
  <c r="T110" i="11" s="1"/>
  <c r="A110" i="11"/>
  <c r="AA105" i="11"/>
  <c r="Z105" i="11"/>
  <c r="Y105" i="11"/>
  <c r="X105" i="11"/>
  <c r="W105" i="11"/>
  <c r="U105" i="11"/>
  <c r="V105" i="11" s="1"/>
  <c r="Q105" i="11"/>
  <c r="E105" i="11"/>
  <c r="A105" i="11"/>
  <c r="AA100" i="11"/>
  <c r="Z100" i="11"/>
  <c r="Y100" i="11"/>
  <c r="X100" i="11"/>
  <c r="W100" i="11"/>
  <c r="U100" i="11"/>
  <c r="V100" i="11" s="1"/>
  <c r="Q100" i="11"/>
  <c r="E100" i="11"/>
  <c r="A100" i="11"/>
  <c r="P100" i="11" s="1"/>
  <c r="AA95" i="11"/>
  <c r="Z95" i="11"/>
  <c r="Y95" i="11"/>
  <c r="X95" i="11"/>
  <c r="W95" i="11"/>
  <c r="U95" i="11"/>
  <c r="V95" i="11" s="1"/>
  <c r="Q95" i="11"/>
  <c r="E95" i="11"/>
  <c r="A95" i="11"/>
  <c r="P95" i="11" s="1"/>
  <c r="AA90" i="11"/>
  <c r="Z90" i="11"/>
  <c r="Y90" i="11"/>
  <c r="X90" i="11"/>
  <c r="W90" i="11"/>
  <c r="U90" i="11"/>
  <c r="V90" i="11" s="1"/>
  <c r="Q90" i="11"/>
  <c r="E90" i="11"/>
  <c r="R90" i="11" s="1"/>
  <c r="A90" i="11"/>
  <c r="AA85" i="11"/>
  <c r="Z85" i="11"/>
  <c r="Y85" i="11"/>
  <c r="X85" i="11"/>
  <c r="W85" i="11"/>
  <c r="U85" i="11"/>
  <c r="V85" i="11" s="1"/>
  <c r="Q85" i="11"/>
  <c r="E85" i="11"/>
  <c r="A85" i="11"/>
  <c r="AA80" i="11"/>
  <c r="Z80" i="11"/>
  <c r="Y80" i="11"/>
  <c r="X80" i="11"/>
  <c r="W80" i="11"/>
  <c r="U80" i="11"/>
  <c r="V80" i="11" s="1"/>
  <c r="Q80" i="11"/>
  <c r="E80" i="11"/>
  <c r="T80" i="11" s="1"/>
  <c r="A80" i="11"/>
  <c r="AA75" i="11"/>
  <c r="Z75" i="11"/>
  <c r="Y75" i="11"/>
  <c r="X75" i="11"/>
  <c r="W75" i="11"/>
  <c r="U75" i="11"/>
  <c r="V75" i="11" s="1"/>
  <c r="Q75" i="11"/>
  <c r="E75" i="11"/>
  <c r="A75" i="11"/>
  <c r="S75" i="11" s="1"/>
  <c r="AA70" i="11"/>
  <c r="Z70" i="11"/>
  <c r="Y70" i="11"/>
  <c r="X70" i="11"/>
  <c r="W70" i="11"/>
  <c r="U70" i="11"/>
  <c r="V70" i="11" s="1"/>
  <c r="Q70" i="11"/>
  <c r="E70" i="11"/>
  <c r="A70" i="11"/>
  <c r="AA65" i="11"/>
  <c r="Z65" i="11"/>
  <c r="Y65" i="11"/>
  <c r="X65" i="11"/>
  <c r="W65" i="11"/>
  <c r="U65" i="11"/>
  <c r="V65" i="11" s="1"/>
  <c r="Q65" i="11"/>
  <c r="E65" i="11"/>
  <c r="R65" i="11" s="1"/>
  <c r="A65" i="11"/>
  <c r="P65" i="11" s="1"/>
  <c r="AA60" i="11"/>
  <c r="Z60" i="11"/>
  <c r="Y60" i="11"/>
  <c r="X60" i="11"/>
  <c r="W60" i="11"/>
  <c r="U60" i="11"/>
  <c r="V60" i="11" s="1"/>
  <c r="Q60" i="11"/>
  <c r="E60" i="11"/>
  <c r="T60" i="11" s="1"/>
  <c r="A60" i="11"/>
  <c r="AE140" i="11" s="1"/>
  <c r="AA55" i="11"/>
  <c r="Z55" i="11"/>
  <c r="Y55" i="11"/>
  <c r="X55" i="11"/>
  <c r="W55" i="11"/>
  <c r="U55" i="11"/>
  <c r="V55" i="11" s="1"/>
  <c r="Q55" i="11"/>
  <c r="E55" i="11"/>
  <c r="T55" i="11" s="1"/>
  <c r="A55" i="11"/>
  <c r="P55" i="11" s="1"/>
  <c r="AA50" i="11"/>
  <c r="Z50" i="11"/>
  <c r="Y50" i="11"/>
  <c r="X50" i="11"/>
  <c r="W50" i="11"/>
  <c r="U50" i="11"/>
  <c r="V50" i="11" s="1"/>
  <c r="Q50" i="11"/>
  <c r="E50" i="11"/>
  <c r="R50" i="11" s="1"/>
  <c r="A50" i="11"/>
  <c r="AA45" i="11"/>
  <c r="Z45" i="11"/>
  <c r="Y45" i="11"/>
  <c r="X45" i="11"/>
  <c r="W45" i="11"/>
  <c r="U45" i="11"/>
  <c r="V45" i="11" s="1"/>
  <c r="Q45" i="11"/>
  <c r="E45" i="11"/>
  <c r="A45" i="11"/>
  <c r="P45" i="11" s="1"/>
  <c r="AA40" i="11"/>
  <c r="Z40" i="11"/>
  <c r="Y40" i="11"/>
  <c r="X40" i="11"/>
  <c r="W40" i="11"/>
  <c r="U40" i="11"/>
  <c r="V40" i="11" s="1"/>
  <c r="Q40" i="11"/>
  <c r="E40" i="11"/>
  <c r="T40" i="11" s="1"/>
  <c r="A40" i="11"/>
  <c r="P40" i="11" s="1"/>
  <c r="AA35" i="11"/>
  <c r="Z35" i="11"/>
  <c r="Y35" i="11"/>
  <c r="X35" i="11"/>
  <c r="W35" i="11"/>
  <c r="U35" i="11"/>
  <c r="V35" i="11" s="1"/>
  <c r="Q35" i="11"/>
  <c r="E35" i="11"/>
  <c r="R35" i="11" s="1"/>
  <c r="A35" i="11"/>
  <c r="S35" i="11" s="1"/>
  <c r="AA30" i="11"/>
  <c r="Z30" i="11"/>
  <c r="Y30" i="11"/>
  <c r="X30" i="11"/>
  <c r="W30" i="11"/>
  <c r="U30" i="11"/>
  <c r="V30" i="11" s="1"/>
  <c r="Q30" i="11"/>
  <c r="E30" i="11"/>
  <c r="T30" i="11" s="1"/>
  <c r="A30" i="11"/>
  <c r="S30" i="11" s="1"/>
  <c r="AA25" i="11"/>
  <c r="Z25" i="11"/>
  <c r="Y25" i="11"/>
  <c r="X25" i="11"/>
  <c r="W25" i="11"/>
  <c r="U25" i="11"/>
  <c r="V25" i="11" s="1"/>
  <c r="Q25" i="11"/>
  <c r="E25" i="11"/>
  <c r="A25" i="11"/>
  <c r="S25" i="11" s="1"/>
  <c r="AA20" i="11"/>
  <c r="Z20" i="11"/>
  <c r="Y20" i="11"/>
  <c r="X20" i="11"/>
  <c r="W20" i="11"/>
  <c r="U20" i="11"/>
  <c r="V20" i="11" s="1"/>
  <c r="Q20" i="11"/>
  <c r="E20" i="11"/>
  <c r="A20" i="11"/>
  <c r="S20" i="11" s="1"/>
  <c r="AA15" i="11"/>
  <c r="Z15" i="11"/>
  <c r="Y15" i="11"/>
  <c r="X15" i="11"/>
  <c r="W15" i="11"/>
  <c r="U15" i="11"/>
  <c r="V15" i="11" s="1"/>
  <c r="Q15" i="11"/>
  <c r="E15" i="11"/>
  <c r="T15" i="11" s="1"/>
  <c r="A15" i="11"/>
  <c r="AA10" i="11"/>
  <c r="Z10" i="11"/>
  <c r="Y10" i="11"/>
  <c r="X10" i="11"/>
  <c r="W10" i="11"/>
  <c r="U10" i="11"/>
  <c r="V10" i="11" s="1"/>
  <c r="Q10" i="11"/>
  <c r="E10" i="11"/>
  <c r="A10" i="11"/>
  <c r="AA5" i="11"/>
  <c r="Z5" i="11"/>
  <c r="Y5" i="11"/>
  <c r="X5" i="11"/>
  <c r="W5" i="11"/>
  <c r="U5" i="11"/>
  <c r="V5" i="11" s="1"/>
  <c r="Q5" i="11"/>
  <c r="E5" i="11"/>
  <c r="R5" i="11" s="1"/>
  <c r="A5" i="11"/>
  <c r="S5" i="11" s="1"/>
  <c r="AD181" i="11"/>
  <c r="AB181" i="11"/>
  <c r="AA179" i="11"/>
  <c r="Z179" i="11"/>
  <c r="Y179" i="11"/>
  <c r="X179" i="11"/>
  <c r="W179" i="11"/>
  <c r="U179" i="11"/>
  <c r="V179" i="11" s="1"/>
  <c r="Q179" i="11"/>
  <c r="E179" i="11"/>
  <c r="A179" i="11"/>
  <c r="AD121" i="11"/>
  <c r="AB121" i="11"/>
  <c r="AA174" i="11"/>
  <c r="Z174" i="11"/>
  <c r="Y174" i="11"/>
  <c r="X174" i="11"/>
  <c r="W174" i="11"/>
  <c r="U174" i="11"/>
  <c r="V174" i="11" s="1"/>
  <c r="Q174" i="11"/>
  <c r="E174" i="11"/>
  <c r="T174" i="11" s="1"/>
  <c r="A174" i="11"/>
  <c r="P174" i="11" s="1"/>
  <c r="AD61" i="11"/>
  <c r="AB61" i="11"/>
  <c r="AA169" i="11"/>
  <c r="Z169" i="11"/>
  <c r="Y169" i="11"/>
  <c r="X169" i="11"/>
  <c r="W169" i="11"/>
  <c r="U169" i="11"/>
  <c r="V169" i="11" s="1"/>
  <c r="Q169" i="11"/>
  <c r="E169" i="11"/>
  <c r="T169" i="11" s="1"/>
  <c r="A169" i="11"/>
  <c r="AD176" i="11"/>
  <c r="AB176" i="11"/>
  <c r="AA164" i="11"/>
  <c r="Z164" i="11"/>
  <c r="Y164" i="11"/>
  <c r="X164" i="11"/>
  <c r="W164" i="11"/>
  <c r="U164" i="11"/>
  <c r="V164" i="11" s="1"/>
  <c r="Q164" i="11"/>
  <c r="E164" i="11"/>
  <c r="T164" i="11" s="1"/>
  <c r="A164" i="11"/>
  <c r="S164" i="11" s="1"/>
  <c r="AD116" i="11"/>
  <c r="AB116" i="11"/>
  <c r="AA159" i="11"/>
  <c r="Z159" i="11"/>
  <c r="Y159" i="11"/>
  <c r="X159" i="11"/>
  <c r="W159" i="11"/>
  <c r="U159" i="11"/>
  <c r="V159" i="11" s="1"/>
  <c r="Q159" i="11"/>
  <c r="E159" i="11"/>
  <c r="R159" i="11" s="1"/>
  <c r="A159" i="11"/>
  <c r="AD56" i="11"/>
  <c r="AB56" i="11"/>
  <c r="AA154" i="11"/>
  <c r="Z154" i="11"/>
  <c r="Y154" i="11"/>
  <c r="X154" i="11"/>
  <c r="W154" i="11"/>
  <c r="U154" i="11"/>
  <c r="V154" i="11" s="1"/>
  <c r="Q154" i="11"/>
  <c r="E154" i="11"/>
  <c r="A154" i="11"/>
  <c r="S154" i="11" s="1"/>
  <c r="AD171" i="11"/>
  <c r="AB171" i="11"/>
  <c r="AA149" i="11"/>
  <c r="Z149" i="11"/>
  <c r="Y149" i="11"/>
  <c r="X149" i="11"/>
  <c r="W149" i="11"/>
  <c r="U149" i="11"/>
  <c r="V149" i="11" s="1"/>
  <c r="Q149" i="11"/>
  <c r="E149" i="11"/>
  <c r="R149" i="11" s="1"/>
  <c r="A149" i="11"/>
  <c r="P149" i="11" s="1"/>
  <c r="AD111" i="11"/>
  <c r="AB111" i="11"/>
  <c r="AA144" i="11"/>
  <c r="Z144" i="11"/>
  <c r="Y144" i="11"/>
  <c r="X144" i="11"/>
  <c r="W144" i="11"/>
  <c r="U144" i="11"/>
  <c r="V144" i="11" s="1"/>
  <c r="Q144" i="11"/>
  <c r="E144" i="11"/>
  <c r="R144" i="11" s="1"/>
  <c r="A144" i="11"/>
  <c r="P144" i="11" s="1"/>
  <c r="AD51" i="11"/>
  <c r="AB51" i="11"/>
  <c r="AA139" i="11"/>
  <c r="Z139" i="11"/>
  <c r="Y139" i="11"/>
  <c r="X139" i="11"/>
  <c r="W139" i="11"/>
  <c r="U139" i="11"/>
  <c r="V139" i="11" s="1"/>
  <c r="Q139" i="11"/>
  <c r="E139" i="11"/>
  <c r="A139" i="11"/>
  <c r="AD166" i="11"/>
  <c r="AB166" i="11"/>
  <c r="AA134" i="11"/>
  <c r="Z134" i="11"/>
  <c r="Y134" i="11"/>
  <c r="X134" i="11"/>
  <c r="W134" i="11"/>
  <c r="U134" i="11"/>
  <c r="V134" i="11" s="1"/>
  <c r="Q134" i="11"/>
  <c r="E134" i="11"/>
  <c r="T134" i="11" s="1"/>
  <c r="A134" i="11"/>
  <c r="AD106" i="11"/>
  <c r="AB106" i="11"/>
  <c r="AA129" i="11"/>
  <c r="Z129" i="11"/>
  <c r="Y129" i="11"/>
  <c r="X129" i="11"/>
  <c r="W129" i="11"/>
  <c r="U129" i="11"/>
  <c r="V129" i="11" s="1"/>
  <c r="Q129" i="11"/>
  <c r="E129" i="11"/>
  <c r="T129" i="11" s="1"/>
  <c r="A129" i="11"/>
  <c r="P129" i="11" s="1"/>
  <c r="AD46" i="11"/>
  <c r="AB46" i="11"/>
  <c r="AA124" i="11"/>
  <c r="Z124" i="11"/>
  <c r="Y124" i="11"/>
  <c r="X124" i="11"/>
  <c r="W124" i="11"/>
  <c r="U124" i="11"/>
  <c r="V124" i="11" s="1"/>
  <c r="Q124" i="11"/>
  <c r="E124" i="11"/>
  <c r="T124" i="11" s="1"/>
  <c r="A124" i="11"/>
  <c r="S124" i="11" s="1"/>
  <c r="AD161" i="11"/>
  <c r="AB161" i="11"/>
  <c r="AA119" i="11"/>
  <c r="Z119" i="11"/>
  <c r="Y119" i="11"/>
  <c r="X119" i="11"/>
  <c r="W119" i="11"/>
  <c r="U119" i="11"/>
  <c r="V119" i="11" s="1"/>
  <c r="Q119" i="11"/>
  <c r="E119" i="11"/>
  <c r="R119" i="11" s="1"/>
  <c r="A119" i="11"/>
  <c r="AD101" i="11"/>
  <c r="AB101" i="11"/>
  <c r="AA114" i="11"/>
  <c r="Z114" i="11"/>
  <c r="Y114" i="11"/>
  <c r="X114" i="11"/>
  <c r="W114" i="11"/>
  <c r="U114" i="11"/>
  <c r="V114" i="11" s="1"/>
  <c r="Q114" i="11"/>
  <c r="E114" i="11"/>
  <c r="A114" i="11"/>
  <c r="S114" i="11" s="1"/>
  <c r="AD41" i="11"/>
  <c r="AB41" i="11"/>
  <c r="AA109" i="11"/>
  <c r="Z109" i="11"/>
  <c r="Y109" i="11"/>
  <c r="X109" i="11"/>
  <c r="W109" i="11"/>
  <c r="U109" i="11"/>
  <c r="V109" i="11" s="1"/>
  <c r="Q109" i="11"/>
  <c r="E109" i="11"/>
  <c r="T109" i="11" s="1"/>
  <c r="A109" i="11"/>
  <c r="P109" i="11" s="1"/>
  <c r="AD156" i="11"/>
  <c r="AB156" i="11"/>
  <c r="AA104" i="11"/>
  <c r="Z104" i="11"/>
  <c r="Y104" i="11"/>
  <c r="X104" i="11"/>
  <c r="W104" i="11"/>
  <c r="U104" i="11"/>
  <c r="V104" i="11" s="1"/>
  <c r="Q104" i="11"/>
  <c r="E104" i="11"/>
  <c r="R104" i="11" s="1"/>
  <c r="A104" i="11"/>
  <c r="P104" i="11" s="1"/>
  <c r="AD96" i="11"/>
  <c r="AB96" i="11"/>
  <c r="AA99" i="11"/>
  <c r="Z99" i="11"/>
  <c r="Y99" i="11"/>
  <c r="X99" i="11"/>
  <c r="W99" i="11"/>
  <c r="U99" i="11"/>
  <c r="V99" i="11" s="1"/>
  <c r="Q99" i="11"/>
  <c r="E99" i="11"/>
  <c r="A99" i="11"/>
  <c r="AD36" i="11"/>
  <c r="AB36" i="11"/>
  <c r="AA94" i="11"/>
  <c r="Z94" i="11"/>
  <c r="Y94" i="11"/>
  <c r="X94" i="11"/>
  <c r="W94" i="11"/>
  <c r="U94" i="11"/>
  <c r="V94" i="11" s="1"/>
  <c r="Q94" i="11"/>
  <c r="E94" i="11"/>
  <c r="A94" i="11"/>
  <c r="AD151" i="11"/>
  <c r="AB151" i="11"/>
  <c r="AA89" i="11"/>
  <c r="Z89" i="11"/>
  <c r="Y89" i="11"/>
  <c r="X89" i="11"/>
  <c r="W89" i="11"/>
  <c r="U89" i="11"/>
  <c r="V89" i="11" s="1"/>
  <c r="Q89" i="11"/>
  <c r="E89" i="11"/>
  <c r="A89" i="11"/>
  <c r="P89" i="11" s="1"/>
  <c r="AD91" i="11"/>
  <c r="AB91" i="11"/>
  <c r="AA84" i="11"/>
  <c r="Z84" i="11"/>
  <c r="Y84" i="11"/>
  <c r="X84" i="11"/>
  <c r="W84" i="11"/>
  <c r="U84" i="11"/>
  <c r="V84" i="11" s="1"/>
  <c r="Q84" i="11"/>
  <c r="E84" i="11"/>
  <c r="R84" i="11" s="1"/>
  <c r="A84" i="11"/>
  <c r="S84" i="11" s="1"/>
  <c r="AD31" i="11"/>
  <c r="AB31" i="11"/>
  <c r="AA79" i="11"/>
  <c r="Z79" i="11"/>
  <c r="Y79" i="11"/>
  <c r="X79" i="11"/>
  <c r="W79" i="11"/>
  <c r="U79" i="11"/>
  <c r="V79" i="11" s="1"/>
  <c r="Q79" i="11"/>
  <c r="E79" i="11"/>
  <c r="R79" i="11" s="1"/>
  <c r="A79" i="11"/>
  <c r="AD146" i="11"/>
  <c r="AB146" i="11"/>
  <c r="AA74" i="11"/>
  <c r="Z74" i="11"/>
  <c r="Y74" i="11"/>
  <c r="X74" i="11"/>
  <c r="W74" i="11"/>
  <c r="U74" i="11"/>
  <c r="V74" i="11" s="1"/>
  <c r="Q74" i="11"/>
  <c r="E74" i="11"/>
  <c r="A74" i="11"/>
  <c r="S74" i="11" s="1"/>
  <c r="AD86" i="11"/>
  <c r="AB86" i="11"/>
  <c r="AA69" i="11"/>
  <c r="Z69" i="11"/>
  <c r="Y69" i="11"/>
  <c r="X69" i="11"/>
  <c r="W69" i="11"/>
  <c r="U69" i="11"/>
  <c r="V69" i="11" s="1"/>
  <c r="Q69" i="11"/>
  <c r="E69" i="11"/>
  <c r="T69" i="11" s="1"/>
  <c r="A69" i="11"/>
  <c r="P69" i="11" s="1"/>
  <c r="AD26" i="11"/>
  <c r="AB26" i="11"/>
  <c r="AA64" i="11"/>
  <c r="Z64" i="11"/>
  <c r="Y64" i="11"/>
  <c r="X64" i="11"/>
  <c r="W64" i="11"/>
  <c r="U64" i="11"/>
  <c r="V64" i="11" s="1"/>
  <c r="Q64" i="11"/>
  <c r="E64" i="11"/>
  <c r="R64" i="11" s="1"/>
  <c r="A64" i="11"/>
  <c r="P64" i="11" s="1"/>
  <c r="AD141" i="11"/>
  <c r="AB141" i="11"/>
  <c r="AA59" i="11"/>
  <c r="Z59" i="11"/>
  <c r="Y59" i="11"/>
  <c r="X59" i="11"/>
  <c r="W59" i="11"/>
  <c r="U59" i="11"/>
  <c r="V59" i="11" s="1"/>
  <c r="Q59" i="11"/>
  <c r="E59" i="11"/>
  <c r="A59" i="11"/>
  <c r="AD81" i="11"/>
  <c r="AB81" i="11"/>
  <c r="AA54" i="11"/>
  <c r="Z54" i="11"/>
  <c r="Y54" i="11"/>
  <c r="X54" i="11"/>
  <c r="W54" i="11"/>
  <c r="U54" i="11"/>
  <c r="V54" i="11" s="1"/>
  <c r="Q54" i="11"/>
  <c r="E54" i="11"/>
  <c r="T54" i="11" s="1"/>
  <c r="A54" i="11"/>
  <c r="AD21" i="11"/>
  <c r="AB21" i="11"/>
  <c r="AA49" i="11"/>
  <c r="Z49" i="11"/>
  <c r="Y49" i="11"/>
  <c r="X49" i="11"/>
  <c r="W49" i="11"/>
  <c r="U49" i="11"/>
  <c r="V49" i="11" s="1"/>
  <c r="Q49" i="11"/>
  <c r="E49" i="11"/>
  <c r="T49" i="11" s="1"/>
  <c r="A49" i="11"/>
  <c r="S49" i="11" s="1"/>
  <c r="AD136" i="11"/>
  <c r="AB136" i="11"/>
  <c r="AA44" i="11"/>
  <c r="Z44" i="11"/>
  <c r="Y44" i="11"/>
  <c r="X44" i="11"/>
  <c r="W44" i="11"/>
  <c r="U44" i="11"/>
  <c r="V44" i="11" s="1"/>
  <c r="Q44" i="11"/>
  <c r="E44" i="11"/>
  <c r="T44" i="11" s="1"/>
  <c r="A44" i="11"/>
  <c r="AD76" i="11"/>
  <c r="AB76" i="11"/>
  <c r="AA39" i="11"/>
  <c r="Z39" i="11"/>
  <c r="Y39" i="11"/>
  <c r="X39" i="11"/>
  <c r="W39" i="11"/>
  <c r="U39" i="11"/>
  <c r="V39" i="11" s="1"/>
  <c r="Q39" i="11"/>
  <c r="E39" i="11"/>
  <c r="R39" i="11" s="1"/>
  <c r="A39" i="11"/>
  <c r="S39" i="11" s="1"/>
  <c r="AD16" i="11"/>
  <c r="AB16" i="11"/>
  <c r="AA34" i="11"/>
  <c r="Z34" i="11"/>
  <c r="Y34" i="11"/>
  <c r="X34" i="11"/>
  <c r="W34" i="11"/>
  <c r="U34" i="11"/>
  <c r="V34" i="11" s="1"/>
  <c r="Q34" i="11"/>
  <c r="E34" i="11"/>
  <c r="R34" i="11" s="1"/>
  <c r="A34" i="11"/>
  <c r="P34" i="11" s="1"/>
  <c r="AD131" i="11"/>
  <c r="AB131" i="11"/>
  <c r="AA29" i="11"/>
  <c r="Z29" i="11"/>
  <c r="Y29" i="11"/>
  <c r="X29" i="11"/>
  <c r="W29" i="11"/>
  <c r="U29" i="11"/>
  <c r="V29" i="11" s="1"/>
  <c r="Q29" i="11"/>
  <c r="E29" i="11"/>
  <c r="T29" i="11" s="1"/>
  <c r="A29" i="11"/>
  <c r="P29" i="11" s="1"/>
  <c r="AD71" i="11"/>
  <c r="AB71" i="11"/>
  <c r="AA24" i="11"/>
  <c r="Z24" i="11"/>
  <c r="Y24" i="11"/>
  <c r="X24" i="11"/>
  <c r="W24" i="11"/>
  <c r="U24" i="11"/>
  <c r="V24" i="11" s="1"/>
  <c r="Q24" i="11"/>
  <c r="E24" i="11"/>
  <c r="R24" i="11" s="1"/>
  <c r="A24" i="11"/>
  <c r="P24" i="11" s="1"/>
  <c r="AD11" i="11"/>
  <c r="AB11" i="11"/>
  <c r="AA19" i="11"/>
  <c r="Z19" i="11"/>
  <c r="Y19" i="11"/>
  <c r="X19" i="11"/>
  <c r="W19" i="11"/>
  <c r="U19" i="11"/>
  <c r="V19" i="11" s="1"/>
  <c r="Q19" i="11"/>
  <c r="E19" i="11"/>
  <c r="A19" i="11"/>
  <c r="AD126" i="11"/>
  <c r="AB126" i="11"/>
  <c r="AA14" i="11"/>
  <c r="Z14" i="11"/>
  <c r="Y14" i="11"/>
  <c r="X14" i="11"/>
  <c r="W14" i="11"/>
  <c r="U14" i="11"/>
  <c r="V14" i="11" s="1"/>
  <c r="Q14" i="11"/>
  <c r="E14" i="11"/>
  <c r="A14" i="11"/>
  <c r="AD66" i="11"/>
  <c r="AB66" i="11"/>
  <c r="AA9" i="11"/>
  <c r="Z9" i="11"/>
  <c r="Y9" i="11"/>
  <c r="X9" i="11"/>
  <c r="W9" i="11"/>
  <c r="U9" i="11"/>
  <c r="V9" i="11" s="1"/>
  <c r="Q9" i="11"/>
  <c r="E9" i="11"/>
  <c r="T9" i="11" s="1"/>
  <c r="A9" i="11"/>
  <c r="S9" i="11" s="1"/>
  <c r="AD6" i="11"/>
  <c r="AB6" i="11"/>
  <c r="AA4" i="11"/>
  <c r="Z4" i="11"/>
  <c r="Y4" i="11"/>
  <c r="X4" i="11"/>
  <c r="W4" i="11"/>
  <c r="U4" i="11"/>
  <c r="V4" i="11" s="1"/>
  <c r="Q4" i="11"/>
  <c r="E4" i="11"/>
  <c r="T4" i="11" s="1"/>
  <c r="A4" i="11"/>
  <c r="S4" i="11" s="1"/>
  <c r="AD180" i="11"/>
  <c r="AB180" i="11"/>
  <c r="AD120" i="11"/>
  <c r="AB120" i="11"/>
  <c r="AD60" i="11"/>
  <c r="AB60" i="11"/>
  <c r="AD175" i="11"/>
  <c r="AB175" i="11"/>
  <c r="AD115" i="11"/>
  <c r="AB115" i="11"/>
  <c r="AD55" i="11"/>
  <c r="AB55" i="11"/>
  <c r="AD170" i="11"/>
  <c r="AB170" i="11"/>
  <c r="AD110" i="11"/>
  <c r="AB110" i="11"/>
  <c r="AD50" i="11"/>
  <c r="AB50" i="11"/>
  <c r="AD165" i="11"/>
  <c r="AB165" i="11"/>
  <c r="AD105" i="11"/>
  <c r="AB105" i="11"/>
  <c r="AD45" i="11"/>
  <c r="AB45" i="11"/>
  <c r="AD160" i="11"/>
  <c r="AB160" i="11"/>
  <c r="AD100" i="11"/>
  <c r="AB100" i="11"/>
  <c r="AD40" i="11"/>
  <c r="AB40" i="11"/>
  <c r="AD155" i="11"/>
  <c r="AB155" i="11"/>
  <c r="AD95" i="11"/>
  <c r="AB95" i="11"/>
  <c r="AD35" i="11"/>
  <c r="AB35" i="11"/>
  <c r="AD150" i="11"/>
  <c r="AB150" i="11"/>
  <c r="AD90" i="11"/>
  <c r="AB90" i="11"/>
  <c r="AD30" i="11"/>
  <c r="AB30" i="11"/>
  <c r="AD145" i="11"/>
  <c r="AB145" i="11"/>
  <c r="AD85" i="11"/>
  <c r="AB85" i="11"/>
  <c r="AD25" i="11"/>
  <c r="AB25" i="11"/>
  <c r="AD140" i="11"/>
  <c r="AB140" i="11"/>
  <c r="AD80" i="11"/>
  <c r="AB80" i="11"/>
  <c r="AD20" i="11"/>
  <c r="AB20" i="11"/>
  <c r="AD135" i="11"/>
  <c r="AB135" i="11"/>
  <c r="AD75" i="11"/>
  <c r="AB75" i="11"/>
  <c r="AD15" i="11"/>
  <c r="AB15" i="11"/>
  <c r="AD130" i="11"/>
  <c r="AB130" i="11"/>
  <c r="AD70" i="11"/>
  <c r="AB70" i="11"/>
  <c r="AD10" i="11"/>
  <c r="AB10" i="11"/>
  <c r="AD125" i="11"/>
  <c r="AB125" i="11"/>
  <c r="AD65" i="11"/>
  <c r="AB65" i="11"/>
  <c r="AD5" i="11"/>
  <c r="AB5" i="11"/>
  <c r="AD179" i="11"/>
  <c r="AB179" i="11"/>
  <c r="AA178" i="11"/>
  <c r="Z178" i="11"/>
  <c r="Y178" i="11"/>
  <c r="X178" i="11"/>
  <c r="W178" i="11"/>
  <c r="U178" i="11"/>
  <c r="V178" i="11" s="1"/>
  <c r="Q178" i="11"/>
  <c r="E178" i="11"/>
  <c r="A178" i="11"/>
  <c r="AD119" i="11"/>
  <c r="AB119" i="11"/>
  <c r="AA173" i="11"/>
  <c r="Z173" i="11"/>
  <c r="Y173" i="11"/>
  <c r="X173" i="11"/>
  <c r="W173" i="11"/>
  <c r="U173" i="11"/>
  <c r="V173" i="11" s="1"/>
  <c r="Q173" i="11"/>
  <c r="E173" i="11"/>
  <c r="A173" i="11"/>
  <c r="S173" i="11" s="1"/>
  <c r="AD59" i="11"/>
  <c r="AB59" i="11"/>
  <c r="AA168" i="11"/>
  <c r="Z168" i="11"/>
  <c r="Y168" i="11"/>
  <c r="X168" i="11"/>
  <c r="W168" i="11"/>
  <c r="U168" i="11"/>
  <c r="V168" i="11" s="1"/>
  <c r="Q168" i="11"/>
  <c r="E168" i="11"/>
  <c r="T168" i="11" s="1"/>
  <c r="A168" i="11"/>
  <c r="S168" i="11" s="1"/>
  <c r="AD174" i="11"/>
  <c r="AB174" i="11"/>
  <c r="AA163" i="11"/>
  <c r="Z163" i="11"/>
  <c r="Y163" i="11"/>
  <c r="X163" i="11"/>
  <c r="W163" i="11"/>
  <c r="U163" i="11"/>
  <c r="V163" i="11" s="1"/>
  <c r="Q163" i="11"/>
  <c r="E163" i="11"/>
  <c r="T163" i="11" s="1"/>
  <c r="A163" i="11"/>
  <c r="AD114" i="11"/>
  <c r="AB114" i="11"/>
  <c r="AA158" i="11"/>
  <c r="Z158" i="11"/>
  <c r="Y158" i="11"/>
  <c r="X158" i="11"/>
  <c r="W158" i="11"/>
  <c r="U158" i="11"/>
  <c r="V158" i="11" s="1"/>
  <c r="Q158" i="11"/>
  <c r="E158" i="11"/>
  <c r="R158" i="11" s="1"/>
  <c r="A158" i="11"/>
  <c r="S158" i="11" s="1"/>
  <c r="AD54" i="11"/>
  <c r="AB54" i="11"/>
  <c r="AA153" i="11"/>
  <c r="Z153" i="11"/>
  <c r="Y153" i="11"/>
  <c r="X153" i="11"/>
  <c r="W153" i="11"/>
  <c r="U153" i="11"/>
  <c r="V153" i="11" s="1"/>
  <c r="Q153" i="11"/>
  <c r="E153" i="11"/>
  <c r="A153" i="11"/>
  <c r="P153" i="11" s="1"/>
  <c r="AD169" i="11"/>
  <c r="AB169" i="11"/>
  <c r="AA148" i="11"/>
  <c r="Z148" i="11"/>
  <c r="Y148" i="11"/>
  <c r="X148" i="11"/>
  <c r="W148" i="11"/>
  <c r="U148" i="11"/>
  <c r="V148" i="11" s="1"/>
  <c r="Q148" i="11"/>
  <c r="E148" i="11"/>
  <c r="T148" i="11" s="1"/>
  <c r="A148" i="11"/>
  <c r="P148" i="11" s="1"/>
  <c r="AD109" i="11"/>
  <c r="AB109" i="11"/>
  <c r="AA143" i="11"/>
  <c r="Z143" i="11"/>
  <c r="Y143" i="11"/>
  <c r="X143" i="11"/>
  <c r="W143" i="11"/>
  <c r="U143" i="11"/>
  <c r="V143" i="11" s="1"/>
  <c r="Q143" i="11"/>
  <c r="E143" i="11"/>
  <c r="R143" i="11" s="1"/>
  <c r="A143" i="11"/>
  <c r="P143" i="11" s="1"/>
  <c r="AD49" i="11"/>
  <c r="AB49" i="11"/>
  <c r="AA138" i="11"/>
  <c r="Z138" i="11"/>
  <c r="Y138" i="11"/>
  <c r="X138" i="11"/>
  <c r="W138" i="11"/>
  <c r="U138" i="11"/>
  <c r="V138" i="11" s="1"/>
  <c r="Q138" i="11"/>
  <c r="E138" i="11"/>
  <c r="A138" i="11"/>
  <c r="AD164" i="11"/>
  <c r="AB164" i="11"/>
  <c r="AA133" i="11"/>
  <c r="Z133" i="11"/>
  <c r="Y133" i="11"/>
  <c r="X133" i="11"/>
  <c r="W133" i="11"/>
  <c r="U133" i="11"/>
  <c r="V133" i="11" s="1"/>
  <c r="Q133" i="11"/>
  <c r="E133" i="11"/>
  <c r="A133" i="11"/>
  <c r="AD104" i="11"/>
  <c r="AB104" i="11"/>
  <c r="AA128" i="11"/>
  <c r="Z128" i="11"/>
  <c r="Y128" i="11"/>
  <c r="X128" i="11"/>
  <c r="W128" i="11"/>
  <c r="U128" i="11"/>
  <c r="V128" i="11" s="1"/>
  <c r="Q128" i="11"/>
  <c r="E128" i="11"/>
  <c r="T128" i="11" s="1"/>
  <c r="A128" i="11"/>
  <c r="P128" i="11" s="1"/>
  <c r="AD44" i="11"/>
  <c r="AB44" i="11"/>
  <c r="AA123" i="11"/>
  <c r="Z123" i="11"/>
  <c r="Y123" i="11"/>
  <c r="X123" i="11"/>
  <c r="W123" i="11"/>
  <c r="U123" i="11"/>
  <c r="V123" i="11" s="1"/>
  <c r="Q123" i="11"/>
  <c r="E123" i="11"/>
  <c r="T123" i="11" s="1"/>
  <c r="A123" i="11"/>
  <c r="P123" i="11" s="1"/>
  <c r="AD159" i="11"/>
  <c r="AB159" i="11"/>
  <c r="AA118" i="11"/>
  <c r="Z118" i="11"/>
  <c r="Y118" i="11"/>
  <c r="X118" i="11"/>
  <c r="W118" i="11"/>
  <c r="U118" i="11"/>
  <c r="V118" i="11" s="1"/>
  <c r="Q118" i="11"/>
  <c r="E118" i="11"/>
  <c r="R118" i="11" s="1"/>
  <c r="A118" i="11"/>
  <c r="AD99" i="11"/>
  <c r="AB99" i="11"/>
  <c r="AA113" i="11"/>
  <c r="Z113" i="11"/>
  <c r="Y113" i="11"/>
  <c r="X113" i="11"/>
  <c r="W113" i="11"/>
  <c r="U113" i="11"/>
  <c r="V113" i="11" s="1"/>
  <c r="Q113" i="11"/>
  <c r="E113" i="11"/>
  <c r="R113" i="11" s="1"/>
  <c r="A113" i="11"/>
  <c r="S113" i="11" s="1"/>
  <c r="AD39" i="11"/>
  <c r="AB39" i="11"/>
  <c r="AA108" i="11"/>
  <c r="Z108" i="11"/>
  <c r="Y108" i="11"/>
  <c r="X108" i="11"/>
  <c r="W108" i="11"/>
  <c r="U108" i="11"/>
  <c r="V108" i="11" s="1"/>
  <c r="Q108" i="11"/>
  <c r="E108" i="11"/>
  <c r="R108" i="11" s="1"/>
  <c r="A108" i="11"/>
  <c r="P108" i="11" s="1"/>
  <c r="AD154" i="11"/>
  <c r="AB154" i="11"/>
  <c r="AA103" i="11"/>
  <c r="Z103" i="11"/>
  <c r="Y103" i="11"/>
  <c r="X103" i="11"/>
  <c r="W103" i="11"/>
  <c r="U103" i="11"/>
  <c r="V103" i="11" s="1"/>
  <c r="Q103" i="11"/>
  <c r="E103" i="11"/>
  <c r="R103" i="11" s="1"/>
  <c r="A103" i="11"/>
  <c r="P103" i="11" s="1"/>
  <c r="AD94" i="11"/>
  <c r="AB94" i="11"/>
  <c r="AA98" i="11"/>
  <c r="Z98" i="11"/>
  <c r="Y98" i="11"/>
  <c r="X98" i="11"/>
  <c r="W98" i="11"/>
  <c r="U98" i="11"/>
  <c r="V98" i="11" s="1"/>
  <c r="Q98" i="11"/>
  <c r="E98" i="11"/>
  <c r="AC98" i="11" s="1"/>
  <c r="A98" i="11"/>
  <c r="AD34" i="11"/>
  <c r="AB34" i="11"/>
  <c r="AA93" i="11"/>
  <c r="Z93" i="11"/>
  <c r="Y93" i="11"/>
  <c r="X93" i="11"/>
  <c r="W93" i="11"/>
  <c r="U93" i="11"/>
  <c r="V93" i="11" s="1"/>
  <c r="Q93" i="11"/>
  <c r="E93" i="11"/>
  <c r="A93" i="11"/>
  <c r="S93" i="11" s="1"/>
  <c r="AD149" i="11"/>
  <c r="AB149" i="11"/>
  <c r="AA88" i="11"/>
  <c r="Z88" i="11"/>
  <c r="Y88" i="11"/>
  <c r="X88" i="11"/>
  <c r="W88" i="11"/>
  <c r="U88" i="11"/>
  <c r="V88" i="11" s="1"/>
  <c r="Q88" i="11"/>
  <c r="E88" i="11"/>
  <c r="T88" i="11" s="1"/>
  <c r="A88" i="11"/>
  <c r="S88" i="11" s="1"/>
  <c r="AD89" i="11"/>
  <c r="AB89" i="11"/>
  <c r="AA83" i="11"/>
  <c r="Z83" i="11"/>
  <c r="Y83" i="11"/>
  <c r="X83" i="11"/>
  <c r="W83" i="11"/>
  <c r="U83" i="11"/>
  <c r="V83" i="11" s="1"/>
  <c r="Q83" i="11"/>
  <c r="E83" i="11"/>
  <c r="T83" i="11" s="1"/>
  <c r="A83" i="11"/>
  <c r="P83" i="11" s="1"/>
  <c r="AD29" i="11"/>
  <c r="AB29" i="11"/>
  <c r="AA78" i="11"/>
  <c r="Z78" i="11"/>
  <c r="Y78" i="11"/>
  <c r="X78" i="11"/>
  <c r="W78" i="11"/>
  <c r="U78" i="11"/>
  <c r="V78" i="11" s="1"/>
  <c r="Q78" i="11"/>
  <c r="E78" i="11"/>
  <c r="R78" i="11" s="1"/>
  <c r="A78" i="11"/>
  <c r="S78" i="11" s="1"/>
  <c r="AD144" i="11"/>
  <c r="AB144" i="11"/>
  <c r="AA73" i="11"/>
  <c r="Z73" i="11"/>
  <c r="Y73" i="11"/>
  <c r="X73" i="11"/>
  <c r="W73" i="11"/>
  <c r="U73" i="11"/>
  <c r="V73" i="11" s="1"/>
  <c r="Q73" i="11"/>
  <c r="E73" i="11"/>
  <c r="A73" i="11"/>
  <c r="S73" i="11" s="1"/>
  <c r="AD84" i="11"/>
  <c r="AB84" i="11"/>
  <c r="AA68" i="11"/>
  <c r="Z68" i="11"/>
  <c r="Y68" i="11"/>
  <c r="X68" i="11"/>
  <c r="W68" i="11"/>
  <c r="U68" i="11"/>
  <c r="V68" i="11" s="1"/>
  <c r="Q68" i="11"/>
  <c r="E68" i="11"/>
  <c r="R68" i="11" s="1"/>
  <c r="A68" i="11"/>
  <c r="P68" i="11" s="1"/>
  <c r="AD24" i="11"/>
  <c r="AB24" i="11"/>
  <c r="AA63" i="11"/>
  <c r="Z63" i="11"/>
  <c r="Y63" i="11"/>
  <c r="X63" i="11"/>
  <c r="W63" i="11"/>
  <c r="U63" i="11"/>
  <c r="V63" i="11" s="1"/>
  <c r="Q63" i="11"/>
  <c r="E63" i="11"/>
  <c r="R63" i="11" s="1"/>
  <c r="A63" i="11"/>
  <c r="P63" i="11" s="1"/>
  <c r="AD139" i="11"/>
  <c r="AB139" i="11"/>
  <c r="AA58" i="11"/>
  <c r="Z58" i="11"/>
  <c r="Y58" i="11"/>
  <c r="X58" i="11"/>
  <c r="W58" i="11"/>
  <c r="U58" i="11"/>
  <c r="V58" i="11" s="1"/>
  <c r="Q58" i="11"/>
  <c r="E58" i="11"/>
  <c r="A58" i="11"/>
  <c r="AD79" i="11"/>
  <c r="AB79" i="11"/>
  <c r="AA53" i="11"/>
  <c r="Z53" i="11"/>
  <c r="Y53" i="11"/>
  <c r="X53" i="11"/>
  <c r="W53" i="11"/>
  <c r="U53" i="11"/>
  <c r="V53" i="11" s="1"/>
  <c r="Q53" i="11"/>
  <c r="E53" i="11"/>
  <c r="AC21" i="11" s="1"/>
  <c r="A53" i="11"/>
  <c r="P53" i="11" s="1"/>
  <c r="AD19" i="11"/>
  <c r="AB19" i="11"/>
  <c r="AA48" i="11"/>
  <c r="Z48" i="11"/>
  <c r="Y48" i="11"/>
  <c r="X48" i="11"/>
  <c r="W48" i="11"/>
  <c r="U48" i="11"/>
  <c r="V48" i="11" s="1"/>
  <c r="Q48" i="11"/>
  <c r="E48" i="11"/>
  <c r="T48" i="11" s="1"/>
  <c r="A48" i="11"/>
  <c r="P48" i="11" s="1"/>
  <c r="AD134" i="11"/>
  <c r="AB134" i="11"/>
  <c r="AA43" i="11"/>
  <c r="Z43" i="11"/>
  <c r="Y43" i="11"/>
  <c r="X43" i="11"/>
  <c r="W43" i="11"/>
  <c r="U43" i="11"/>
  <c r="V43" i="11" s="1"/>
  <c r="Q43" i="11"/>
  <c r="E43" i="11"/>
  <c r="T43" i="11" s="1"/>
  <c r="A43" i="11"/>
  <c r="AD74" i="11"/>
  <c r="AB74" i="11"/>
  <c r="AA38" i="11"/>
  <c r="Z38" i="11"/>
  <c r="Y38" i="11"/>
  <c r="X38" i="11"/>
  <c r="W38" i="11"/>
  <c r="U38" i="11"/>
  <c r="V38" i="11" s="1"/>
  <c r="Q38" i="11"/>
  <c r="E38" i="11"/>
  <c r="R38" i="11" s="1"/>
  <c r="A38" i="11"/>
  <c r="S38" i="11" s="1"/>
  <c r="AD14" i="11"/>
  <c r="AB14" i="11"/>
  <c r="AA33" i="11"/>
  <c r="Z33" i="11"/>
  <c r="Y33" i="11"/>
  <c r="X33" i="11"/>
  <c r="W33" i="11"/>
  <c r="U33" i="11"/>
  <c r="V33" i="11" s="1"/>
  <c r="Q33" i="11"/>
  <c r="E33" i="11"/>
  <c r="A33" i="11"/>
  <c r="P33" i="11" s="1"/>
  <c r="AD129" i="11"/>
  <c r="AB129" i="11"/>
  <c r="AA28" i="11"/>
  <c r="Z28" i="11"/>
  <c r="Y28" i="11"/>
  <c r="X28" i="11"/>
  <c r="W28" i="11"/>
  <c r="U28" i="11"/>
  <c r="V28" i="11" s="1"/>
  <c r="Q28" i="11"/>
  <c r="E28" i="11"/>
  <c r="T28" i="11" s="1"/>
  <c r="A28" i="11"/>
  <c r="P28" i="11" s="1"/>
  <c r="AD69" i="11"/>
  <c r="AB69" i="11"/>
  <c r="AA23" i="11"/>
  <c r="Z23" i="11"/>
  <c r="Y23" i="11"/>
  <c r="X23" i="11"/>
  <c r="W23" i="11"/>
  <c r="U23" i="11"/>
  <c r="V23" i="11" s="1"/>
  <c r="Q23" i="11"/>
  <c r="E23" i="11"/>
  <c r="R23" i="11" s="1"/>
  <c r="A23" i="11"/>
  <c r="AD9" i="11"/>
  <c r="AB9" i="11"/>
  <c r="AA18" i="11"/>
  <c r="Z18" i="11"/>
  <c r="Y18" i="11"/>
  <c r="X18" i="11"/>
  <c r="W18" i="11"/>
  <c r="U18" i="11"/>
  <c r="V18" i="11" s="1"/>
  <c r="Q18" i="11"/>
  <c r="E18" i="11"/>
  <c r="A18" i="11"/>
  <c r="S18" i="11" s="1"/>
  <c r="AD124" i="11"/>
  <c r="AB124" i="11"/>
  <c r="AA13" i="11"/>
  <c r="Z13" i="11"/>
  <c r="Y13" i="11"/>
  <c r="X13" i="11"/>
  <c r="W13" i="11"/>
  <c r="U13" i="11"/>
  <c r="V13" i="11" s="1"/>
  <c r="Q13" i="11"/>
  <c r="E13" i="11"/>
  <c r="T13" i="11" s="1"/>
  <c r="A13" i="11"/>
  <c r="S13" i="11" s="1"/>
  <c r="AD64" i="11"/>
  <c r="AB64" i="11"/>
  <c r="AA8" i="11"/>
  <c r="Z8" i="11"/>
  <c r="Y8" i="11"/>
  <c r="X8" i="11"/>
  <c r="W8" i="11"/>
  <c r="U8" i="11"/>
  <c r="V8" i="11" s="1"/>
  <c r="Q8" i="11"/>
  <c r="E8" i="11"/>
  <c r="T8" i="11" s="1"/>
  <c r="A8" i="11"/>
  <c r="S8" i="11" s="1"/>
  <c r="AD4" i="11"/>
  <c r="AB4" i="11"/>
  <c r="AA3" i="11"/>
  <c r="Z3" i="11"/>
  <c r="Y3" i="11"/>
  <c r="X3" i="11"/>
  <c r="W3" i="11"/>
  <c r="U3" i="11"/>
  <c r="V3" i="11" s="1"/>
  <c r="Q3" i="11"/>
  <c r="E3" i="11"/>
  <c r="A3" i="11"/>
  <c r="S3" i="11" s="1"/>
  <c r="AD178" i="11"/>
  <c r="AB178" i="11"/>
  <c r="AD118" i="11"/>
  <c r="AB118" i="11"/>
  <c r="AD58" i="11"/>
  <c r="AB58" i="11"/>
  <c r="AD173" i="11"/>
  <c r="AB173" i="11"/>
  <c r="AD113" i="11"/>
  <c r="AB113" i="11"/>
  <c r="AD53" i="11"/>
  <c r="AB53" i="11"/>
  <c r="AD168" i="11"/>
  <c r="AB168" i="11"/>
  <c r="AD108" i="11"/>
  <c r="AB108" i="11"/>
  <c r="AD48" i="11"/>
  <c r="AB48" i="11"/>
  <c r="AD163" i="11"/>
  <c r="AB163" i="11"/>
  <c r="AD103" i="11"/>
  <c r="AB103" i="11"/>
  <c r="AD43" i="11"/>
  <c r="AB43" i="11"/>
  <c r="AD158" i="11"/>
  <c r="AB158" i="11"/>
  <c r="AD98" i="11"/>
  <c r="AB98" i="11"/>
  <c r="AD38" i="11"/>
  <c r="AB38" i="11"/>
  <c r="AD153" i="11"/>
  <c r="AB153" i="11"/>
  <c r="AD93" i="11"/>
  <c r="AB93" i="11"/>
  <c r="AD33" i="11"/>
  <c r="AB33" i="11"/>
  <c r="AD148" i="11"/>
  <c r="AB148" i="11"/>
  <c r="AD88" i="11"/>
  <c r="AB88" i="11"/>
  <c r="AD28" i="11"/>
  <c r="AB28" i="11"/>
  <c r="AD143" i="11"/>
  <c r="AB143" i="11"/>
  <c r="AD83" i="11"/>
  <c r="AB83" i="11"/>
  <c r="AD23" i="11"/>
  <c r="AB23" i="11"/>
  <c r="AD138" i="11"/>
  <c r="AB138" i="11"/>
  <c r="AD78" i="11"/>
  <c r="AB78" i="11"/>
  <c r="AD18" i="11"/>
  <c r="AB18" i="11"/>
  <c r="AD133" i="11"/>
  <c r="AB133" i="11"/>
  <c r="AD73" i="11"/>
  <c r="AB73" i="11"/>
  <c r="AD13" i="11"/>
  <c r="AB13" i="11"/>
  <c r="AD128" i="11"/>
  <c r="AB128" i="11"/>
  <c r="AD68" i="11"/>
  <c r="AB68" i="11"/>
  <c r="AD8" i="11"/>
  <c r="AB8" i="11"/>
  <c r="AD123" i="11"/>
  <c r="AB123" i="11"/>
  <c r="AD63" i="11"/>
  <c r="AB63" i="11"/>
  <c r="AD3" i="11"/>
  <c r="AB3" i="11"/>
  <c r="AD177" i="11"/>
  <c r="AB177" i="11"/>
  <c r="AA177" i="11"/>
  <c r="Z177" i="11"/>
  <c r="Y177" i="11"/>
  <c r="X177" i="11"/>
  <c r="W177" i="11"/>
  <c r="U177" i="11"/>
  <c r="V177" i="11" s="1"/>
  <c r="Q177" i="11"/>
  <c r="E177" i="11"/>
  <c r="T177" i="11" s="1"/>
  <c r="A177" i="11"/>
  <c r="AD172" i="11"/>
  <c r="AB172" i="11"/>
  <c r="AA172" i="11"/>
  <c r="Z172" i="11"/>
  <c r="Y172" i="11"/>
  <c r="X172" i="11"/>
  <c r="W172" i="11"/>
  <c r="U172" i="11"/>
  <c r="V172" i="11" s="1"/>
  <c r="Q172" i="11"/>
  <c r="E172" i="11"/>
  <c r="T172" i="11" s="1"/>
  <c r="A172" i="11"/>
  <c r="AD167" i="11"/>
  <c r="AB167" i="11"/>
  <c r="AA167" i="11"/>
  <c r="Z167" i="11"/>
  <c r="Y167" i="11"/>
  <c r="X167" i="11"/>
  <c r="W167" i="11"/>
  <c r="U167" i="11"/>
  <c r="V167" i="11" s="1"/>
  <c r="Q167" i="11"/>
  <c r="E167" i="11"/>
  <c r="R167" i="11" s="1"/>
  <c r="A167" i="11"/>
  <c r="P167" i="11" s="1"/>
  <c r="AD162" i="11"/>
  <c r="AB162" i="11"/>
  <c r="AA162" i="11"/>
  <c r="Z162" i="11"/>
  <c r="Y162" i="11"/>
  <c r="X162" i="11"/>
  <c r="W162" i="11"/>
  <c r="U162" i="11"/>
  <c r="V162" i="11" s="1"/>
  <c r="Q162" i="11"/>
  <c r="E162" i="11"/>
  <c r="R162" i="11" s="1"/>
  <c r="A162" i="11"/>
  <c r="S162" i="11" s="1"/>
  <c r="AD157" i="11"/>
  <c r="AB157" i="11"/>
  <c r="AA157" i="11"/>
  <c r="Z157" i="11"/>
  <c r="Y157" i="11"/>
  <c r="X157" i="11"/>
  <c r="W157" i="11"/>
  <c r="U157" i="11"/>
  <c r="V157" i="11" s="1"/>
  <c r="Q157" i="11"/>
  <c r="E157" i="11"/>
  <c r="A157" i="11"/>
  <c r="AD152" i="11"/>
  <c r="AB152" i="11"/>
  <c r="AA152" i="11"/>
  <c r="Z152" i="11"/>
  <c r="Y152" i="11"/>
  <c r="X152" i="11"/>
  <c r="W152" i="11"/>
  <c r="U152" i="11"/>
  <c r="V152" i="11" s="1"/>
  <c r="Q152" i="11"/>
  <c r="E152" i="11"/>
  <c r="A152" i="11"/>
  <c r="AD147" i="11"/>
  <c r="AB147" i="11"/>
  <c r="AA147" i="11"/>
  <c r="Z147" i="11"/>
  <c r="Y147" i="11"/>
  <c r="X147" i="11"/>
  <c r="W147" i="11"/>
  <c r="U147" i="11"/>
  <c r="V147" i="11" s="1"/>
  <c r="Q147" i="11"/>
  <c r="E147" i="11"/>
  <c r="T147" i="11" s="1"/>
  <c r="A147" i="11"/>
  <c r="P147" i="11" s="1"/>
  <c r="AD142" i="11"/>
  <c r="AB142" i="11"/>
  <c r="AA142" i="11"/>
  <c r="Z142" i="11"/>
  <c r="Y142" i="11"/>
  <c r="X142" i="11"/>
  <c r="W142" i="11"/>
  <c r="U142" i="11"/>
  <c r="V142" i="11" s="1"/>
  <c r="Q142" i="11"/>
  <c r="E142" i="11"/>
  <c r="R142" i="11" s="1"/>
  <c r="A142" i="11"/>
  <c r="AD137" i="11"/>
  <c r="AB137" i="11"/>
  <c r="AA137" i="11"/>
  <c r="Z137" i="11"/>
  <c r="Y137" i="11"/>
  <c r="X137" i="11"/>
  <c r="W137" i="11"/>
  <c r="U137" i="11"/>
  <c r="V137" i="11" s="1"/>
  <c r="Q137" i="11"/>
  <c r="E137" i="11"/>
  <c r="R137" i="11" s="1"/>
  <c r="A137" i="11"/>
  <c r="P137" i="11" s="1"/>
  <c r="AD132" i="11"/>
  <c r="AB132" i="11"/>
  <c r="AA132" i="11"/>
  <c r="Z132" i="11"/>
  <c r="Y132" i="11"/>
  <c r="X132" i="11"/>
  <c r="W132" i="11"/>
  <c r="U132" i="11"/>
  <c r="V132" i="11" s="1"/>
  <c r="Q132" i="11"/>
  <c r="E132" i="11"/>
  <c r="T132" i="11" s="1"/>
  <c r="A132" i="11"/>
  <c r="P132" i="11" s="1"/>
  <c r="AD127" i="11"/>
  <c r="AB127" i="11"/>
  <c r="AA127" i="11"/>
  <c r="Z127" i="11"/>
  <c r="Y127" i="11"/>
  <c r="X127" i="11"/>
  <c r="W127" i="11"/>
  <c r="U127" i="11"/>
  <c r="V127" i="11" s="1"/>
  <c r="Q127" i="11"/>
  <c r="E127" i="11"/>
  <c r="T127" i="11" s="1"/>
  <c r="A127" i="11"/>
  <c r="S127" i="11" s="1"/>
  <c r="AD122" i="11"/>
  <c r="AB122" i="11"/>
  <c r="AA122" i="11"/>
  <c r="Z122" i="11"/>
  <c r="Y122" i="11"/>
  <c r="X122" i="11"/>
  <c r="W122" i="11"/>
  <c r="U122" i="11"/>
  <c r="V122" i="11" s="1"/>
  <c r="Q122" i="11"/>
  <c r="E122" i="11"/>
  <c r="R122" i="11" s="1"/>
  <c r="A122" i="11"/>
  <c r="AE122" i="11" s="1"/>
  <c r="AD117" i="11"/>
  <c r="AB117" i="11"/>
  <c r="AA117" i="11"/>
  <c r="Z117" i="11"/>
  <c r="Y117" i="11"/>
  <c r="X117" i="11"/>
  <c r="W117" i="11"/>
  <c r="U117" i="11"/>
  <c r="V117" i="11" s="1"/>
  <c r="Q117" i="11"/>
  <c r="E117" i="11"/>
  <c r="T117" i="11" s="1"/>
  <c r="A117" i="11"/>
  <c r="P117" i="11" s="1"/>
  <c r="AD112" i="11"/>
  <c r="AB112" i="11"/>
  <c r="AA112" i="11"/>
  <c r="Z112" i="11"/>
  <c r="Y112" i="11"/>
  <c r="X112" i="11"/>
  <c r="W112" i="11"/>
  <c r="U112" i="11"/>
  <c r="V112" i="11" s="1"/>
  <c r="Q112" i="11"/>
  <c r="E112" i="11"/>
  <c r="R112" i="11" s="1"/>
  <c r="A112" i="11"/>
  <c r="AD107" i="11"/>
  <c r="AB107" i="11"/>
  <c r="AA107" i="11"/>
  <c r="Z107" i="11"/>
  <c r="Y107" i="11"/>
  <c r="X107" i="11"/>
  <c r="W107" i="11"/>
  <c r="U107" i="11"/>
  <c r="V107" i="11" s="1"/>
  <c r="Q107" i="11"/>
  <c r="E107" i="11"/>
  <c r="T107" i="11" s="1"/>
  <c r="A107" i="11"/>
  <c r="P107" i="11" s="1"/>
  <c r="AD102" i="11"/>
  <c r="AB102" i="11"/>
  <c r="AA102" i="11"/>
  <c r="Z102" i="11"/>
  <c r="Y102" i="11"/>
  <c r="X102" i="11"/>
  <c r="W102" i="11"/>
  <c r="U102" i="11"/>
  <c r="V102" i="11" s="1"/>
  <c r="Q102" i="11"/>
  <c r="E102" i="11"/>
  <c r="R102" i="11" s="1"/>
  <c r="A102" i="11"/>
  <c r="AD97" i="11"/>
  <c r="AB97" i="11"/>
  <c r="AA97" i="11"/>
  <c r="Z97" i="11"/>
  <c r="Y97" i="11"/>
  <c r="X97" i="11"/>
  <c r="W97" i="11"/>
  <c r="U97" i="11"/>
  <c r="V97" i="11" s="1"/>
  <c r="Q97" i="11"/>
  <c r="E97" i="11"/>
  <c r="T97" i="11" s="1"/>
  <c r="A97" i="11"/>
  <c r="AE97" i="11" s="1"/>
  <c r="AD92" i="11"/>
  <c r="AB92" i="11"/>
  <c r="AA92" i="11"/>
  <c r="Z92" i="11"/>
  <c r="Y92" i="11"/>
  <c r="X92" i="11"/>
  <c r="W92" i="11"/>
  <c r="U92" i="11"/>
  <c r="V92" i="11" s="1"/>
  <c r="Q92" i="11"/>
  <c r="E92" i="11"/>
  <c r="A92" i="11"/>
  <c r="AD87" i="11"/>
  <c r="AB87" i="11"/>
  <c r="AA87" i="11"/>
  <c r="Z87" i="11"/>
  <c r="Y87" i="11"/>
  <c r="X87" i="11"/>
  <c r="W87" i="11"/>
  <c r="U87" i="11"/>
  <c r="V87" i="11" s="1"/>
  <c r="Q87" i="11"/>
  <c r="E87" i="11"/>
  <c r="A87" i="11"/>
  <c r="AD82" i="11"/>
  <c r="AB82" i="11"/>
  <c r="AA82" i="11"/>
  <c r="Z82" i="11"/>
  <c r="Y82" i="11"/>
  <c r="X82" i="11"/>
  <c r="W82" i="11"/>
  <c r="U82" i="11"/>
  <c r="V82" i="11" s="1"/>
  <c r="Q82" i="11"/>
  <c r="E82" i="11"/>
  <c r="R82" i="11" s="1"/>
  <c r="A82" i="11"/>
  <c r="AD77" i="11"/>
  <c r="AB77" i="11"/>
  <c r="AA77" i="11"/>
  <c r="Z77" i="11"/>
  <c r="Y77" i="11"/>
  <c r="X77" i="11"/>
  <c r="W77" i="11"/>
  <c r="U77" i="11"/>
  <c r="V77" i="11" s="1"/>
  <c r="Q77" i="11"/>
  <c r="E77" i="11"/>
  <c r="T77" i="11" s="1"/>
  <c r="A77" i="11"/>
  <c r="S77" i="11" s="1"/>
  <c r="AD72" i="11"/>
  <c r="AB72" i="11"/>
  <c r="AA72" i="11"/>
  <c r="Z72" i="11"/>
  <c r="Y72" i="11"/>
  <c r="X72" i="11"/>
  <c r="W72" i="11"/>
  <c r="U72" i="11"/>
  <c r="V72" i="11" s="1"/>
  <c r="Q72" i="11"/>
  <c r="E72" i="11"/>
  <c r="A72" i="11"/>
  <c r="P72" i="11" s="1"/>
  <c r="AD67" i="11"/>
  <c r="AB67" i="11"/>
  <c r="AA67" i="11"/>
  <c r="Z67" i="11"/>
  <c r="Y67" i="11"/>
  <c r="X67" i="11"/>
  <c r="W67" i="11"/>
  <c r="U67" i="11"/>
  <c r="V67" i="11" s="1"/>
  <c r="Q67" i="11"/>
  <c r="E67" i="11"/>
  <c r="R67" i="11" s="1"/>
  <c r="A67" i="11"/>
  <c r="P67" i="11" s="1"/>
  <c r="AD62" i="11"/>
  <c r="AB62" i="11"/>
  <c r="AA62" i="11"/>
  <c r="Z62" i="11"/>
  <c r="Y62" i="11"/>
  <c r="X62" i="11"/>
  <c r="W62" i="11"/>
  <c r="U62" i="11"/>
  <c r="V62" i="11" s="1"/>
  <c r="Q62" i="11"/>
  <c r="E62" i="11"/>
  <c r="R62" i="11" s="1"/>
  <c r="A62" i="11"/>
  <c r="P62" i="11" s="1"/>
  <c r="AD57" i="11"/>
  <c r="AB57" i="11"/>
  <c r="AA57" i="11"/>
  <c r="Z57" i="11"/>
  <c r="Y57" i="11"/>
  <c r="X57" i="11"/>
  <c r="W57" i="11"/>
  <c r="U57" i="11"/>
  <c r="V57" i="11" s="1"/>
  <c r="Q57" i="11"/>
  <c r="E57" i="11"/>
  <c r="T57" i="11" s="1"/>
  <c r="A57" i="11"/>
  <c r="P57" i="11" s="1"/>
  <c r="AD52" i="11"/>
  <c r="AB52" i="11"/>
  <c r="AA52" i="11"/>
  <c r="Z52" i="11"/>
  <c r="Y52" i="11"/>
  <c r="X52" i="11"/>
  <c r="W52" i="11"/>
  <c r="U52" i="11"/>
  <c r="V52" i="11" s="1"/>
  <c r="Q52" i="11"/>
  <c r="E52" i="11"/>
  <c r="T52" i="11" s="1"/>
  <c r="A52" i="11"/>
  <c r="S52" i="11" s="1"/>
  <c r="AD47" i="11"/>
  <c r="AB47" i="11"/>
  <c r="AA47" i="11"/>
  <c r="Z47" i="11"/>
  <c r="Y47" i="11"/>
  <c r="X47" i="11"/>
  <c r="W47" i="11"/>
  <c r="U47" i="11"/>
  <c r="V47" i="11" s="1"/>
  <c r="Q47" i="11"/>
  <c r="E47" i="11"/>
  <c r="A47" i="11"/>
  <c r="AD42" i="11"/>
  <c r="AB42" i="11"/>
  <c r="AA42" i="11"/>
  <c r="Z42" i="11"/>
  <c r="Y42" i="11"/>
  <c r="X42" i="11"/>
  <c r="W42" i="11"/>
  <c r="U42" i="11"/>
  <c r="V42" i="11" s="1"/>
  <c r="Q42" i="11"/>
  <c r="E42" i="11"/>
  <c r="AC42" i="11" s="1"/>
  <c r="A42" i="11"/>
  <c r="S42" i="11" s="1"/>
  <c r="AD37" i="11"/>
  <c r="AB37" i="11"/>
  <c r="AA37" i="11"/>
  <c r="Z37" i="11"/>
  <c r="Y37" i="11"/>
  <c r="X37" i="11"/>
  <c r="W37" i="11"/>
  <c r="U37" i="11"/>
  <c r="V37" i="11" s="1"/>
  <c r="Q37" i="11"/>
  <c r="E37" i="11"/>
  <c r="AC37" i="11" s="1"/>
  <c r="A37" i="11"/>
  <c r="S37" i="11" s="1"/>
  <c r="AD32" i="11"/>
  <c r="AB32" i="11"/>
  <c r="AA32" i="11"/>
  <c r="Z32" i="11"/>
  <c r="Y32" i="11"/>
  <c r="X32" i="11"/>
  <c r="W32" i="11"/>
  <c r="U32" i="11"/>
  <c r="V32" i="11" s="1"/>
  <c r="Q32" i="11"/>
  <c r="E32" i="11"/>
  <c r="R32" i="11" s="1"/>
  <c r="A32" i="11"/>
  <c r="AD27" i="11"/>
  <c r="AB27" i="11"/>
  <c r="AA27" i="11"/>
  <c r="Z27" i="11"/>
  <c r="Y27" i="11"/>
  <c r="X27" i="11"/>
  <c r="W27" i="11"/>
  <c r="U27" i="11"/>
  <c r="V27" i="11" s="1"/>
  <c r="Q27" i="11"/>
  <c r="E27" i="11"/>
  <c r="T27" i="11" s="1"/>
  <c r="A27" i="11"/>
  <c r="P27" i="11" s="1"/>
  <c r="AD22" i="11"/>
  <c r="AB22" i="11"/>
  <c r="AA22" i="11"/>
  <c r="Z22" i="11"/>
  <c r="Y22" i="11"/>
  <c r="X22" i="11"/>
  <c r="W22" i="11"/>
  <c r="U22" i="11"/>
  <c r="V22" i="11" s="1"/>
  <c r="Q22" i="11"/>
  <c r="E22" i="11"/>
  <c r="R22" i="11" s="1"/>
  <c r="A22" i="11"/>
  <c r="P22" i="11" s="1"/>
  <c r="AD17" i="11"/>
  <c r="AB17" i="11"/>
  <c r="AA17" i="11"/>
  <c r="Z17" i="11"/>
  <c r="Y17" i="11"/>
  <c r="X17" i="11"/>
  <c r="W17" i="11"/>
  <c r="U17" i="11"/>
  <c r="V17" i="11" s="1"/>
  <c r="Q17" i="11"/>
  <c r="E17" i="11"/>
  <c r="T17" i="11" s="1"/>
  <c r="A17" i="11"/>
  <c r="AD12" i="11"/>
  <c r="AB12" i="11"/>
  <c r="AA12" i="11"/>
  <c r="Z12" i="11"/>
  <c r="Y12" i="11"/>
  <c r="X12" i="11"/>
  <c r="W12" i="11"/>
  <c r="U12" i="11"/>
  <c r="V12" i="11" s="1"/>
  <c r="Q12" i="11"/>
  <c r="E12" i="11"/>
  <c r="T12" i="11" s="1"/>
  <c r="A12" i="11"/>
  <c r="AD7" i="11"/>
  <c r="AB7" i="11"/>
  <c r="AA7" i="11"/>
  <c r="Z7" i="11"/>
  <c r="Y7" i="11"/>
  <c r="X7" i="11"/>
  <c r="W7" i="11"/>
  <c r="U7" i="11"/>
  <c r="V7" i="11" s="1"/>
  <c r="Q7" i="11"/>
  <c r="E7" i="11"/>
  <c r="T7" i="11" s="1"/>
  <c r="A7" i="11"/>
  <c r="P7" i="11" s="1"/>
  <c r="AD2" i="11"/>
  <c r="AB2" i="11"/>
  <c r="AA2" i="11"/>
  <c r="Z2" i="11"/>
  <c r="Y2" i="11"/>
  <c r="X2" i="11"/>
  <c r="W2" i="11"/>
  <c r="U2" i="11"/>
  <c r="V2" i="11" s="1"/>
  <c r="Q2" i="11"/>
  <c r="E2" i="11"/>
  <c r="R2" i="11" s="1"/>
  <c r="A2" i="11"/>
  <c r="S2" i="11" s="1"/>
  <c r="AC176" i="11" l="1"/>
  <c r="AE88" i="11"/>
  <c r="AE149" i="11"/>
  <c r="AE142" i="11"/>
  <c r="AC79" i="11"/>
  <c r="AC75" i="11"/>
  <c r="AC105" i="11"/>
  <c r="AC121" i="11"/>
  <c r="AC160" i="11"/>
  <c r="AC40" i="11"/>
  <c r="AC64" i="11"/>
  <c r="AC45" i="11"/>
  <c r="AC29" i="11"/>
  <c r="AE28" i="11"/>
  <c r="AE158" i="11"/>
  <c r="AE93" i="11"/>
  <c r="AC13" i="11"/>
  <c r="AC93" i="11"/>
  <c r="AC2" i="11"/>
  <c r="AE49" i="11"/>
  <c r="AE154" i="11"/>
  <c r="AE75" i="11"/>
  <c r="AC71" i="11"/>
  <c r="AC124" i="11"/>
  <c r="AE151" i="11"/>
  <c r="AC74" i="11"/>
  <c r="AC143" i="11"/>
  <c r="AE32" i="11"/>
  <c r="AE79" i="11"/>
  <c r="AC47" i="11"/>
  <c r="AE14" i="11"/>
  <c r="AE160" i="11"/>
  <c r="AE82" i="11"/>
  <c r="AC91" i="11"/>
  <c r="R28" i="11"/>
  <c r="AE163" i="11"/>
  <c r="AE157" i="11"/>
  <c r="T62" i="11"/>
  <c r="AC157" i="11"/>
  <c r="AC19" i="11"/>
  <c r="AE40" i="11"/>
  <c r="AE47" i="11"/>
  <c r="AE112" i="11"/>
  <c r="AE109" i="11"/>
  <c r="AE12" i="11"/>
  <c r="R169" i="11"/>
  <c r="AE181" i="11"/>
  <c r="AC92" i="11"/>
  <c r="T120" i="11"/>
  <c r="T155" i="11"/>
  <c r="AC87" i="11"/>
  <c r="AE87" i="11"/>
  <c r="AC8" i="11"/>
  <c r="AE138" i="11"/>
  <c r="AC53" i="11"/>
  <c r="AC135" i="11"/>
  <c r="AE113" i="11"/>
  <c r="AE96" i="11"/>
  <c r="T51" i="11"/>
  <c r="AE92" i="11"/>
  <c r="AE34" i="11"/>
  <c r="AC110" i="11"/>
  <c r="AE139" i="11"/>
  <c r="S149" i="11"/>
  <c r="AC139" i="11"/>
  <c r="AC90" i="11"/>
  <c r="AE170" i="11"/>
  <c r="AC81" i="11"/>
  <c r="AC175" i="11"/>
  <c r="AC46" i="11"/>
  <c r="AE61" i="11"/>
  <c r="AC179" i="11"/>
  <c r="AE21" i="11"/>
  <c r="AE155" i="11"/>
  <c r="AE102" i="11"/>
  <c r="AE55" i="11"/>
  <c r="AC9" i="11"/>
  <c r="AC26" i="11"/>
  <c r="AC70" i="11"/>
  <c r="AC155" i="11"/>
  <c r="AC50" i="11"/>
  <c r="P101" i="11"/>
  <c r="AC166" i="11"/>
  <c r="AE152" i="11"/>
  <c r="AC152" i="11"/>
  <c r="AC115" i="11"/>
  <c r="AE19" i="11"/>
  <c r="AE51" i="11"/>
  <c r="AE30" i="11"/>
  <c r="AC170" i="11"/>
  <c r="AC6" i="11"/>
  <c r="AE17" i="11"/>
  <c r="AE66" i="11"/>
  <c r="AC84" i="11"/>
  <c r="AE161" i="11"/>
  <c r="AE48" i="11"/>
  <c r="AC119" i="11"/>
  <c r="AE115" i="11"/>
  <c r="AC106" i="11"/>
  <c r="AE106" i="11"/>
  <c r="R13" i="11"/>
  <c r="S68" i="11"/>
  <c r="AE99" i="11"/>
  <c r="AE164" i="11"/>
  <c r="AC95" i="11"/>
  <c r="R25" i="11"/>
  <c r="AE72" i="11"/>
  <c r="T68" i="11"/>
  <c r="AC20" i="11"/>
  <c r="AC67" i="11"/>
  <c r="AC28" i="11"/>
  <c r="AE31" i="11"/>
  <c r="P35" i="11"/>
  <c r="R60" i="11"/>
  <c r="AC18" i="11"/>
  <c r="AE123" i="11"/>
  <c r="AC49" i="11"/>
  <c r="P134" i="11"/>
  <c r="R4" i="11"/>
  <c r="S142" i="11"/>
  <c r="AC167" i="11"/>
  <c r="AC129" i="11"/>
  <c r="AC104" i="11"/>
  <c r="T118" i="11"/>
  <c r="P113" i="11"/>
  <c r="AC164" i="11"/>
  <c r="P168" i="11"/>
  <c r="T67" i="11"/>
  <c r="S87" i="11"/>
  <c r="AC162" i="11"/>
  <c r="S89" i="11"/>
  <c r="T61" i="11"/>
  <c r="P166" i="11"/>
  <c r="R87" i="11"/>
  <c r="T87" i="11"/>
  <c r="S33" i="11"/>
  <c r="AE24" i="11"/>
  <c r="P73" i="11"/>
  <c r="P49" i="11"/>
  <c r="R124" i="11"/>
  <c r="AE101" i="11"/>
  <c r="T104" i="11"/>
  <c r="AC11" i="11"/>
  <c r="AE89" i="11"/>
  <c r="AC44" i="11"/>
  <c r="AC109" i="11"/>
  <c r="AE35" i="11"/>
  <c r="R69" i="11"/>
  <c r="R26" i="11"/>
  <c r="S128" i="11"/>
  <c r="AE11" i="11"/>
  <c r="S144" i="11"/>
  <c r="T144" i="11"/>
  <c r="T115" i="11"/>
  <c r="T21" i="11"/>
  <c r="S132" i="11"/>
  <c r="S152" i="11"/>
  <c r="T103" i="11"/>
  <c r="AC66" i="11"/>
  <c r="T121" i="11"/>
  <c r="R181" i="11"/>
  <c r="R111" i="11"/>
  <c r="T149" i="11"/>
  <c r="S181" i="11"/>
  <c r="AC86" i="11"/>
  <c r="S106" i="11"/>
  <c r="T71" i="11"/>
  <c r="T167" i="11"/>
  <c r="AC103" i="11"/>
  <c r="AE159" i="11"/>
  <c r="AC61" i="11"/>
  <c r="R40" i="11"/>
  <c r="AC12" i="11"/>
  <c r="AC7" i="11"/>
  <c r="AC153" i="11"/>
  <c r="AC163" i="11"/>
  <c r="S176" i="11"/>
  <c r="T64" i="11"/>
  <c r="P152" i="11"/>
  <c r="P97" i="11"/>
  <c r="AC133" i="11"/>
  <c r="AC134" i="11"/>
  <c r="AC169" i="11"/>
  <c r="AE80" i="11"/>
  <c r="T24" i="11"/>
  <c r="P112" i="11"/>
  <c r="AC111" i="11"/>
  <c r="AE9" i="11"/>
  <c r="S28" i="11"/>
  <c r="AE130" i="11"/>
  <c r="T11" i="11"/>
  <c r="R7" i="11"/>
  <c r="T162" i="11"/>
  <c r="AC39" i="11"/>
  <c r="AE100" i="11"/>
  <c r="R45" i="11"/>
  <c r="AC57" i="11"/>
  <c r="AC73" i="11"/>
  <c r="AC4" i="11"/>
  <c r="AC5" i="11"/>
  <c r="AC15" i="11"/>
  <c r="AC150" i="11"/>
  <c r="AC41" i="11"/>
  <c r="P87" i="11"/>
  <c r="P92" i="11"/>
  <c r="AC147" i="11"/>
  <c r="AC172" i="11"/>
  <c r="AE43" i="11"/>
  <c r="AC89" i="11"/>
  <c r="S69" i="11"/>
  <c r="T2" i="11"/>
  <c r="AC32" i="11"/>
  <c r="S62" i="11"/>
  <c r="S112" i="11"/>
  <c r="AE73" i="11"/>
  <c r="P118" i="11"/>
  <c r="AE5" i="11"/>
  <c r="AC25" i="11"/>
  <c r="S64" i="11"/>
  <c r="AC116" i="11"/>
  <c r="R174" i="11"/>
  <c r="S55" i="11"/>
  <c r="AE54" i="11"/>
  <c r="P46" i="11"/>
  <c r="P158" i="11"/>
  <c r="T84" i="11"/>
  <c r="R109" i="11"/>
  <c r="S108" i="11"/>
  <c r="R9" i="11"/>
  <c r="S109" i="11"/>
  <c r="R164" i="11"/>
  <c r="P20" i="11"/>
  <c r="R80" i="11"/>
  <c r="T130" i="11"/>
  <c r="S34" i="11"/>
  <c r="R16" i="11"/>
  <c r="R147" i="11"/>
  <c r="S104" i="11"/>
  <c r="R180" i="11"/>
  <c r="S96" i="11"/>
  <c r="AC38" i="11"/>
  <c r="R161" i="11"/>
  <c r="T38" i="11"/>
  <c r="AC62" i="11"/>
  <c r="P142" i="11"/>
  <c r="AC88" i="11"/>
  <c r="AE174" i="11"/>
  <c r="R29" i="11"/>
  <c r="R134" i="11"/>
  <c r="P75" i="11"/>
  <c r="S56" i="11"/>
  <c r="P122" i="11"/>
  <c r="AE42" i="11"/>
  <c r="S122" i="11"/>
  <c r="AE118" i="11"/>
  <c r="S24" i="11"/>
  <c r="R49" i="11"/>
  <c r="AC151" i="11"/>
  <c r="R129" i="11"/>
  <c r="P30" i="11"/>
  <c r="R41" i="11"/>
  <c r="R117" i="11"/>
  <c r="AC78" i="11"/>
  <c r="AE33" i="11"/>
  <c r="AC178" i="11"/>
  <c r="S60" i="11"/>
  <c r="P60" i="11"/>
  <c r="S147" i="11"/>
  <c r="S153" i="11"/>
  <c r="AC168" i="11"/>
  <c r="AE53" i="11"/>
  <c r="S70" i="11"/>
  <c r="AE85" i="11"/>
  <c r="P70" i="11"/>
  <c r="P175" i="11"/>
  <c r="AE120" i="11"/>
  <c r="P136" i="11"/>
  <c r="S136" i="11"/>
  <c r="T89" i="11"/>
  <c r="R89" i="11"/>
  <c r="P76" i="11"/>
  <c r="S76" i="11"/>
  <c r="AE146" i="11"/>
  <c r="AC171" i="11"/>
  <c r="T151" i="11"/>
  <c r="R151" i="11"/>
  <c r="AC33" i="11"/>
  <c r="T32" i="11"/>
  <c r="S57" i="11"/>
  <c r="AC122" i="11"/>
  <c r="T122" i="11"/>
  <c r="AC142" i="11"/>
  <c r="AE78" i="11"/>
  <c r="AC108" i="11"/>
  <c r="T175" i="11"/>
  <c r="P36" i="11"/>
  <c r="AE16" i="11"/>
  <c r="S36" i="11"/>
  <c r="T136" i="11"/>
  <c r="R136" i="11"/>
  <c r="S14" i="11"/>
  <c r="AE124" i="11"/>
  <c r="P23" i="11"/>
  <c r="AE68" i="11"/>
  <c r="P14" i="11"/>
  <c r="S82" i="11"/>
  <c r="P88" i="11"/>
  <c r="T106" i="11"/>
  <c r="AC156" i="11"/>
  <c r="AC118" i="11"/>
  <c r="R52" i="11"/>
  <c r="AC52" i="11"/>
  <c r="T94" i="11"/>
  <c r="R94" i="11"/>
  <c r="AE179" i="11"/>
  <c r="AE178" i="11"/>
  <c r="R10" i="11"/>
  <c r="T10" i="11"/>
  <c r="AC65" i="11"/>
  <c r="S63" i="11"/>
  <c r="R170" i="11"/>
  <c r="AC60" i="11"/>
  <c r="S117" i="11"/>
  <c r="AE177" i="11"/>
  <c r="P177" i="11"/>
  <c r="AE172" i="11"/>
  <c r="P172" i="11"/>
  <c r="AE110" i="11"/>
  <c r="P12" i="11"/>
  <c r="P17" i="11"/>
  <c r="T142" i="11"/>
  <c r="S177" i="11"/>
  <c r="AC83" i="11"/>
  <c r="P43" i="11"/>
  <c r="S43" i="11"/>
  <c r="S53" i="11"/>
  <c r="S143" i="11"/>
  <c r="R148" i="11"/>
  <c r="AE25" i="11"/>
  <c r="P145" i="11"/>
  <c r="S21" i="11"/>
  <c r="P21" i="11"/>
  <c r="R96" i="11"/>
  <c r="P146" i="11"/>
  <c r="S146" i="11"/>
  <c r="AC72" i="11"/>
  <c r="R72" i="11"/>
  <c r="AC68" i="11"/>
  <c r="R172" i="11"/>
  <c r="R48" i="11"/>
  <c r="T143" i="11"/>
  <c r="S148" i="11"/>
  <c r="R30" i="11"/>
  <c r="AC136" i="11"/>
  <c r="R101" i="11"/>
  <c r="AC138" i="11"/>
  <c r="S72" i="11"/>
  <c r="AE37" i="11"/>
  <c r="P37" i="11"/>
  <c r="T72" i="11"/>
  <c r="R132" i="11"/>
  <c r="AC132" i="11"/>
  <c r="S137" i="11"/>
  <c r="S172" i="11"/>
  <c r="AC113" i="11"/>
  <c r="S48" i="11"/>
  <c r="AC130" i="11"/>
  <c r="AC36" i="11"/>
  <c r="T25" i="11"/>
  <c r="R100" i="11"/>
  <c r="T140" i="11"/>
  <c r="R140" i="11"/>
  <c r="T96" i="11"/>
  <c r="AC148" i="11"/>
  <c r="P9" i="11"/>
  <c r="S169" i="11"/>
  <c r="P169" i="11"/>
  <c r="P42" i="11"/>
  <c r="R12" i="11"/>
  <c r="S17" i="11"/>
  <c r="S7" i="11"/>
  <c r="S12" i="11"/>
  <c r="T37" i="11"/>
  <c r="R37" i="11"/>
  <c r="S67" i="11"/>
  <c r="S167" i="11"/>
  <c r="AE23" i="11"/>
  <c r="R43" i="11"/>
  <c r="AC34" i="11"/>
  <c r="S129" i="11"/>
  <c r="AE104" i="11"/>
  <c r="T100" i="11"/>
  <c r="P140" i="11"/>
  <c r="P16" i="11"/>
  <c r="S16" i="11"/>
  <c r="AE76" i="11"/>
  <c r="T91" i="11"/>
  <c r="S141" i="11"/>
  <c r="P141" i="11"/>
  <c r="P3" i="11"/>
  <c r="T82" i="11"/>
  <c r="T112" i="11"/>
  <c r="AE59" i="11"/>
  <c r="S32" i="11"/>
  <c r="P32" i="11"/>
  <c r="AE98" i="11"/>
  <c r="T108" i="11"/>
  <c r="S180" i="11"/>
  <c r="T141" i="11"/>
  <c r="R141" i="11"/>
  <c r="AC128" i="11"/>
  <c r="AC131" i="11"/>
  <c r="T31" i="11"/>
  <c r="S100" i="11"/>
  <c r="AE8" i="11"/>
  <c r="AC82" i="11"/>
  <c r="AC117" i="11"/>
  <c r="AE4" i="11"/>
  <c r="S133" i="11"/>
  <c r="P133" i="11"/>
  <c r="AC100" i="11"/>
  <c r="T20" i="11"/>
  <c r="R20" i="11"/>
  <c r="P135" i="11"/>
  <c r="S135" i="11"/>
  <c r="AE165" i="11"/>
  <c r="S140" i="11"/>
  <c r="S86" i="11"/>
  <c r="P86" i="11"/>
  <c r="AE128" i="11"/>
  <c r="T170" i="11"/>
  <c r="R31" i="11"/>
  <c r="T137" i="11"/>
  <c r="AC137" i="11"/>
  <c r="AC107" i="11"/>
  <c r="AC112" i="11"/>
  <c r="AC149" i="11"/>
  <c r="P163" i="11"/>
  <c r="AE173" i="11"/>
  <c r="P15" i="11"/>
  <c r="AE125" i="11"/>
  <c r="T135" i="11"/>
  <c r="P156" i="11"/>
  <c r="AE56" i="11"/>
  <c r="AC173" i="11"/>
  <c r="AC58" i="11"/>
  <c r="AE69" i="11"/>
  <c r="AC14" i="11"/>
  <c r="AC24" i="11"/>
  <c r="AE144" i="11"/>
  <c r="AC154" i="11"/>
  <c r="AC159" i="11"/>
  <c r="P81" i="11"/>
  <c r="T131" i="11"/>
  <c r="R81" i="11"/>
  <c r="T90" i="11"/>
  <c r="P126" i="11"/>
  <c r="R176" i="11"/>
  <c r="R123" i="11"/>
  <c r="P39" i="11"/>
  <c r="R44" i="11"/>
  <c r="R160" i="11"/>
  <c r="P61" i="11"/>
  <c r="T176" i="11"/>
  <c r="AC158" i="11"/>
  <c r="AC43" i="11"/>
  <c r="S103" i="11"/>
  <c r="S118" i="11"/>
  <c r="S123" i="11"/>
  <c r="P74" i="11"/>
  <c r="T79" i="11"/>
  <c r="P114" i="11"/>
  <c r="P154" i="11"/>
  <c r="T159" i="11"/>
  <c r="T50" i="11"/>
  <c r="P6" i="11"/>
  <c r="R56" i="11"/>
  <c r="S66" i="11"/>
  <c r="T171" i="11"/>
  <c r="T39" i="11"/>
  <c r="S115" i="11"/>
  <c r="S116" i="11"/>
  <c r="S29" i="11"/>
  <c r="T56" i="11"/>
  <c r="T73" i="11"/>
  <c r="AC144" i="11"/>
  <c r="R128" i="11"/>
  <c r="S59" i="11"/>
  <c r="P59" i="11"/>
  <c r="T119" i="11"/>
  <c r="S98" i="11"/>
  <c r="P98" i="11"/>
  <c r="AE29" i="11"/>
  <c r="T114" i="11"/>
  <c r="R114" i="11"/>
  <c r="AC101" i="11"/>
  <c r="R42" i="11"/>
  <c r="P47" i="11"/>
  <c r="AE52" i="11"/>
  <c r="P157" i="11"/>
  <c r="AE57" i="11"/>
  <c r="S92" i="11"/>
  <c r="R97" i="11"/>
  <c r="AE162" i="11"/>
  <c r="AE133" i="11"/>
  <c r="AE38" i="11"/>
  <c r="R3" i="11"/>
  <c r="P8" i="11"/>
  <c r="T18" i="11"/>
  <c r="R18" i="11"/>
  <c r="AE74" i="11"/>
  <c r="P78" i="11"/>
  <c r="T93" i="11"/>
  <c r="R93" i="11"/>
  <c r="AC10" i="11"/>
  <c r="AE15" i="11"/>
  <c r="AC141" i="11"/>
  <c r="T59" i="11"/>
  <c r="R59" i="11"/>
  <c r="S159" i="11"/>
  <c r="P159" i="11"/>
  <c r="AE116" i="11"/>
  <c r="T95" i="11"/>
  <c r="R95" i="11"/>
  <c r="R36" i="11"/>
  <c r="T36" i="11"/>
  <c r="T105" i="11"/>
  <c r="R105" i="11"/>
  <c r="S170" i="11"/>
  <c r="P170" i="11"/>
  <c r="AE2" i="11"/>
  <c r="AE62" i="11"/>
  <c r="T92" i="11"/>
  <c r="S97" i="11"/>
  <c r="S102" i="11"/>
  <c r="R107" i="11"/>
  <c r="T152" i="11"/>
  <c r="R157" i="11"/>
  <c r="P162" i="11"/>
  <c r="AE18" i="11"/>
  <c r="P13" i="11"/>
  <c r="P18" i="11"/>
  <c r="S23" i="11"/>
  <c r="P38" i="11"/>
  <c r="AE134" i="11"/>
  <c r="S58" i="11"/>
  <c r="P58" i="11"/>
  <c r="P93" i="11"/>
  <c r="AC76" i="11"/>
  <c r="S130" i="11"/>
  <c r="P130" i="11"/>
  <c r="T145" i="11"/>
  <c r="R145" i="11"/>
  <c r="T98" i="11"/>
  <c r="R98" i="11"/>
  <c r="AE13" i="11"/>
  <c r="P2" i="11"/>
  <c r="T42" i="11"/>
  <c r="R47" i="11"/>
  <c r="P52" i="11"/>
  <c r="AE7" i="11"/>
  <c r="AC17" i="11"/>
  <c r="S47" i="11"/>
  <c r="AE67" i="11"/>
  <c r="T102" i="11"/>
  <c r="S107" i="11"/>
  <c r="AE117" i="11"/>
  <c r="S157" i="11"/>
  <c r="AE167" i="11"/>
  <c r="AC177" i="11"/>
  <c r="T3" i="11"/>
  <c r="R8" i="11"/>
  <c r="T23" i="11"/>
  <c r="R33" i="11"/>
  <c r="T58" i="11"/>
  <c r="R58" i="11"/>
  <c r="R73" i="11"/>
  <c r="R83" i="11"/>
  <c r="AE10" i="11"/>
  <c r="AE70" i="11"/>
  <c r="AE50" i="11"/>
  <c r="AE81" i="11"/>
  <c r="S54" i="11"/>
  <c r="T154" i="11"/>
  <c r="R154" i="11"/>
  <c r="AC56" i="11"/>
  <c r="S90" i="11"/>
  <c r="P90" i="11"/>
  <c r="AE153" i="11"/>
  <c r="AE64" i="11"/>
  <c r="R92" i="11"/>
  <c r="R152" i="11"/>
  <c r="AC22" i="11"/>
  <c r="T47" i="11"/>
  <c r="T157" i="11"/>
  <c r="AC3" i="11"/>
  <c r="AC23" i="11"/>
  <c r="AE103" i="11"/>
  <c r="AC48" i="11"/>
  <c r="T53" i="11"/>
  <c r="R53" i="11"/>
  <c r="T63" i="11"/>
  <c r="T78" i="11"/>
  <c r="S83" i="11"/>
  <c r="R88" i="11"/>
  <c r="AC125" i="11"/>
  <c r="S99" i="11"/>
  <c r="P99" i="11"/>
  <c r="AC80" i="11"/>
  <c r="R156" i="11"/>
  <c r="T156" i="11"/>
  <c r="P102" i="11"/>
  <c r="AC27" i="11"/>
  <c r="R57" i="11"/>
  <c r="AC77" i="11"/>
  <c r="AC127" i="11"/>
  <c r="AC63" i="11"/>
  <c r="T33" i="11"/>
  <c r="AC114" i="11"/>
  <c r="AC174" i="11"/>
  <c r="AC59" i="11"/>
  <c r="AE119" i="11"/>
  <c r="AC165" i="11"/>
  <c r="AC55" i="11"/>
  <c r="S44" i="11"/>
  <c r="P44" i="11"/>
  <c r="AE136" i="11"/>
  <c r="P54" i="11"/>
  <c r="AC31" i="11"/>
  <c r="AC96" i="11"/>
  <c r="T99" i="11"/>
  <c r="R99" i="11"/>
  <c r="AE107" i="11"/>
  <c r="S178" i="11"/>
  <c r="P178" i="11"/>
  <c r="T34" i="11"/>
  <c r="AC16" i="11"/>
  <c r="AE36" i="11"/>
  <c r="S94" i="11"/>
  <c r="AE77" i="11"/>
  <c r="AE127" i="11"/>
  <c r="AE63" i="11"/>
  <c r="AC123" i="11"/>
  <c r="AE114" i="11"/>
  <c r="T178" i="11"/>
  <c r="R178" i="11"/>
  <c r="S85" i="11"/>
  <c r="P85" i="11"/>
  <c r="S155" i="11"/>
  <c r="P155" i="11"/>
  <c r="AC120" i="11"/>
  <c r="AE22" i="11"/>
  <c r="P77" i="11"/>
  <c r="P127" i="11"/>
  <c r="AE132" i="11"/>
  <c r="AE83" i="11"/>
  <c r="AE108" i="11"/>
  <c r="T153" i="11"/>
  <c r="AC54" i="11"/>
  <c r="AC30" i="11"/>
  <c r="AE126" i="11"/>
  <c r="P94" i="11"/>
  <c r="S139" i="11"/>
  <c r="P139" i="11"/>
  <c r="T85" i="11"/>
  <c r="R85" i="11"/>
  <c r="AE143" i="11"/>
  <c r="AC94" i="11"/>
  <c r="T173" i="11"/>
  <c r="R173" i="11"/>
  <c r="AE95" i="11"/>
  <c r="S19" i="11"/>
  <c r="P19" i="11"/>
  <c r="S79" i="11"/>
  <c r="P79" i="11"/>
  <c r="AC161" i="11"/>
  <c r="AC51" i="11"/>
  <c r="T139" i="11"/>
  <c r="R139" i="11"/>
  <c r="S80" i="11"/>
  <c r="P80" i="11"/>
  <c r="AE3" i="11"/>
  <c r="S22" i="11"/>
  <c r="R27" i="11"/>
  <c r="R77" i="11"/>
  <c r="P82" i="11"/>
  <c r="R127" i="11"/>
  <c r="AE168" i="11"/>
  <c r="S138" i="11"/>
  <c r="P138" i="11"/>
  <c r="P173" i="11"/>
  <c r="AC145" i="11"/>
  <c r="AC35" i="11"/>
  <c r="AC180" i="11"/>
  <c r="T19" i="11"/>
  <c r="R19" i="11"/>
  <c r="AE166" i="11"/>
  <c r="S134" i="11"/>
  <c r="S110" i="11"/>
  <c r="P110" i="11"/>
  <c r="S150" i="11"/>
  <c r="P150" i="11"/>
  <c r="AE137" i="11"/>
  <c r="R177" i="11"/>
  <c r="T22" i="11"/>
  <c r="S27" i="11"/>
  <c r="AC97" i="11"/>
  <c r="AE147" i="11"/>
  <c r="AE148" i="11"/>
  <c r="AE94" i="11"/>
  <c r="AE44" i="11"/>
  <c r="T138" i="11"/>
  <c r="R138" i="11"/>
  <c r="R153" i="11"/>
  <c r="R163" i="11"/>
  <c r="T74" i="11"/>
  <c r="R74" i="11"/>
  <c r="AC146" i="11"/>
  <c r="S179" i="11"/>
  <c r="P179" i="11"/>
  <c r="T150" i="11"/>
  <c r="R150" i="11"/>
  <c r="AE27" i="11"/>
  <c r="R17" i="11"/>
  <c r="AC102" i="11"/>
  <c r="AC69" i="11"/>
  <c r="T113" i="11"/>
  <c r="AC99" i="11"/>
  <c r="T158" i="11"/>
  <c r="S163" i="11"/>
  <c r="R168" i="11"/>
  <c r="AC140" i="11"/>
  <c r="AC85" i="11"/>
  <c r="AE145" i="11"/>
  <c r="AE180" i="11"/>
  <c r="AE141" i="11"/>
  <c r="AC181" i="11"/>
  <c r="T179" i="11"/>
  <c r="R179" i="11"/>
  <c r="T75" i="11"/>
  <c r="R75" i="11"/>
  <c r="T133" i="11"/>
  <c r="R133" i="11"/>
  <c r="P4" i="11"/>
  <c r="AE6" i="11"/>
  <c r="AC126" i="11"/>
  <c r="T14" i="11"/>
  <c r="R14" i="11"/>
  <c r="S119" i="11"/>
  <c r="P119" i="11"/>
  <c r="AE121" i="11"/>
  <c r="S174" i="11"/>
  <c r="S105" i="11"/>
  <c r="P105" i="11"/>
  <c r="R54" i="11"/>
  <c r="T35" i="11"/>
  <c r="S45" i="11"/>
  <c r="S65" i="11"/>
  <c r="R70" i="11"/>
  <c r="P26" i="11"/>
  <c r="AE135" i="11"/>
  <c r="AE90" i="11"/>
  <c r="AE45" i="11"/>
  <c r="AE175" i="11"/>
  <c r="AE71" i="11"/>
  <c r="AE26" i="11"/>
  <c r="AE156" i="11"/>
  <c r="AE111" i="11"/>
  <c r="T65" i="11"/>
  <c r="T70" i="11"/>
  <c r="S95" i="11"/>
  <c r="S160" i="11"/>
  <c r="T165" i="11"/>
  <c r="R165" i="11"/>
  <c r="S120" i="11"/>
  <c r="T125" i="11"/>
  <c r="R125" i="11"/>
  <c r="S145" i="11"/>
  <c r="P165" i="11"/>
  <c r="S11" i="11"/>
  <c r="P11" i="11"/>
  <c r="S131" i="11"/>
  <c r="P131" i="11"/>
  <c r="AE58" i="11"/>
  <c r="AE129" i="11"/>
  <c r="AE84" i="11"/>
  <c r="AE39" i="11"/>
  <c r="AE169" i="11"/>
  <c r="AE65" i="11"/>
  <c r="AE20" i="11"/>
  <c r="AE150" i="11"/>
  <c r="AE105" i="11"/>
  <c r="AE60" i="11"/>
  <c r="AE131" i="11"/>
  <c r="AE86" i="11"/>
  <c r="AE41" i="11"/>
  <c r="AE171" i="11"/>
  <c r="R110" i="11"/>
  <c r="P125" i="11"/>
  <c r="P160" i="11"/>
  <c r="R76" i="11"/>
  <c r="P120" i="11"/>
  <c r="S26" i="11"/>
  <c r="S10" i="11"/>
  <c r="S51" i="11"/>
  <c r="P51" i="11"/>
  <c r="R116" i="11"/>
  <c r="S171" i="11"/>
  <c r="P171" i="11"/>
  <c r="AE91" i="11"/>
  <c r="AE46" i="11"/>
  <c r="AE176" i="11"/>
  <c r="T5" i="11"/>
  <c r="P84" i="11"/>
  <c r="P124" i="11"/>
  <c r="P164" i="11"/>
  <c r="P5" i="11"/>
  <c r="P10" i="11"/>
  <c r="R15" i="11"/>
  <c r="P25" i="11"/>
  <c r="S15" i="11"/>
  <c r="S50" i="11"/>
  <c r="T116" i="11"/>
  <c r="S40" i="11"/>
  <c r="T45" i="11"/>
  <c r="P50" i="11"/>
  <c r="R55" i="11"/>
  <c r="S91" i="11"/>
  <c r="P91" i="11"/>
  <c r="S41" i="11"/>
  <c r="S81" i="11"/>
  <c r="S121" i="11"/>
  <c r="S161" i="11"/>
  <c r="R6" i="11"/>
  <c r="R46" i="11"/>
  <c r="R86" i="11"/>
  <c r="R126" i="11"/>
  <c r="R166" i="11"/>
  <c r="T6" i="11"/>
  <c r="T46" i="11"/>
  <c r="T86" i="11"/>
  <c r="T126" i="11"/>
  <c r="T166" i="11"/>
  <c r="P31" i="11"/>
  <c r="R66" i="11"/>
  <c r="P71" i="11"/>
  <c r="R106" i="11"/>
  <c r="P111" i="11"/>
  <c r="R146" i="11"/>
  <c r="P151" i="11"/>
  <c r="AA16" i="10"/>
  <c r="Z16" i="10"/>
  <c r="Y16" i="10"/>
  <c r="X16" i="10"/>
  <c r="W16" i="10"/>
  <c r="U16" i="10"/>
  <c r="V16" i="10" s="1"/>
  <c r="Q16" i="10"/>
  <c r="E16" i="10"/>
  <c r="A16" i="10"/>
  <c r="P16" i="10" s="1"/>
  <c r="AD16" i="10"/>
  <c r="AB16" i="10"/>
  <c r="AD15" i="10"/>
  <c r="AB15" i="10"/>
  <c r="AD14" i="10"/>
  <c r="AB14" i="10"/>
  <c r="AD13" i="10"/>
  <c r="AB13" i="10"/>
  <c r="AD12" i="10"/>
  <c r="AB12" i="10"/>
  <c r="AA15" i="10"/>
  <c r="Z15" i="10"/>
  <c r="Y15" i="10"/>
  <c r="X15" i="10"/>
  <c r="W15" i="10"/>
  <c r="U15" i="10"/>
  <c r="V15" i="10" s="1"/>
  <c r="Q15" i="10"/>
  <c r="E15" i="10"/>
  <c r="R15" i="10" s="1"/>
  <c r="A15" i="10"/>
  <c r="P15" i="10" s="1"/>
  <c r="AD11" i="10"/>
  <c r="AB11" i="10"/>
  <c r="AD10" i="10"/>
  <c r="AB10" i="10"/>
  <c r="AD9" i="10"/>
  <c r="AB9" i="10"/>
  <c r="AD8" i="10"/>
  <c r="AB8" i="10"/>
  <c r="AD7" i="10"/>
  <c r="AB7" i="10"/>
  <c r="AD6" i="10"/>
  <c r="AB6" i="10"/>
  <c r="AD5" i="10"/>
  <c r="AB5" i="10"/>
  <c r="AD4" i="10"/>
  <c r="AB4" i="10"/>
  <c r="AD3" i="10"/>
  <c r="AB3" i="10"/>
  <c r="AD2" i="10"/>
  <c r="AB2" i="10"/>
  <c r="AA14" i="10"/>
  <c r="Z14" i="10"/>
  <c r="Y14" i="10"/>
  <c r="X14" i="10"/>
  <c r="W14" i="10"/>
  <c r="U14" i="10"/>
  <c r="V14" i="10" s="1"/>
  <c r="Q14" i="10"/>
  <c r="E14" i="10"/>
  <c r="T14" i="10" s="1"/>
  <c r="A14" i="10"/>
  <c r="AA13" i="10"/>
  <c r="Z13" i="10"/>
  <c r="Y13" i="10"/>
  <c r="X13" i="10"/>
  <c r="W13" i="10"/>
  <c r="U13" i="10"/>
  <c r="V13" i="10" s="1"/>
  <c r="Q13" i="10"/>
  <c r="E13" i="10"/>
  <c r="T13" i="10" s="1"/>
  <c r="A13" i="10"/>
  <c r="AA12" i="10"/>
  <c r="Z12" i="10"/>
  <c r="Y12" i="10"/>
  <c r="X12" i="10"/>
  <c r="W12" i="10"/>
  <c r="U12" i="10"/>
  <c r="V12" i="10" s="1"/>
  <c r="Q12" i="10"/>
  <c r="E12" i="10"/>
  <c r="R12" i="10" s="1"/>
  <c r="A12" i="10"/>
  <c r="P12" i="10" s="1"/>
  <c r="AA11" i="10"/>
  <c r="Z11" i="10"/>
  <c r="Y11" i="10"/>
  <c r="X11" i="10"/>
  <c r="W11" i="10"/>
  <c r="U11" i="10"/>
  <c r="V11" i="10" s="1"/>
  <c r="Q11" i="10"/>
  <c r="E11" i="10"/>
  <c r="T11" i="10" s="1"/>
  <c r="A11" i="10"/>
  <c r="S11" i="10" s="1"/>
  <c r="AA10" i="10"/>
  <c r="Z10" i="10"/>
  <c r="Y10" i="10"/>
  <c r="X10" i="10"/>
  <c r="W10" i="10"/>
  <c r="U10" i="10"/>
  <c r="V10" i="10" s="1"/>
  <c r="Q10" i="10"/>
  <c r="E10" i="10"/>
  <c r="A10" i="10"/>
  <c r="AA9" i="10"/>
  <c r="Z9" i="10"/>
  <c r="Y9" i="10"/>
  <c r="X9" i="10"/>
  <c r="W9" i="10"/>
  <c r="U9" i="10"/>
  <c r="V9" i="10" s="1"/>
  <c r="Q9" i="10"/>
  <c r="E9" i="10"/>
  <c r="R9" i="10" s="1"/>
  <c r="A9" i="10"/>
  <c r="AA8" i="10"/>
  <c r="Z8" i="10"/>
  <c r="Y8" i="10"/>
  <c r="X8" i="10"/>
  <c r="W8" i="10"/>
  <c r="U8" i="10"/>
  <c r="V8" i="10" s="1"/>
  <c r="Q8" i="10"/>
  <c r="E8" i="10"/>
  <c r="R8" i="10" s="1"/>
  <c r="A8" i="10"/>
  <c r="S8" i="10" s="1"/>
  <c r="AA7" i="10"/>
  <c r="Z7" i="10"/>
  <c r="Y7" i="10"/>
  <c r="X7" i="10"/>
  <c r="W7" i="10"/>
  <c r="U7" i="10"/>
  <c r="V7" i="10" s="1"/>
  <c r="Q7" i="10"/>
  <c r="E7" i="10"/>
  <c r="T7" i="10" s="1"/>
  <c r="A7" i="10"/>
  <c r="AA6" i="10"/>
  <c r="Z6" i="10"/>
  <c r="Y6" i="10"/>
  <c r="X6" i="10"/>
  <c r="W6" i="10"/>
  <c r="U6" i="10"/>
  <c r="V6" i="10" s="1"/>
  <c r="Q6" i="10"/>
  <c r="E6" i="10"/>
  <c r="AC6" i="10" s="1"/>
  <c r="A6" i="10"/>
  <c r="P6" i="10" s="1"/>
  <c r="AA5" i="10"/>
  <c r="Z5" i="10"/>
  <c r="Y5" i="10"/>
  <c r="X5" i="10"/>
  <c r="W5" i="10"/>
  <c r="U5" i="10"/>
  <c r="V5" i="10" s="1"/>
  <c r="Q5" i="10"/>
  <c r="E5" i="10"/>
  <c r="T5" i="10" s="1"/>
  <c r="A5" i="10"/>
  <c r="AA4" i="10"/>
  <c r="Z4" i="10"/>
  <c r="Y4" i="10"/>
  <c r="X4" i="10"/>
  <c r="W4" i="10"/>
  <c r="U4" i="10"/>
  <c r="V4" i="10" s="1"/>
  <c r="Q4" i="10"/>
  <c r="E4" i="10"/>
  <c r="A4" i="10"/>
  <c r="P4" i="10" s="1"/>
  <c r="AA3" i="10"/>
  <c r="Z3" i="10"/>
  <c r="Y3" i="10"/>
  <c r="X3" i="10"/>
  <c r="W3" i="10"/>
  <c r="U3" i="10"/>
  <c r="V3" i="10" s="1"/>
  <c r="Q3" i="10"/>
  <c r="E3" i="10"/>
  <c r="AC3" i="10" s="1"/>
  <c r="A3" i="10"/>
  <c r="AA2" i="10"/>
  <c r="Z2" i="10"/>
  <c r="Y2" i="10"/>
  <c r="X2" i="10"/>
  <c r="W2" i="10"/>
  <c r="U2" i="10"/>
  <c r="V2" i="10" s="1"/>
  <c r="Q2" i="10"/>
  <c r="E2" i="10"/>
  <c r="T2" i="10" s="1"/>
  <c r="A2" i="10"/>
  <c r="AC13" i="10" l="1"/>
  <c r="AE6" i="10"/>
  <c r="AE8" i="10"/>
  <c r="R13" i="10"/>
  <c r="T9" i="10"/>
  <c r="P5" i="10"/>
  <c r="R7" i="10"/>
  <c r="T8" i="10"/>
  <c r="R14" i="10"/>
  <c r="S5" i="10"/>
  <c r="AE2" i="10"/>
  <c r="S2" i="10"/>
  <c r="AC2" i="10"/>
  <c r="P2" i="10"/>
  <c r="AC7" i="10"/>
  <c r="R2" i="10"/>
  <c r="S4" i="10"/>
  <c r="AE4" i="10"/>
  <c r="AE5" i="10"/>
  <c r="R4" i="10"/>
  <c r="AC4" i="10"/>
  <c r="T4" i="10"/>
  <c r="P7" i="10"/>
  <c r="S7" i="10"/>
  <c r="R5" i="10"/>
  <c r="AE3" i="10"/>
  <c r="R3" i="10"/>
  <c r="T3" i="10"/>
  <c r="T6" i="10"/>
  <c r="R6" i="10"/>
  <c r="P10" i="10"/>
  <c r="S10" i="10"/>
  <c r="T12" i="10"/>
  <c r="AE9" i="10"/>
  <c r="AC9" i="10"/>
  <c r="AC8" i="10"/>
  <c r="AC16" i="10"/>
  <c r="AE15" i="10"/>
  <c r="AE13" i="10"/>
  <c r="AE14" i="10"/>
  <c r="AC14" i="10"/>
  <c r="R10" i="10"/>
  <c r="R16" i="10"/>
  <c r="T10" i="10"/>
  <c r="P11" i="10"/>
  <c r="AE11" i="10"/>
  <c r="S15" i="10"/>
  <c r="T15" i="10"/>
  <c r="S12" i="10"/>
  <c r="AE10" i="10"/>
  <c r="AC10" i="10"/>
  <c r="S3" i="10"/>
  <c r="S6" i="10"/>
  <c r="R11" i="10"/>
  <c r="P9" i="10"/>
  <c r="AC15" i="10"/>
  <c r="P8" i="10"/>
  <c r="S9" i="10"/>
  <c r="P3" i="10"/>
  <c r="S13" i="10"/>
  <c r="P13" i="10"/>
  <c r="S14" i="10"/>
  <c r="P14" i="10"/>
  <c r="AE12" i="10"/>
  <c r="S16" i="10"/>
  <c r="T16" i="10"/>
  <c r="AC5" i="10"/>
  <c r="AE16" i="10"/>
  <c r="AE7" i="10"/>
  <c r="AC11" i="10"/>
  <c r="AC12" i="10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I2" i="9"/>
  <c r="H2" i="9"/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2" i="9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2" i="7"/>
  <c r="D3" i="7"/>
  <c r="D4" i="7"/>
  <c r="D5" i="7"/>
  <c r="D6" i="7"/>
  <c r="D7" i="7"/>
  <c r="D8" i="7"/>
  <c r="D9" i="7"/>
  <c r="D10" i="7"/>
  <c r="D11" i="7"/>
  <c r="D12" i="7"/>
  <c r="D13" i="7"/>
  <c r="AF361" i="3" l="1"/>
  <c r="AD361" i="3"/>
  <c r="AC135" i="3"/>
  <c r="AB135" i="3"/>
  <c r="AA135" i="3"/>
  <c r="Z135" i="3"/>
  <c r="Y135" i="3"/>
  <c r="W135" i="3"/>
  <c r="X135" i="3" s="1"/>
  <c r="R135" i="3"/>
  <c r="E135" i="3"/>
  <c r="A135" i="3"/>
  <c r="AF360" i="3"/>
  <c r="AD360" i="3"/>
  <c r="AC315" i="3"/>
  <c r="AB315" i="3"/>
  <c r="AA315" i="3"/>
  <c r="Z315" i="3"/>
  <c r="Y315" i="3"/>
  <c r="W315" i="3"/>
  <c r="X315" i="3" s="1"/>
  <c r="R315" i="3"/>
  <c r="E315" i="3"/>
  <c r="A315" i="3"/>
  <c r="Q315" i="3" s="1"/>
  <c r="AF359" i="3"/>
  <c r="AD359" i="3"/>
  <c r="AC132" i="3"/>
  <c r="AB132" i="3"/>
  <c r="AA132" i="3"/>
  <c r="Z132" i="3"/>
  <c r="Y132" i="3"/>
  <c r="W132" i="3"/>
  <c r="X132" i="3" s="1"/>
  <c r="R132" i="3"/>
  <c r="E132" i="3"/>
  <c r="A132" i="3"/>
  <c r="U132" i="3" s="1"/>
  <c r="AF358" i="3"/>
  <c r="AD358" i="3"/>
  <c r="AC312" i="3"/>
  <c r="AB312" i="3"/>
  <c r="AA312" i="3"/>
  <c r="Z312" i="3"/>
  <c r="Y312" i="3"/>
  <c r="W312" i="3"/>
  <c r="X312" i="3" s="1"/>
  <c r="R312" i="3"/>
  <c r="E312" i="3"/>
  <c r="A312" i="3"/>
  <c r="U312" i="3" s="1"/>
  <c r="AF357" i="3"/>
  <c r="AD357" i="3"/>
  <c r="AC129" i="3"/>
  <c r="AB129" i="3"/>
  <c r="AA129" i="3"/>
  <c r="Z129" i="3"/>
  <c r="Y129" i="3"/>
  <c r="W129" i="3"/>
  <c r="X129" i="3" s="1"/>
  <c r="R129" i="3"/>
  <c r="E129" i="3"/>
  <c r="A129" i="3"/>
  <c r="AF356" i="3"/>
  <c r="AD356" i="3"/>
  <c r="AC309" i="3"/>
  <c r="AB309" i="3"/>
  <c r="AA309" i="3"/>
  <c r="Z309" i="3"/>
  <c r="Y309" i="3"/>
  <c r="W309" i="3"/>
  <c r="X309" i="3" s="1"/>
  <c r="R309" i="3"/>
  <c r="E309" i="3"/>
  <c r="A309" i="3"/>
  <c r="Q309" i="3" s="1"/>
  <c r="AF355" i="3"/>
  <c r="AD355" i="3"/>
  <c r="AC126" i="3"/>
  <c r="AB126" i="3"/>
  <c r="AA126" i="3"/>
  <c r="Z126" i="3"/>
  <c r="Y126" i="3"/>
  <c r="W126" i="3"/>
  <c r="X126" i="3" s="1"/>
  <c r="R126" i="3"/>
  <c r="E126" i="3"/>
  <c r="A126" i="3"/>
  <c r="U126" i="3" s="1"/>
  <c r="AF354" i="3"/>
  <c r="AD354" i="3"/>
  <c r="AC306" i="3"/>
  <c r="AB306" i="3"/>
  <c r="AA306" i="3"/>
  <c r="Z306" i="3"/>
  <c r="Y306" i="3"/>
  <c r="W306" i="3"/>
  <c r="X306" i="3" s="1"/>
  <c r="R306" i="3"/>
  <c r="E306" i="3"/>
  <c r="A306" i="3"/>
  <c r="U306" i="3" s="1"/>
  <c r="AF353" i="3"/>
  <c r="AD353" i="3"/>
  <c r="AC123" i="3"/>
  <c r="AB123" i="3"/>
  <c r="AA123" i="3"/>
  <c r="Z123" i="3"/>
  <c r="Y123" i="3"/>
  <c r="W123" i="3"/>
  <c r="X123" i="3" s="1"/>
  <c r="R123" i="3"/>
  <c r="E123" i="3"/>
  <c r="A123" i="3"/>
  <c r="U123" i="3" s="1"/>
  <c r="AF352" i="3"/>
  <c r="AD352" i="3"/>
  <c r="AC303" i="3"/>
  <c r="AB303" i="3"/>
  <c r="AA303" i="3"/>
  <c r="Z303" i="3"/>
  <c r="Y303" i="3"/>
  <c r="W303" i="3"/>
  <c r="X303" i="3" s="1"/>
  <c r="R303" i="3"/>
  <c r="E303" i="3"/>
  <c r="A303" i="3"/>
  <c r="Q303" i="3" s="1"/>
  <c r="AF351" i="3"/>
  <c r="AD351" i="3"/>
  <c r="AC136" i="3"/>
  <c r="AB136" i="3"/>
  <c r="AA136" i="3"/>
  <c r="Z136" i="3"/>
  <c r="Y136" i="3"/>
  <c r="W136" i="3"/>
  <c r="X136" i="3" s="1"/>
  <c r="R136" i="3"/>
  <c r="E136" i="3"/>
  <c r="A136" i="3"/>
  <c r="AF350" i="3"/>
  <c r="AD350" i="3"/>
  <c r="AC316" i="3"/>
  <c r="AB316" i="3"/>
  <c r="AA316" i="3"/>
  <c r="Z316" i="3"/>
  <c r="Y316" i="3"/>
  <c r="W316" i="3"/>
  <c r="X316" i="3" s="1"/>
  <c r="R316" i="3"/>
  <c r="E316" i="3"/>
  <c r="A316" i="3"/>
  <c r="AF349" i="3"/>
  <c r="AD349" i="3"/>
  <c r="AC133" i="3"/>
  <c r="AB133" i="3"/>
  <c r="AA133" i="3"/>
  <c r="Z133" i="3"/>
  <c r="Y133" i="3"/>
  <c r="W133" i="3"/>
  <c r="X133" i="3" s="1"/>
  <c r="R133" i="3"/>
  <c r="E133" i="3"/>
  <c r="A133" i="3"/>
  <c r="U133" i="3" s="1"/>
  <c r="AF348" i="3"/>
  <c r="AD348" i="3"/>
  <c r="AC313" i="3"/>
  <c r="AB313" i="3"/>
  <c r="AA313" i="3"/>
  <c r="Z313" i="3"/>
  <c r="Y313" i="3"/>
  <c r="W313" i="3"/>
  <c r="X313" i="3" s="1"/>
  <c r="R313" i="3"/>
  <c r="E313" i="3"/>
  <c r="A313" i="3"/>
  <c r="U313" i="3" s="1"/>
  <c r="AF347" i="3"/>
  <c r="AD347" i="3"/>
  <c r="AC130" i="3"/>
  <c r="AB130" i="3"/>
  <c r="AA130" i="3"/>
  <c r="Z130" i="3"/>
  <c r="Y130" i="3"/>
  <c r="W130" i="3"/>
  <c r="X130" i="3" s="1"/>
  <c r="R130" i="3"/>
  <c r="E130" i="3"/>
  <c r="A130" i="3"/>
  <c r="U130" i="3" s="1"/>
  <c r="AF346" i="3"/>
  <c r="AD346" i="3"/>
  <c r="AC310" i="3"/>
  <c r="AB310" i="3"/>
  <c r="AA310" i="3"/>
  <c r="Z310" i="3"/>
  <c r="Y310" i="3"/>
  <c r="W310" i="3"/>
  <c r="X310" i="3" s="1"/>
  <c r="R310" i="3"/>
  <c r="E310" i="3"/>
  <c r="A310" i="3"/>
  <c r="AF345" i="3"/>
  <c r="AD345" i="3"/>
  <c r="AC127" i="3"/>
  <c r="AB127" i="3"/>
  <c r="AA127" i="3"/>
  <c r="Z127" i="3"/>
  <c r="Y127" i="3"/>
  <c r="W127" i="3"/>
  <c r="X127" i="3" s="1"/>
  <c r="R127" i="3"/>
  <c r="E127" i="3"/>
  <c r="A127" i="3"/>
  <c r="Q127" i="3" s="1"/>
  <c r="AF344" i="3"/>
  <c r="AD344" i="3"/>
  <c r="AC307" i="3"/>
  <c r="AB307" i="3"/>
  <c r="AA307" i="3"/>
  <c r="Z307" i="3"/>
  <c r="Y307" i="3"/>
  <c r="W307" i="3"/>
  <c r="X307" i="3" s="1"/>
  <c r="R307" i="3"/>
  <c r="E307" i="3"/>
  <c r="A307" i="3"/>
  <c r="AF343" i="3"/>
  <c r="AD343" i="3"/>
  <c r="AC124" i="3"/>
  <c r="AB124" i="3"/>
  <c r="AA124" i="3"/>
  <c r="Z124" i="3"/>
  <c r="Y124" i="3"/>
  <c r="W124" i="3"/>
  <c r="X124" i="3" s="1"/>
  <c r="R124" i="3"/>
  <c r="E124" i="3"/>
  <c r="A124" i="3"/>
  <c r="AF342" i="3"/>
  <c r="AD342" i="3"/>
  <c r="AC304" i="3"/>
  <c r="AB304" i="3"/>
  <c r="AA304" i="3"/>
  <c r="Z304" i="3"/>
  <c r="Y304" i="3"/>
  <c r="W304" i="3"/>
  <c r="X304" i="3" s="1"/>
  <c r="R304" i="3"/>
  <c r="E304" i="3"/>
  <c r="A304" i="3"/>
  <c r="R305" i="3"/>
  <c r="W305" i="3"/>
  <c r="X305" i="3" s="1"/>
  <c r="Y305" i="3"/>
  <c r="Z305" i="3"/>
  <c r="AA305" i="3"/>
  <c r="AB305" i="3"/>
  <c r="AC305" i="3"/>
  <c r="AD334" i="3"/>
  <c r="AF334" i="3"/>
  <c r="R125" i="3"/>
  <c r="W125" i="3"/>
  <c r="X125" i="3" s="1"/>
  <c r="Y125" i="3"/>
  <c r="Z125" i="3"/>
  <c r="AA125" i="3"/>
  <c r="AB125" i="3"/>
  <c r="AC125" i="3"/>
  <c r="AD335" i="3"/>
  <c r="AF335" i="3"/>
  <c r="R308" i="3"/>
  <c r="W308" i="3"/>
  <c r="X308" i="3" s="1"/>
  <c r="Y308" i="3"/>
  <c r="Z308" i="3"/>
  <c r="AA308" i="3"/>
  <c r="AB308" i="3"/>
  <c r="AC308" i="3"/>
  <c r="AD336" i="3"/>
  <c r="AF336" i="3"/>
  <c r="R128" i="3"/>
  <c r="W128" i="3"/>
  <c r="X128" i="3" s="1"/>
  <c r="Y128" i="3"/>
  <c r="Z128" i="3"/>
  <c r="AA128" i="3"/>
  <c r="AB128" i="3"/>
  <c r="AC128" i="3"/>
  <c r="AD337" i="3"/>
  <c r="AF337" i="3"/>
  <c r="R311" i="3"/>
  <c r="W311" i="3"/>
  <c r="X311" i="3" s="1"/>
  <c r="Y311" i="3"/>
  <c r="Z311" i="3"/>
  <c r="AA311" i="3"/>
  <c r="AB311" i="3"/>
  <c r="AC311" i="3"/>
  <c r="AD338" i="3"/>
  <c r="AF338" i="3"/>
  <c r="R131" i="3"/>
  <c r="W131" i="3"/>
  <c r="X131" i="3" s="1"/>
  <c r="Y131" i="3"/>
  <c r="Z131" i="3"/>
  <c r="AA131" i="3"/>
  <c r="AB131" i="3"/>
  <c r="AC131" i="3"/>
  <c r="AD339" i="3"/>
  <c r="AF339" i="3"/>
  <c r="R314" i="3"/>
  <c r="W314" i="3"/>
  <c r="X314" i="3" s="1"/>
  <c r="Y314" i="3"/>
  <c r="Z314" i="3"/>
  <c r="AA314" i="3"/>
  <c r="AB314" i="3"/>
  <c r="AC314" i="3"/>
  <c r="AD340" i="3"/>
  <c r="AF340" i="3"/>
  <c r="R134" i="3"/>
  <c r="W134" i="3"/>
  <c r="X134" i="3" s="1"/>
  <c r="Y134" i="3"/>
  <c r="Z134" i="3"/>
  <c r="AA134" i="3"/>
  <c r="AB134" i="3"/>
  <c r="AC134" i="3"/>
  <c r="AD341" i="3"/>
  <c r="AF341" i="3"/>
  <c r="A305" i="3"/>
  <c r="A125" i="3"/>
  <c r="U125" i="3" s="1"/>
  <c r="A308" i="3"/>
  <c r="U308" i="3" s="1"/>
  <c r="A128" i="3"/>
  <c r="U128" i="3" s="1"/>
  <c r="A311" i="3"/>
  <c r="U311" i="3" s="1"/>
  <c r="A131" i="3"/>
  <c r="A314" i="3"/>
  <c r="A134" i="3"/>
  <c r="E134" i="3"/>
  <c r="E314" i="3"/>
  <c r="E131" i="3"/>
  <c r="E311" i="3"/>
  <c r="E128" i="3"/>
  <c r="E308" i="3"/>
  <c r="E125" i="3"/>
  <c r="E305" i="3"/>
  <c r="AF333" i="3"/>
  <c r="AD333" i="3"/>
  <c r="AC122" i="3"/>
  <c r="AB122" i="3"/>
  <c r="AA122" i="3"/>
  <c r="Z122" i="3"/>
  <c r="Y122" i="3"/>
  <c r="W122" i="3"/>
  <c r="X122" i="3" s="1"/>
  <c r="R122" i="3"/>
  <c r="AF332" i="3"/>
  <c r="AD332" i="3"/>
  <c r="AC302" i="3"/>
  <c r="AB302" i="3"/>
  <c r="AA302" i="3"/>
  <c r="Z302" i="3"/>
  <c r="Y302" i="3"/>
  <c r="W302" i="3"/>
  <c r="X302" i="3" s="1"/>
  <c r="R302" i="3"/>
  <c r="A122" i="3"/>
  <c r="Q122" i="3" s="1"/>
  <c r="A302" i="3"/>
  <c r="Q302" i="3" s="1"/>
  <c r="E302" i="3"/>
  <c r="E122" i="3"/>
  <c r="T132" i="3" l="1"/>
  <c r="T310" i="3"/>
  <c r="V133" i="3"/>
  <c r="T309" i="3"/>
  <c r="T126" i="3"/>
  <c r="V124" i="3"/>
  <c r="V312" i="3"/>
  <c r="T127" i="3"/>
  <c r="T122" i="3"/>
  <c r="T313" i="3"/>
  <c r="V129" i="3"/>
  <c r="V315" i="3"/>
  <c r="V130" i="3"/>
  <c r="V122" i="3"/>
  <c r="V313" i="3"/>
  <c r="Q311" i="3"/>
  <c r="T124" i="3"/>
  <c r="V302" i="3"/>
  <c r="U302" i="3"/>
  <c r="Q131" i="3"/>
  <c r="U122" i="3"/>
  <c r="V304" i="3"/>
  <c r="Q128" i="3"/>
  <c r="T302" i="3"/>
  <c r="T304" i="3"/>
  <c r="Q125" i="3"/>
  <c r="T123" i="3"/>
  <c r="V123" i="3"/>
  <c r="Q308" i="3"/>
  <c r="T136" i="3"/>
  <c r="U136" i="3"/>
  <c r="V136" i="3"/>
  <c r="V134" i="3"/>
  <c r="V131" i="3"/>
  <c r="V311" i="3"/>
  <c r="V128" i="3"/>
  <c r="V308" i="3"/>
  <c r="V125" i="3"/>
  <c r="V305" i="3"/>
  <c r="U316" i="3"/>
  <c r="T315" i="3"/>
  <c r="U134" i="3"/>
  <c r="U314" i="3"/>
  <c r="U131" i="3"/>
  <c r="U305" i="3"/>
  <c r="T133" i="3"/>
  <c r="V316" i="3"/>
  <c r="T303" i="3"/>
  <c r="V303" i="3"/>
  <c r="T135" i="3"/>
  <c r="T316" i="3"/>
  <c r="V135" i="3"/>
  <c r="V314" i="3"/>
  <c r="T134" i="3"/>
  <c r="T314" i="3"/>
  <c r="T131" i="3"/>
  <c r="T311" i="3"/>
  <c r="T128" i="3"/>
  <c r="T308" i="3"/>
  <c r="T125" i="3"/>
  <c r="T305" i="3"/>
  <c r="V132" i="3"/>
  <c r="Q134" i="3"/>
  <c r="Q314" i="3"/>
  <c r="Q305" i="3"/>
  <c r="U315" i="3"/>
  <c r="U135" i="3"/>
  <c r="Q135" i="3"/>
  <c r="Q123" i="3"/>
  <c r="U303" i="3"/>
  <c r="Q124" i="3"/>
  <c r="U124" i="3"/>
  <c r="Q136" i="3"/>
  <c r="Q316" i="3"/>
  <c r="U304" i="3"/>
  <c r="Q304" i="3"/>
  <c r="V126" i="3"/>
  <c r="Q129" i="3"/>
  <c r="U309" i="3"/>
  <c r="T306" i="3"/>
  <c r="V309" i="3"/>
  <c r="T129" i="3"/>
  <c r="Q312" i="3"/>
  <c r="Q306" i="3"/>
  <c r="U129" i="3"/>
  <c r="Q126" i="3"/>
  <c r="T312" i="3"/>
  <c r="Q132" i="3"/>
  <c r="V306" i="3"/>
  <c r="V127" i="3"/>
  <c r="V310" i="3"/>
  <c r="T130" i="3"/>
  <c r="Q313" i="3"/>
  <c r="Q307" i="3"/>
  <c r="U127" i="3"/>
  <c r="Q130" i="3"/>
  <c r="U310" i="3"/>
  <c r="U307" i="3"/>
  <c r="V307" i="3"/>
  <c r="Q310" i="3"/>
  <c r="Q133" i="3"/>
  <c r="T307" i="3"/>
  <c r="Z17" i="3"/>
  <c r="Z32" i="3"/>
  <c r="Z47" i="3"/>
  <c r="Z62" i="3"/>
  <c r="Z77" i="3"/>
  <c r="Z92" i="3"/>
  <c r="Z107" i="3"/>
  <c r="Z137" i="3"/>
  <c r="Z152" i="3"/>
  <c r="Z167" i="3"/>
  <c r="Z182" i="3"/>
  <c r="Z197" i="3"/>
  <c r="Z212" i="3"/>
  <c r="Z227" i="3"/>
  <c r="Z242" i="3"/>
  <c r="Z257" i="3"/>
  <c r="Z272" i="3"/>
  <c r="Z287" i="3"/>
  <c r="Z317" i="3"/>
  <c r="Z332" i="3"/>
  <c r="Z347" i="3"/>
  <c r="Z3" i="3"/>
  <c r="Z18" i="3"/>
  <c r="Z33" i="3"/>
  <c r="Z48" i="3"/>
  <c r="Z63" i="3"/>
  <c r="Z78" i="3"/>
  <c r="Z93" i="3"/>
  <c r="Z108" i="3"/>
  <c r="Z138" i="3"/>
  <c r="Z153" i="3"/>
  <c r="Z168" i="3"/>
  <c r="Z183" i="3"/>
  <c r="Z198" i="3"/>
  <c r="Z213" i="3"/>
  <c r="Z228" i="3"/>
  <c r="Z243" i="3"/>
  <c r="Z258" i="3"/>
  <c r="Z273" i="3"/>
  <c r="Z288" i="3"/>
  <c r="Z318" i="3"/>
  <c r="Z333" i="3"/>
  <c r="Z348" i="3"/>
  <c r="Z4" i="3"/>
  <c r="Z19" i="3"/>
  <c r="Z34" i="3"/>
  <c r="Z49" i="3"/>
  <c r="Z64" i="3"/>
  <c r="Z79" i="3"/>
  <c r="Z94" i="3"/>
  <c r="Z109" i="3"/>
  <c r="Z139" i="3"/>
  <c r="Z154" i="3"/>
  <c r="Z169" i="3"/>
  <c r="Z184" i="3"/>
  <c r="Z199" i="3"/>
  <c r="Z214" i="3"/>
  <c r="Z229" i="3"/>
  <c r="Z244" i="3"/>
  <c r="Z259" i="3"/>
  <c r="Z274" i="3"/>
  <c r="Z289" i="3"/>
  <c r="Z319" i="3"/>
  <c r="Z334" i="3"/>
  <c r="Z349" i="3"/>
  <c r="Z5" i="3"/>
  <c r="Z20" i="3"/>
  <c r="Z35" i="3"/>
  <c r="Z50" i="3"/>
  <c r="Z65" i="3"/>
  <c r="Z80" i="3"/>
  <c r="Z95" i="3"/>
  <c r="Z110" i="3"/>
  <c r="Z140" i="3"/>
  <c r="Z155" i="3"/>
  <c r="Z170" i="3"/>
  <c r="Z185" i="3"/>
  <c r="Z200" i="3"/>
  <c r="Z215" i="3"/>
  <c r="Z230" i="3"/>
  <c r="Z245" i="3"/>
  <c r="Z260" i="3"/>
  <c r="Z275" i="3"/>
  <c r="Z290" i="3"/>
  <c r="Z320" i="3"/>
  <c r="Z335" i="3"/>
  <c r="Z350" i="3"/>
  <c r="Z6" i="3"/>
  <c r="Z21" i="3"/>
  <c r="Z36" i="3"/>
  <c r="Z51" i="3"/>
  <c r="Z66" i="3"/>
  <c r="Z81" i="3"/>
  <c r="Z96" i="3"/>
  <c r="Z111" i="3"/>
  <c r="Z141" i="3"/>
  <c r="Z156" i="3"/>
  <c r="Z171" i="3"/>
  <c r="Z186" i="3"/>
  <c r="Z201" i="3"/>
  <c r="Z216" i="3"/>
  <c r="Z231" i="3"/>
  <c r="Z246" i="3"/>
  <c r="Z261" i="3"/>
  <c r="Z276" i="3"/>
  <c r="Z291" i="3"/>
  <c r="Z321" i="3"/>
  <c r="Z336" i="3"/>
  <c r="Z351" i="3"/>
  <c r="Z7" i="3"/>
  <c r="Z22" i="3"/>
  <c r="Z37" i="3"/>
  <c r="Z52" i="3"/>
  <c r="Z67" i="3"/>
  <c r="Z82" i="3"/>
  <c r="Z97" i="3"/>
  <c r="Z112" i="3"/>
  <c r="Z142" i="3"/>
  <c r="Z157" i="3"/>
  <c r="Z172" i="3"/>
  <c r="Z187" i="3"/>
  <c r="Z202" i="3"/>
  <c r="Z217" i="3"/>
  <c r="Z232" i="3"/>
  <c r="Z247" i="3"/>
  <c r="Z262" i="3"/>
  <c r="Z277" i="3"/>
  <c r="Z292" i="3"/>
  <c r="Z322" i="3"/>
  <c r="Z337" i="3"/>
  <c r="Z352" i="3"/>
  <c r="Z8" i="3"/>
  <c r="Z23" i="3"/>
  <c r="Z38" i="3"/>
  <c r="Z53" i="3"/>
  <c r="Z68" i="3"/>
  <c r="Z83" i="3"/>
  <c r="Z98" i="3"/>
  <c r="Z113" i="3"/>
  <c r="Z143" i="3"/>
  <c r="Z158" i="3"/>
  <c r="Z173" i="3"/>
  <c r="Z188" i="3"/>
  <c r="Z203" i="3"/>
  <c r="Z218" i="3"/>
  <c r="Z233" i="3"/>
  <c r="Z248" i="3"/>
  <c r="Z263" i="3"/>
  <c r="Z278" i="3"/>
  <c r="Z293" i="3"/>
  <c r="Z323" i="3"/>
  <c r="Z338" i="3"/>
  <c r="Z353" i="3"/>
  <c r="Z9" i="3"/>
  <c r="Z24" i="3"/>
  <c r="Z39" i="3"/>
  <c r="Z54" i="3"/>
  <c r="Z69" i="3"/>
  <c r="Z84" i="3"/>
  <c r="Z99" i="3"/>
  <c r="Z114" i="3"/>
  <c r="Z144" i="3"/>
  <c r="Z159" i="3"/>
  <c r="Z174" i="3"/>
  <c r="Z189" i="3"/>
  <c r="Z204" i="3"/>
  <c r="Z219" i="3"/>
  <c r="Z234" i="3"/>
  <c r="Z249" i="3"/>
  <c r="Z264" i="3"/>
  <c r="Z279" i="3"/>
  <c r="Z294" i="3"/>
  <c r="Z324" i="3"/>
  <c r="Z339" i="3"/>
  <c r="Z354" i="3"/>
  <c r="Z10" i="3"/>
  <c r="Z25" i="3"/>
  <c r="Z40" i="3"/>
  <c r="Z55" i="3"/>
  <c r="Z70" i="3"/>
  <c r="Z85" i="3"/>
  <c r="Z100" i="3"/>
  <c r="Z115" i="3"/>
  <c r="Z145" i="3"/>
  <c r="Z160" i="3"/>
  <c r="Z175" i="3"/>
  <c r="Z190" i="3"/>
  <c r="Z205" i="3"/>
  <c r="Z220" i="3"/>
  <c r="Z235" i="3"/>
  <c r="Z250" i="3"/>
  <c r="Z265" i="3"/>
  <c r="Z280" i="3"/>
  <c r="Z295" i="3"/>
  <c r="Z325" i="3"/>
  <c r="Z340" i="3"/>
  <c r="Z355" i="3"/>
  <c r="Z11" i="3"/>
  <c r="Z26" i="3"/>
  <c r="Z41" i="3"/>
  <c r="Z56" i="3"/>
  <c r="Z71" i="3"/>
  <c r="Z86" i="3"/>
  <c r="Z101" i="3"/>
  <c r="Z116" i="3"/>
  <c r="Z146" i="3"/>
  <c r="Z161" i="3"/>
  <c r="Z176" i="3"/>
  <c r="Z191" i="3"/>
  <c r="Z206" i="3"/>
  <c r="Z221" i="3"/>
  <c r="Z236" i="3"/>
  <c r="Z251" i="3"/>
  <c r="Z266" i="3"/>
  <c r="Z281" i="3"/>
  <c r="Z296" i="3"/>
  <c r="Z326" i="3"/>
  <c r="Z341" i="3"/>
  <c r="Z356" i="3"/>
  <c r="Z12" i="3"/>
  <c r="Z27" i="3"/>
  <c r="Z42" i="3"/>
  <c r="Z57" i="3"/>
  <c r="Z72" i="3"/>
  <c r="Z87" i="3"/>
  <c r="Z102" i="3"/>
  <c r="Z117" i="3"/>
  <c r="Z147" i="3"/>
  <c r="Z162" i="3"/>
  <c r="Z177" i="3"/>
  <c r="Z192" i="3"/>
  <c r="Z207" i="3"/>
  <c r="Z222" i="3"/>
  <c r="Z237" i="3"/>
  <c r="Z252" i="3"/>
  <c r="Z267" i="3"/>
  <c r="Z282" i="3"/>
  <c r="Z297" i="3"/>
  <c r="Z327" i="3"/>
  <c r="Z342" i="3"/>
  <c r="Z357" i="3"/>
  <c r="Z13" i="3"/>
  <c r="Z28" i="3"/>
  <c r="Z43" i="3"/>
  <c r="Z58" i="3"/>
  <c r="Z73" i="3"/>
  <c r="Z88" i="3"/>
  <c r="Z103" i="3"/>
  <c r="Z118" i="3"/>
  <c r="Z148" i="3"/>
  <c r="Z163" i="3"/>
  <c r="Z178" i="3"/>
  <c r="Z193" i="3"/>
  <c r="Z208" i="3"/>
  <c r="Z223" i="3"/>
  <c r="Z238" i="3"/>
  <c r="Z253" i="3"/>
  <c r="Z268" i="3"/>
  <c r="Z283" i="3"/>
  <c r="Z298" i="3"/>
  <c r="Z328" i="3"/>
  <c r="Z343" i="3"/>
  <c r="Z358" i="3"/>
  <c r="Z14" i="3"/>
  <c r="Z29" i="3"/>
  <c r="Z44" i="3"/>
  <c r="Z59" i="3"/>
  <c r="Z74" i="3"/>
  <c r="Z89" i="3"/>
  <c r="Z104" i="3"/>
  <c r="Z119" i="3"/>
  <c r="Z149" i="3"/>
  <c r="Z164" i="3"/>
  <c r="Z179" i="3"/>
  <c r="Z194" i="3"/>
  <c r="Z209" i="3"/>
  <c r="Z224" i="3"/>
  <c r="Z239" i="3"/>
  <c r="Z254" i="3"/>
  <c r="Z269" i="3"/>
  <c r="Z284" i="3"/>
  <c r="Z299" i="3"/>
  <c r="Z329" i="3"/>
  <c r="Z344" i="3"/>
  <c r="Z359" i="3"/>
  <c r="Z15" i="3"/>
  <c r="Z30" i="3"/>
  <c r="Z45" i="3"/>
  <c r="Z60" i="3"/>
  <c r="Z75" i="3"/>
  <c r="Z90" i="3"/>
  <c r="Z105" i="3"/>
  <c r="Z120" i="3"/>
  <c r="Z150" i="3"/>
  <c r="Z165" i="3"/>
  <c r="Z180" i="3"/>
  <c r="Z195" i="3"/>
  <c r="Z210" i="3"/>
  <c r="Z225" i="3"/>
  <c r="Z240" i="3"/>
  <c r="Z255" i="3"/>
  <c r="Z270" i="3"/>
  <c r="Z285" i="3"/>
  <c r="Z300" i="3"/>
  <c r="Z330" i="3"/>
  <c r="Z345" i="3"/>
  <c r="Z360" i="3"/>
  <c r="Z16" i="3"/>
  <c r="Z31" i="3"/>
  <c r="Z46" i="3"/>
  <c r="Z61" i="3"/>
  <c r="Z76" i="3"/>
  <c r="Z91" i="3"/>
  <c r="Z106" i="3"/>
  <c r="Z121" i="3"/>
  <c r="Z151" i="3"/>
  <c r="Z166" i="3"/>
  <c r="Z181" i="3"/>
  <c r="Z196" i="3"/>
  <c r="Z211" i="3"/>
  <c r="Z226" i="3"/>
  <c r="Z241" i="3"/>
  <c r="Z256" i="3"/>
  <c r="Z271" i="3"/>
  <c r="Z286" i="3"/>
  <c r="Z301" i="3"/>
  <c r="Z331" i="3"/>
  <c r="Z346" i="3"/>
  <c r="Z361" i="3"/>
  <c r="Z2" i="3"/>
  <c r="Y32" i="3"/>
  <c r="Y47" i="3"/>
  <c r="Y62" i="3"/>
  <c r="Y77" i="3"/>
  <c r="Y92" i="3"/>
  <c r="Y107" i="3"/>
  <c r="Y137" i="3"/>
  <c r="Y152" i="3"/>
  <c r="Y167" i="3"/>
  <c r="Y182" i="3"/>
  <c r="Y197" i="3"/>
  <c r="Y212" i="3"/>
  <c r="Y227" i="3"/>
  <c r="Y242" i="3"/>
  <c r="Y257" i="3"/>
  <c r="Y272" i="3"/>
  <c r="Y287" i="3"/>
  <c r="Y317" i="3"/>
  <c r="Y332" i="3"/>
  <c r="Y347" i="3"/>
  <c r="Y3" i="3"/>
  <c r="Y18" i="3"/>
  <c r="Y33" i="3"/>
  <c r="Y48" i="3"/>
  <c r="Y63" i="3"/>
  <c r="Y78" i="3"/>
  <c r="Y93" i="3"/>
  <c r="Y108" i="3"/>
  <c r="Y138" i="3"/>
  <c r="Y153" i="3"/>
  <c r="Y168" i="3"/>
  <c r="Y183" i="3"/>
  <c r="Y198" i="3"/>
  <c r="Y213" i="3"/>
  <c r="Y228" i="3"/>
  <c r="Y243" i="3"/>
  <c r="Y258" i="3"/>
  <c r="Y273" i="3"/>
  <c r="Y288" i="3"/>
  <c r="Y318" i="3"/>
  <c r="Y333" i="3"/>
  <c r="Y348" i="3"/>
  <c r="Y4" i="3"/>
  <c r="Y19" i="3"/>
  <c r="Y34" i="3"/>
  <c r="Y49" i="3"/>
  <c r="Y64" i="3"/>
  <c r="Y79" i="3"/>
  <c r="Y94" i="3"/>
  <c r="Y109" i="3"/>
  <c r="Y139" i="3"/>
  <c r="Y154" i="3"/>
  <c r="Y169" i="3"/>
  <c r="Y184" i="3"/>
  <c r="Y199" i="3"/>
  <c r="Y214" i="3"/>
  <c r="Y229" i="3"/>
  <c r="Y244" i="3"/>
  <c r="Y259" i="3"/>
  <c r="Y274" i="3"/>
  <c r="Y289" i="3"/>
  <c r="Y319" i="3"/>
  <c r="Y334" i="3"/>
  <c r="Y349" i="3"/>
  <c r="Y5" i="3"/>
  <c r="Y20" i="3"/>
  <c r="Y35" i="3"/>
  <c r="Y50" i="3"/>
  <c r="Y65" i="3"/>
  <c r="Y80" i="3"/>
  <c r="Y95" i="3"/>
  <c r="Y110" i="3"/>
  <c r="Y140" i="3"/>
  <c r="Y155" i="3"/>
  <c r="Y170" i="3"/>
  <c r="Y185" i="3"/>
  <c r="Y200" i="3"/>
  <c r="Y215" i="3"/>
  <c r="Y230" i="3"/>
  <c r="Y245" i="3"/>
  <c r="Y260" i="3"/>
  <c r="Y275" i="3"/>
  <c r="Y290" i="3"/>
  <c r="Y320" i="3"/>
  <c r="Y335" i="3"/>
  <c r="Y350" i="3"/>
  <c r="Y6" i="3"/>
  <c r="Y21" i="3"/>
  <c r="Y36" i="3"/>
  <c r="Y51" i="3"/>
  <c r="Y66" i="3"/>
  <c r="Y81" i="3"/>
  <c r="Y96" i="3"/>
  <c r="Y111" i="3"/>
  <c r="Y141" i="3"/>
  <c r="Y156" i="3"/>
  <c r="Y171" i="3"/>
  <c r="Y186" i="3"/>
  <c r="Y201" i="3"/>
  <c r="Y216" i="3"/>
  <c r="Y231" i="3"/>
  <c r="Y246" i="3"/>
  <c r="Y261" i="3"/>
  <c r="Y276" i="3"/>
  <c r="Y291" i="3"/>
  <c r="Y321" i="3"/>
  <c r="Y336" i="3"/>
  <c r="Y351" i="3"/>
  <c r="Y7" i="3"/>
  <c r="Y22" i="3"/>
  <c r="Y37" i="3"/>
  <c r="Y52" i="3"/>
  <c r="Y67" i="3"/>
  <c r="Y82" i="3"/>
  <c r="Y97" i="3"/>
  <c r="Y112" i="3"/>
  <c r="Y142" i="3"/>
  <c r="Y157" i="3"/>
  <c r="Y172" i="3"/>
  <c r="Y187" i="3"/>
  <c r="Y202" i="3"/>
  <c r="Y217" i="3"/>
  <c r="Y232" i="3"/>
  <c r="Y247" i="3"/>
  <c r="Y262" i="3"/>
  <c r="Y277" i="3"/>
  <c r="Y292" i="3"/>
  <c r="Y322" i="3"/>
  <c r="Y337" i="3"/>
  <c r="Y352" i="3"/>
  <c r="Y8" i="3"/>
  <c r="Y23" i="3"/>
  <c r="Y38" i="3"/>
  <c r="Y53" i="3"/>
  <c r="Y68" i="3"/>
  <c r="Y83" i="3"/>
  <c r="Y98" i="3"/>
  <c r="Y113" i="3"/>
  <c r="Y143" i="3"/>
  <c r="Y158" i="3"/>
  <c r="Y173" i="3"/>
  <c r="Y188" i="3"/>
  <c r="Y203" i="3"/>
  <c r="Y218" i="3"/>
  <c r="Y233" i="3"/>
  <c r="Y248" i="3"/>
  <c r="Y263" i="3"/>
  <c r="Y278" i="3"/>
  <c r="Y293" i="3"/>
  <c r="Y323" i="3"/>
  <c r="Y338" i="3"/>
  <c r="Y353" i="3"/>
  <c r="Y9" i="3"/>
  <c r="Y24" i="3"/>
  <c r="Y39" i="3"/>
  <c r="Y54" i="3"/>
  <c r="Y69" i="3"/>
  <c r="Y84" i="3"/>
  <c r="Y99" i="3"/>
  <c r="Y114" i="3"/>
  <c r="Y144" i="3"/>
  <c r="Y159" i="3"/>
  <c r="Y174" i="3"/>
  <c r="Y189" i="3"/>
  <c r="Y204" i="3"/>
  <c r="Y219" i="3"/>
  <c r="Y234" i="3"/>
  <c r="Y249" i="3"/>
  <c r="Y264" i="3"/>
  <c r="Y279" i="3"/>
  <c r="Y294" i="3"/>
  <c r="Y324" i="3"/>
  <c r="Y339" i="3"/>
  <c r="Y354" i="3"/>
  <c r="Y10" i="3"/>
  <c r="Y25" i="3"/>
  <c r="Y40" i="3"/>
  <c r="Y55" i="3"/>
  <c r="Y70" i="3"/>
  <c r="Y85" i="3"/>
  <c r="Y100" i="3"/>
  <c r="Y115" i="3"/>
  <c r="Y145" i="3"/>
  <c r="Y160" i="3"/>
  <c r="Y175" i="3"/>
  <c r="Y190" i="3"/>
  <c r="Y205" i="3"/>
  <c r="Y220" i="3"/>
  <c r="Y235" i="3"/>
  <c r="Y250" i="3"/>
  <c r="Y265" i="3"/>
  <c r="Y280" i="3"/>
  <c r="Y295" i="3"/>
  <c r="Y325" i="3"/>
  <c r="Y340" i="3"/>
  <c r="Y355" i="3"/>
  <c r="Y11" i="3"/>
  <c r="Y26" i="3"/>
  <c r="Y41" i="3"/>
  <c r="Y56" i="3"/>
  <c r="Y71" i="3"/>
  <c r="Y86" i="3"/>
  <c r="Y101" i="3"/>
  <c r="Y116" i="3"/>
  <c r="Y146" i="3"/>
  <c r="Y161" i="3"/>
  <c r="Y176" i="3"/>
  <c r="Y191" i="3"/>
  <c r="Y206" i="3"/>
  <c r="Y221" i="3"/>
  <c r="Y236" i="3"/>
  <c r="Y251" i="3"/>
  <c r="Y266" i="3"/>
  <c r="Y281" i="3"/>
  <c r="Y296" i="3"/>
  <c r="Y326" i="3"/>
  <c r="Y341" i="3"/>
  <c r="Y356" i="3"/>
  <c r="Y12" i="3"/>
  <c r="Y27" i="3"/>
  <c r="Y42" i="3"/>
  <c r="Y57" i="3"/>
  <c r="Y72" i="3"/>
  <c r="Y87" i="3"/>
  <c r="Y102" i="3"/>
  <c r="Y117" i="3"/>
  <c r="Y147" i="3"/>
  <c r="Y162" i="3"/>
  <c r="Y177" i="3"/>
  <c r="Y192" i="3"/>
  <c r="Y207" i="3"/>
  <c r="Y222" i="3"/>
  <c r="Y237" i="3"/>
  <c r="Y252" i="3"/>
  <c r="Y267" i="3"/>
  <c r="Y282" i="3"/>
  <c r="Y297" i="3"/>
  <c r="Y327" i="3"/>
  <c r="Y342" i="3"/>
  <c r="Y357" i="3"/>
  <c r="Y13" i="3"/>
  <c r="Y28" i="3"/>
  <c r="Y43" i="3"/>
  <c r="Y58" i="3"/>
  <c r="Y73" i="3"/>
  <c r="Y88" i="3"/>
  <c r="Y103" i="3"/>
  <c r="Y118" i="3"/>
  <c r="Y148" i="3"/>
  <c r="Y163" i="3"/>
  <c r="Y178" i="3"/>
  <c r="Y193" i="3"/>
  <c r="Y208" i="3"/>
  <c r="Y223" i="3"/>
  <c r="Y238" i="3"/>
  <c r="Y253" i="3"/>
  <c r="Y268" i="3"/>
  <c r="Y283" i="3"/>
  <c r="Y298" i="3"/>
  <c r="Y328" i="3"/>
  <c r="Y343" i="3"/>
  <c r="Y358" i="3"/>
  <c r="Y14" i="3"/>
  <c r="Y29" i="3"/>
  <c r="Y44" i="3"/>
  <c r="Y59" i="3"/>
  <c r="Y74" i="3"/>
  <c r="Y89" i="3"/>
  <c r="Y104" i="3"/>
  <c r="Y119" i="3"/>
  <c r="Y149" i="3"/>
  <c r="Y164" i="3"/>
  <c r="Y179" i="3"/>
  <c r="Y194" i="3"/>
  <c r="Y209" i="3"/>
  <c r="Y224" i="3"/>
  <c r="Y239" i="3"/>
  <c r="Y254" i="3"/>
  <c r="Y269" i="3"/>
  <c r="Y284" i="3"/>
  <c r="Y299" i="3"/>
  <c r="Y329" i="3"/>
  <c r="Y344" i="3"/>
  <c r="Y359" i="3"/>
  <c r="Y15" i="3"/>
  <c r="Y30" i="3"/>
  <c r="Y45" i="3"/>
  <c r="Y60" i="3"/>
  <c r="Y75" i="3"/>
  <c r="Y90" i="3"/>
  <c r="Y105" i="3"/>
  <c r="Y120" i="3"/>
  <c r="Y150" i="3"/>
  <c r="Y165" i="3"/>
  <c r="Y180" i="3"/>
  <c r="Y195" i="3"/>
  <c r="Y210" i="3"/>
  <c r="Y225" i="3"/>
  <c r="Y240" i="3"/>
  <c r="Y255" i="3"/>
  <c r="Y270" i="3"/>
  <c r="Y285" i="3"/>
  <c r="Y300" i="3"/>
  <c r="Y330" i="3"/>
  <c r="Y345" i="3"/>
  <c r="Y360" i="3"/>
  <c r="Y16" i="3"/>
  <c r="Y31" i="3"/>
  <c r="Y46" i="3"/>
  <c r="Y61" i="3"/>
  <c r="Y76" i="3"/>
  <c r="Y91" i="3"/>
  <c r="Y106" i="3"/>
  <c r="Y121" i="3"/>
  <c r="Y151" i="3"/>
  <c r="Y166" i="3"/>
  <c r="Y181" i="3"/>
  <c r="Y196" i="3"/>
  <c r="Y211" i="3"/>
  <c r="Y226" i="3"/>
  <c r="Y241" i="3"/>
  <c r="Y256" i="3"/>
  <c r="Y271" i="3"/>
  <c r="Y286" i="3"/>
  <c r="Y301" i="3"/>
  <c r="Y331" i="3"/>
  <c r="Y346" i="3"/>
  <c r="Y361" i="3"/>
  <c r="Y17" i="3"/>
  <c r="Y2" i="3"/>
  <c r="R17" i="3"/>
  <c r="R32" i="3"/>
  <c r="R47" i="3"/>
  <c r="R62" i="3"/>
  <c r="R77" i="3"/>
  <c r="R92" i="3"/>
  <c r="R107" i="3"/>
  <c r="R137" i="3"/>
  <c r="R152" i="3"/>
  <c r="R167" i="3"/>
  <c r="R182" i="3"/>
  <c r="R197" i="3"/>
  <c r="R212" i="3"/>
  <c r="R227" i="3"/>
  <c r="R242" i="3"/>
  <c r="R257" i="3"/>
  <c r="R272" i="3"/>
  <c r="R287" i="3"/>
  <c r="R317" i="3"/>
  <c r="R332" i="3"/>
  <c r="R347" i="3"/>
  <c r="R3" i="3"/>
  <c r="R18" i="3"/>
  <c r="R33" i="3"/>
  <c r="R48" i="3"/>
  <c r="R63" i="3"/>
  <c r="R78" i="3"/>
  <c r="R93" i="3"/>
  <c r="R108" i="3"/>
  <c r="R138" i="3"/>
  <c r="R153" i="3"/>
  <c r="R168" i="3"/>
  <c r="R183" i="3"/>
  <c r="R198" i="3"/>
  <c r="R213" i="3"/>
  <c r="R228" i="3"/>
  <c r="R243" i="3"/>
  <c r="R258" i="3"/>
  <c r="R273" i="3"/>
  <c r="R288" i="3"/>
  <c r="R318" i="3"/>
  <c r="R333" i="3"/>
  <c r="R348" i="3"/>
  <c r="R4" i="3"/>
  <c r="R19" i="3"/>
  <c r="R34" i="3"/>
  <c r="R49" i="3"/>
  <c r="R64" i="3"/>
  <c r="R79" i="3"/>
  <c r="R94" i="3"/>
  <c r="R109" i="3"/>
  <c r="R139" i="3"/>
  <c r="R154" i="3"/>
  <c r="R169" i="3"/>
  <c r="R184" i="3"/>
  <c r="R199" i="3"/>
  <c r="R214" i="3"/>
  <c r="R229" i="3"/>
  <c r="R244" i="3"/>
  <c r="R259" i="3"/>
  <c r="R274" i="3"/>
  <c r="R289" i="3"/>
  <c r="R319" i="3"/>
  <c r="R334" i="3"/>
  <c r="R349" i="3"/>
  <c r="R5" i="3"/>
  <c r="R20" i="3"/>
  <c r="R35" i="3"/>
  <c r="R50" i="3"/>
  <c r="R65" i="3"/>
  <c r="R80" i="3"/>
  <c r="R95" i="3"/>
  <c r="R110" i="3"/>
  <c r="R140" i="3"/>
  <c r="R155" i="3"/>
  <c r="R170" i="3"/>
  <c r="R185" i="3"/>
  <c r="R200" i="3"/>
  <c r="R215" i="3"/>
  <c r="R230" i="3"/>
  <c r="R245" i="3"/>
  <c r="R260" i="3"/>
  <c r="R275" i="3"/>
  <c r="R290" i="3"/>
  <c r="R320" i="3"/>
  <c r="R335" i="3"/>
  <c r="R350" i="3"/>
  <c r="R6" i="3"/>
  <c r="R21" i="3"/>
  <c r="R36" i="3"/>
  <c r="R51" i="3"/>
  <c r="R66" i="3"/>
  <c r="R81" i="3"/>
  <c r="R96" i="3"/>
  <c r="R111" i="3"/>
  <c r="R141" i="3"/>
  <c r="R156" i="3"/>
  <c r="R171" i="3"/>
  <c r="R186" i="3"/>
  <c r="R201" i="3"/>
  <c r="R216" i="3"/>
  <c r="R231" i="3"/>
  <c r="R246" i="3"/>
  <c r="R261" i="3"/>
  <c r="R276" i="3"/>
  <c r="R291" i="3"/>
  <c r="R321" i="3"/>
  <c r="R336" i="3"/>
  <c r="R351" i="3"/>
  <c r="R7" i="3"/>
  <c r="R22" i="3"/>
  <c r="R37" i="3"/>
  <c r="R52" i="3"/>
  <c r="R67" i="3"/>
  <c r="R82" i="3"/>
  <c r="R97" i="3"/>
  <c r="R112" i="3"/>
  <c r="R142" i="3"/>
  <c r="R157" i="3"/>
  <c r="R172" i="3"/>
  <c r="R187" i="3"/>
  <c r="R202" i="3"/>
  <c r="R217" i="3"/>
  <c r="R232" i="3"/>
  <c r="R247" i="3"/>
  <c r="R262" i="3"/>
  <c r="R277" i="3"/>
  <c r="R292" i="3"/>
  <c r="R322" i="3"/>
  <c r="R337" i="3"/>
  <c r="R352" i="3"/>
  <c r="R8" i="3"/>
  <c r="R23" i="3"/>
  <c r="R38" i="3"/>
  <c r="R53" i="3"/>
  <c r="R68" i="3"/>
  <c r="R83" i="3"/>
  <c r="R98" i="3"/>
  <c r="R113" i="3"/>
  <c r="R143" i="3"/>
  <c r="R158" i="3"/>
  <c r="R173" i="3"/>
  <c r="R188" i="3"/>
  <c r="R203" i="3"/>
  <c r="R218" i="3"/>
  <c r="R233" i="3"/>
  <c r="R248" i="3"/>
  <c r="R263" i="3"/>
  <c r="R278" i="3"/>
  <c r="R293" i="3"/>
  <c r="R323" i="3"/>
  <c r="R338" i="3"/>
  <c r="R353" i="3"/>
  <c r="R9" i="3"/>
  <c r="R24" i="3"/>
  <c r="R39" i="3"/>
  <c r="R54" i="3"/>
  <c r="R69" i="3"/>
  <c r="R84" i="3"/>
  <c r="R99" i="3"/>
  <c r="R114" i="3"/>
  <c r="R144" i="3"/>
  <c r="R159" i="3"/>
  <c r="R174" i="3"/>
  <c r="R189" i="3"/>
  <c r="R204" i="3"/>
  <c r="R219" i="3"/>
  <c r="R234" i="3"/>
  <c r="R249" i="3"/>
  <c r="R264" i="3"/>
  <c r="R279" i="3"/>
  <c r="R294" i="3"/>
  <c r="R324" i="3"/>
  <c r="R339" i="3"/>
  <c r="R354" i="3"/>
  <c r="R10" i="3"/>
  <c r="R25" i="3"/>
  <c r="R40" i="3"/>
  <c r="R55" i="3"/>
  <c r="R70" i="3"/>
  <c r="R85" i="3"/>
  <c r="R100" i="3"/>
  <c r="R115" i="3"/>
  <c r="R145" i="3"/>
  <c r="R160" i="3"/>
  <c r="R175" i="3"/>
  <c r="R190" i="3"/>
  <c r="R205" i="3"/>
  <c r="R220" i="3"/>
  <c r="R235" i="3"/>
  <c r="R250" i="3"/>
  <c r="R265" i="3"/>
  <c r="R280" i="3"/>
  <c r="R295" i="3"/>
  <c r="R325" i="3"/>
  <c r="R340" i="3"/>
  <c r="R355" i="3"/>
  <c r="R11" i="3"/>
  <c r="R26" i="3"/>
  <c r="R41" i="3"/>
  <c r="R56" i="3"/>
  <c r="R71" i="3"/>
  <c r="R86" i="3"/>
  <c r="R101" i="3"/>
  <c r="R116" i="3"/>
  <c r="R146" i="3"/>
  <c r="R161" i="3"/>
  <c r="R176" i="3"/>
  <c r="R191" i="3"/>
  <c r="R206" i="3"/>
  <c r="R221" i="3"/>
  <c r="R236" i="3"/>
  <c r="R251" i="3"/>
  <c r="R266" i="3"/>
  <c r="R281" i="3"/>
  <c r="R296" i="3"/>
  <c r="R326" i="3"/>
  <c r="R341" i="3"/>
  <c r="R356" i="3"/>
  <c r="R12" i="3"/>
  <c r="R27" i="3"/>
  <c r="R42" i="3"/>
  <c r="R57" i="3"/>
  <c r="R72" i="3"/>
  <c r="R87" i="3"/>
  <c r="R102" i="3"/>
  <c r="R117" i="3"/>
  <c r="R147" i="3"/>
  <c r="R162" i="3"/>
  <c r="R177" i="3"/>
  <c r="R192" i="3"/>
  <c r="R207" i="3"/>
  <c r="R222" i="3"/>
  <c r="R237" i="3"/>
  <c r="R252" i="3"/>
  <c r="R267" i="3"/>
  <c r="R282" i="3"/>
  <c r="R297" i="3"/>
  <c r="R327" i="3"/>
  <c r="R342" i="3"/>
  <c r="R357" i="3"/>
  <c r="R13" i="3"/>
  <c r="R28" i="3"/>
  <c r="R43" i="3"/>
  <c r="R58" i="3"/>
  <c r="R73" i="3"/>
  <c r="R88" i="3"/>
  <c r="R103" i="3"/>
  <c r="R118" i="3"/>
  <c r="R148" i="3"/>
  <c r="R163" i="3"/>
  <c r="R178" i="3"/>
  <c r="R193" i="3"/>
  <c r="R208" i="3"/>
  <c r="R223" i="3"/>
  <c r="R238" i="3"/>
  <c r="R253" i="3"/>
  <c r="R268" i="3"/>
  <c r="R283" i="3"/>
  <c r="R298" i="3"/>
  <c r="R328" i="3"/>
  <c r="R343" i="3"/>
  <c r="R358" i="3"/>
  <c r="R14" i="3"/>
  <c r="R29" i="3"/>
  <c r="R44" i="3"/>
  <c r="R59" i="3"/>
  <c r="R74" i="3"/>
  <c r="R89" i="3"/>
  <c r="R104" i="3"/>
  <c r="R119" i="3"/>
  <c r="R149" i="3"/>
  <c r="R164" i="3"/>
  <c r="R179" i="3"/>
  <c r="R194" i="3"/>
  <c r="R209" i="3"/>
  <c r="R224" i="3"/>
  <c r="R239" i="3"/>
  <c r="R254" i="3"/>
  <c r="R269" i="3"/>
  <c r="R284" i="3"/>
  <c r="R299" i="3"/>
  <c r="R329" i="3"/>
  <c r="R344" i="3"/>
  <c r="R359" i="3"/>
  <c r="R15" i="3"/>
  <c r="R30" i="3"/>
  <c r="R45" i="3"/>
  <c r="R60" i="3"/>
  <c r="R75" i="3"/>
  <c r="R90" i="3"/>
  <c r="R105" i="3"/>
  <c r="R120" i="3"/>
  <c r="R150" i="3"/>
  <c r="R165" i="3"/>
  <c r="R180" i="3"/>
  <c r="R195" i="3"/>
  <c r="R210" i="3"/>
  <c r="R225" i="3"/>
  <c r="R240" i="3"/>
  <c r="R255" i="3"/>
  <c r="R270" i="3"/>
  <c r="R285" i="3"/>
  <c r="R300" i="3"/>
  <c r="R330" i="3"/>
  <c r="R345" i="3"/>
  <c r="R360" i="3"/>
  <c r="R16" i="3"/>
  <c r="R31" i="3"/>
  <c r="R46" i="3"/>
  <c r="R61" i="3"/>
  <c r="R76" i="3"/>
  <c r="R91" i="3"/>
  <c r="R106" i="3"/>
  <c r="R121" i="3"/>
  <c r="R151" i="3"/>
  <c r="R166" i="3"/>
  <c r="R181" i="3"/>
  <c r="R196" i="3"/>
  <c r="R211" i="3"/>
  <c r="R226" i="3"/>
  <c r="R241" i="3"/>
  <c r="R256" i="3"/>
  <c r="R271" i="3"/>
  <c r="R286" i="3"/>
  <c r="R301" i="3"/>
  <c r="R331" i="3"/>
  <c r="R346" i="3"/>
  <c r="R361" i="3"/>
  <c r="R2" i="3"/>
  <c r="AF331" i="3"/>
  <c r="AD331" i="3"/>
  <c r="AC360" i="3"/>
  <c r="AB360" i="3"/>
  <c r="AA360" i="3"/>
  <c r="W360" i="3"/>
  <c r="X360" i="3" s="1"/>
  <c r="E360" i="3"/>
  <c r="A360" i="3"/>
  <c r="AF330" i="3"/>
  <c r="AD330" i="3"/>
  <c r="AC345" i="3"/>
  <c r="AB345" i="3"/>
  <c r="AA345" i="3"/>
  <c r="W345" i="3"/>
  <c r="X345" i="3" s="1"/>
  <c r="E345" i="3"/>
  <c r="A345" i="3"/>
  <c r="Q345" i="3" s="1"/>
  <c r="AF329" i="3"/>
  <c r="AD329" i="3"/>
  <c r="AC330" i="3"/>
  <c r="AB330" i="3"/>
  <c r="AA330" i="3"/>
  <c r="W330" i="3"/>
  <c r="X330" i="3" s="1"/>
  <c r="E330" i="3"/>
  <c r="A330" i="3"/>
  <c r="AF328" i="3"/>
  <c r="AD328" i="3"/>
  <c r="AC300" i="3"/>
  <c r="AB300" i="3"/>
  <c r="AA300" i="3"/>
  <c r="W300" i="3"/>
  <c r="X300" i="3" s="1"/>
  <c r="E300" i="3"/>
  <c r="A300" i="3"/>
  <c r="AF327" i="3"/>
  <c r="AD327" i="3"/>
  <c r="AC285" i="3"/>
  <c r="AB285" i="3"/>
  <c r="AA285" i="3"/>
  <c r="W285" i="3"/>
  <c r="X285" i="3" s="1"/>
  <c r="E285" i="3"/>
  <c r="A285" i="3"/>
  <c r="Q285" i="3" s="1"/>
  <c r="AF326" i="3"/>
  <c r="AD326" i="3"/>
  <c r="AC270" i="3"/>
  <c r="AB270" i="3"/>
  <c r="AA270" i="3"/>
  <c r="W270" i="3"/>
  <c r="X270" i="3" s="1"/>
  <c r="E270" i="3"/>
  <c r="A270" i="3"/>
  <c r="Q270" i="3" s="1"/>
  <c r="AF325" i="3"/>
  <c r="AD325" i="3"/>
  <c r="AC255" i="3"/>
  <c r="AB255" i="3"/>
  <c r="AA255" i="3"/>
  <c r="W255" i="3"/>
  <c r="X255" i="3" s="1"/>
  <c r="E255" i="3"/>
  <c r="A255" i="3"/>
  <c r="U255" i="3" s="1"/>
  <c r="AF324" i="3"/>
  <c r="AD324" i="3"/>
  <c r="AC240" i="3"/>
  <c r="AB240" i="3"/>
  <c r="AA240" i="3"/>
  <c r="W240" i="3"/>
  <c r="X240" i="3" s="1"/>
  <c r="E240" i="3"/>
  <c r="A240" i="3"/>
  <c r="U240" i="3" s="1"/>
  <c r="AF323" i="3"/>
  <c r="AD323" i="3"/>
  <c r="AC225" i="3"/>
  <c r="AB225" i="3"/>
  <c r="AA225" i="3"/>
  <c r="W225" i="3"/>
  <c r="X225" i="3" s="1"/>
  <c r="E225" i="3"/>
  <c r="A225" i="3"/>
  <c r="AF322" i="3"/>
  <c r="AD322" i="3"/>
  <c r="AC210" i="3"/>
  <c r="AB210" i="3"/>
  <c r="AA210" i="3"/>
  <c r="W210" i="3"/>
  <c r="X210" i="3" s="1"/>
  <c r="E210" i="3"/>
  <c r="A210" i="3"/>
  <c r="AF321" i="3"/>
  <c r="AD321" i="3"/>
  <c r="AC195" i="3"/>
  <c r="AB195" i="3"/>
  <c r="AA195" i="3"/>
  <c r="W195" i="3"/>
  <c r="X195" i="3" s="1"/>
  <c r="E195" i="3"/>
  <c r="A195" i="3"/>
  <c r="U195" i="3" s="1"/>
  <c r="AF320" i="3"/>
  <c r="AD320" i="3"/>
  <c r="AC357" i="3"/>
  <c r="AB357" i="3"/>
  <c r="AA357" i="3"/>
  <c r="W357" i="3"/>
  <c r="X357" i="3" s="1"/>
  <c r="E357" i="3"/>
  <c r="A357" i="3"/>
  <c r="U357" i="3" s="1"/>
  <c r="AF319" i="3"/>
  <c r="AD319" i="3"/>
  <c r="AC342" i="3"/>
  <c r="AB342" i="3"/>
  <c r="AA342" i="3"/>
  <c r="W342" i="3"/>
  <c r="X342" i="3" s="1"/>
  <c r="E342" i="3"/>
  <c r="A342" i="3"/>
  <c r="Q342" i="3" s="1"/>
  <c r="AF318" i="3"/>
  <c r="AD318" i="3"/>
  <c r="AC327" i="3"/>
  <c r="AB327" i="3"/>
  <c r="AA327" i="3"/>
  <c r="W327" i="3"/>
  <c r="X327" i="3" s="1"/>
  <c r="E327" i="3"/>
  <c r="A327" i="3"/>
  <c r="Q327" i="3" s="1"/>
  <c r="AF317" i="3"/>
  <c r="AD317" i="3"/>
  <c r="AC297" i="3"/>
  <c r="AB297" i="3"/>
  <c r="AA297" i="3"/>
  <c r="W297" i="3"/>
  <c r="X297" i="3" s="1"/>
  <c r="E297" i="3"/>
  <c r="A297" i="3"/>
  <c r="U297" i="3" s="1"/>
  <c r="AF316" i="3"/>
  <c r="AD316" i="3"/>
  <c r="AC282" i="3"/>
  <c r="AB282" i="3"/>
  <c r="AA282" i="3"/>
  <c r="W282" i="3"/>
  <c r="X282" i="3" s="1"/>
  <c r="E282" i="3"/>
  <c r="A282" i="3"/>
  <c r="U282" i="3" s="1"/>
  <c r="AF315" i="3"/>
  <c r="AD315" i="3"/>
  <c r="AC267" i="3"/>
  <c r="AB267" i="3"/>
  <c r="AA267" i="3"/>
  <c r="W267" i="3"/>
  <c r="X267" i="3" s="1"/>
  <c r="E267" i="3"/>
  <c r="A267" i="3"/>
  <c r="AF314" i="3"/>
  <c r="AD314" i="3"/>
  <c r="AC252" i="3"/>
  <c r="AB252" i="3"/>
  <c r="AA252" i="3"/>
  <c r="W252" i="3"/>
  <c r="X252" i="3" s="1"/>
  <c r="E252" i="3"/>
  <c r="A252" i="3"/>
  <c r="AF313" i="3"/>
  <c r="AD313" i="3"/>
  <c r="AC237" i="3"/>
  <c r="AB237" i="3"/>
  <c r="AA237" i="3"/>
  <c r="W237" i="3"/>
  <c r="X237" i="3" s="1"/>
  <c r="E237" i="3"/>
  <c r="A237" i="3"/>
  <c r="U237" i="3" s="1"/>
  <c r="AF312" i="3"/>
  <c r="AD312" i="3"/>
  <c r="AC222" i="3"/>
  <c r="AB222" i="3"/>
  <c r="AA222" i="3"/>
  <c r="W222" i="3"/>
  <c r="X222" i="3" s="1"/>
  <c r="E222" i="3"/>
  <c r="A222" i="3"/>
  <c r="AF311" i="3"/>
  <c r="AD311" i="3"/>
  <c r="AC207" i="3"/>
  <c r="AB207" i="3"/>
  <c r="AA207" i="3"/>
  <c r="W207" i="3"/>
  <c r="X207" i="3" s="1"/>
  <c r="E207" i="3"/>
  <c r="A207" i="3"/>
  <c r="Q207" i="3" s="1"/>
  <c r="AF310" i="3"/>
  <c r="AD310" i="3"/>
  <c r="AC192" i="3"/>
  <c r="AB192" i="3"/>
  <c r="AA192" i="3"/>
  <c r="W192" i="3"/>
  <c r="X192" i="3" s="1"/>
  <c r="E192" i="3"/>
  <c r="A192" i="3"/>
  <c r="Q192" i="3" s="1"/>
  <c r="AF309" i="3"/>
  <c r="AD309" i="3"/>
  <c r="AC354" i="3"/>
  <c r="AB354" i="3"/>
  <c r="AA354" i="3"/>
  <c r="W354" i="3"/>
  <c r="X354" i="3" s="1"/>
  <c r="E354" i="3"/>
  <c r="A354" i="3"/>
  <c r="AF308" i="3"/>
  <c r="AD308" i="3"/>
  <c r="AC339" i="3"/>
  <c r="AB339" i="3"/>
  <c r="AA339" i="3"/>
  <c r="W339" i="3"/>
  <c r="X339" i="3" s="1"/>
  <c r="E339" i="3"/>
  <c r="A339" i="3"/>
  <c r="U339" i="3" s="1"/>
  <c r="AF307" i="3"/>
  <c r="AD307" i="3"/>
  <c r="AC324" i="3"/>
  <c r="AB324" i="3"/>
  <c r="AA324" i="3"/>
  <c r="W324" i="3"/>
  <c r="X324" i="3" s="1"/>
  <c r="E324" i="3"/>
  <c r="A324" i="3"/>
  <c r="AF306" i="3"/>
  <c r="AD306" i="3"/>
  <c r="AC294" i="3"/>
  <c r="AB294" i="3"/>
  <c r="AA294" i="3"/>
  <c r="W294" i="3"/>
  <c r="X294" i="3" s="1"/>
  <c r="E294" i="3"/>
  <c r="A294" i="3"/>
  <c r="AF305" i="3"/>
  <c r="AD305" i="3"/>
  <c r="AC279" i="3"/>
  <c r="AB279" i="3"/>
  <c r="AA279" i="3"/>
  <c r="W279" i="3"/>
  <c r="X279" i="3" s="1"/>
  <c r="E279" i="3"/>
  <c r="A279" i="3"/>
  <c r="U279" i="3" s="1"/>
  <c r="AF304" i="3"/>
  <c r="AD304" i="3"/>
  <c r="AC264" i="3"/>
  <c r="AB264" i="3"/>
  <c r="AA264" i="3"/>
  <c r="W264" i="3"/>
  <c r="X264" i="3" s="1"/>
  <c r="E264" i="3"/>
  <c r="A264" i="3"/>
  <c r="U264" i="3" s="1"/>
  <c r="AF303" i="3"/>
  <c r="AD303" i="3"/>
  <c r="AC249" i="3"/>
  <c r="AB249" i="3"/>
  <c r="AA249" i="3"/>
  <c r="W249" i="3"/>
  <c r="X249" i="3" s="1"/>
  <c r="E249" i="3"/>
  <c r="A249" i="3"/>
  <c r="Q249" i="3" s="1"/>
  <c r="AF302" i="3"/>
  <c r="AD302" i="3"/>
  <c r="AC234" i="3"/>
  <c r="AB234" i="3"/>
  <c r="AA234" i="3"/>
  <c r="W234" i="3"/>
  <c r="X234" i="3" s="1"/>
  <c r="E234" i="3"/>
  <c r="A234" i="3"/>
  <c r="Q234" i="3" s="1"/>
  <c r="AF301" i="3"/>
  <c r="AD301" i="3"/>
  <c r="AC219" i="3"/>
  <c r="AB219" i="3"/>
  <c r="AA219" i="3"/>
  <c r="W219" i="3"/>
  <c r="X219" i="3" s="1"/>
  <c r="E219" i="3"/>
  <c r="A219" i="3"/>
  <c r="U219" i="3" s="1"/>
  <c r="AF300" i="3"/>
  <c r="AD300" i="3"/>
  <c r="AC204" i="3"/>
  <c r="AB204" i="3"/>
  <c r="AA204" i="3"/>
  <c r="W204" i="3"/>
  <c r="X204" i="3" s="1"/>
  <c r="E204" i="3"/>
  <c r="A204" i="3"/>
  <c r="U204" i="3" s="1"/>
  <c r="AF299" i="3"/>
  <c r="AD299" i="3"/>
  <c r="AC189" i="3"/>
  <c r="AB189" i="3"/>
  <c r="AA189" i="3"/>
  <c r="W189" i="3"/>
  <c r="X189" i="3" s="1"/>
  <c r="E189" i="3"/>
  <c r="A189" i="3"/>
  <c r="AF298" i="3"/>
  <c r="AD298" i="3"/>
  <c r="AC351" i="3"/>
  <c r="AB351" i="3"/>
  <c r="AA351" i="3"/>
  <c r="W351" i="3"/>
  <c r="X351" i="3" s="1"/>
  <c r="E351" i="3"/>
  <c r="A351" i="3"/>
  <c r="AF297" i="3"/>
  <c r="AD297" i="3"/>
  <c r="AC336" i="3"/>
  <c r="AB336" i="3"/>
  <c r="AA336" i="3"/>
  <c r="W336" i="3"/>
  <c r="X336" i="3" s="1"/>
  <c r="E336" i="3"/>
  <c r="A336" i="3"/>
  <c r="AF296" i="3"/>
  <c r="AD296" i="3"/>
  <c r="AC321" i="3"/>
  <c r="AB321" i="3"/>
  <c r="AA321" i="3"/>
  <c r="W321" i="3"/>
  <c r="X321" i="3" s="1"/>
  <c r="E321" i="3"/>
  <c r="A321" i="3"/>
  <c r="AF295" i="3"/>
  <c r="AD295" i="3"/>
  <c r="AC291" i="3"/>
  <c r="AB291" i="3"/>
  <c r="AA291" i="3"/>
  <c r="W291" i="3"/>
  <c r="X291" i="3" s="1"/>
  <c r="E291" i="3"/>
  <c r="A291" i="3"/>
  <c r="AF294" i="3"/>
  <c r="AD294" i="3"/>
  <c r="AC276" i="3"/>
  <c r="AB276" i="3"/>
  <c r="AA276" i="3"/>
  <c r="W276" i="3"/>
  <c r="X276" i="3" s="1"/>
  <c r="E276" i="3"/>
  <c r="A276" i="3"/>
  <c r="Q276" i="3" s="1"/>
  <c r="AF293" i="3"/>
  <c r="AD293" i="3"/>
  <c r="AC261" i="3"/>
  <c r="AB261" i="3"/>
  <c r="AA261" i="3"/>
  <c r="W261" i="3"/>
  <c r="X261" i="3" s="1"/>
  <c r="E261" i="3"/>
  <c r="A261" i="3"/>
  <c r="AF292" i="3"/>
  <c r="AD292" i="3"/>
  <c r="AC246" i="3"/>
  <c r="AB246" i="3"/>
  <c r="AA246" i="3"/>
  <c r="W246" i="3"/>
  <c r="X246" i="3" s="1"/>
  <c r="E246" i="3"/>
  <c r="A246" i="3"/>
  <c r="U246" i="3" s="1"/>
  <c r="AF291" i="3"/>
  <c r="AD291" i="3"/>
  <c r="AC231" i="3"/>
  <c r="AB231" i="3"/>
  <c r="AA231" i="3"/>
  <c r="W231" i="3"/>
  <c r="X231" i="3" s="1"/>
  <c r="E231" i="3"/>
  <c r="A231" i="3"/>
  <c r="AF290" i="3"/>
  <c r="AD290" i="3"/>
  <c r="AC216" i="3"/>
  <c r="AB216" i="3"/>
  <c r="AA216" i="3"/>
  <c r="W216" i="3"/>
  <c r="X216" i="3" s="1"/>
  <c r="E216" i="3"/>
  <c r="A216" i="3"/>
  <c r="AF289" i="3"/>
  <c r="AD289" i="3"/>
  <c r="AC201" i="3"/>
  <c r="AB201" i="3"/>
  <c r="AA201" i="3"/>
  <c r="W201" i="3"/>
  <c r="X201" i="3" s="1"/>
  <c r="E201" i="3"/>
  <c r="A201" i="3"/>
  <c r="U201" i="3" s="1"/>
  <c r="AF288" i="3"/>
  <c r="AD288" i="3"/>
  <c r="AC186" i="3"/>
  <c r="AB186" i="3"/>
  <c r="AA186" i="3"/>
  <c r="W186" i="3"/>
  <c r="X186" i="3" s="1"/>
  <c r="E186" i="3"/>
  <c r="A186" i="3"/>
  <c r="U186" i="3" s="1"/>
  <c r="AF287" i="3"/>
  <c r="AD287" i="3"/>
  <c r="AC348" i="3"/>
  <c r="AB348" i="3"/>
  <c r="AA348" i="3"/>
  <c r="W348" i="3"/>
  <c r="X348" i="3" s="1"/>
  <c r="E348" i="3"/>
  <c r="A348" i="3"/>
  <c r="Q348" i="3" s="1"/>
  <c r="AF286" i="3"/>
  <c r="AD286" i="3"/>
  <c r="AC333" i="3"/>
  <c r="AB333" i="3"/>
  <c r="AA333" i="3"/>
  <c r="W333" i="3"/>
  <c r="X333" i="3" s="1"/>
  <c r="E333" i="3"/>
  <c r="AE204" i="3" s="1"/>
  <c r="A333" i="3"/>
  <c r="Q333" i="3" s="1"/>
  <c r="AF285" i="3"/>
  <c r="AD285" i="3"/>
  <c r="AC318" i="3"/>
  <c r="AB318" i="3"/>
  <c r="AA318" i="3"/>
  <c r="W318" i="3"/>
  <c r="X318" i="3" s="1"/>
  <c r="E318" i="3"/>
  <c r="A318" i="3"/>
  <c r="U318" i="3" s="1"/>
  <c r="AF284" i="3"/>
  <c r="AD284" i="3"/>
  <c r="AC288" i="3"/>
  <c r="AB288" i="3"/>
  <c r="AA288" i="3"/>
  <c r="W288" i="3"/>
  <c r="X288" i="3" s="1"/>
  <c r="E288" i="3"/>
  <c r="A288" i="3"/>
  <c r="U288" i="3" s="1"/>
  <c r="AF283" i="3"/>
  <c r="AD283" i="3"/>
  <c r="AC273" i="3"/>
  <c r="AB273" i="3"/>
  <c r="AA273" i="3"/>
  <c r="W273" i="3"/>
  <c r="X273" i="3" s="1"/>
  <c r="E273" i="3"/>
  <c r="A273" i="3"/>
  <c r="AF282" i="3"/>
  <c r="AD282" i="3"/>
  <c r="AC258" i="3"/>
  <c r="AB258" i="3"/>
  <c r="AA258" i="3"/>
  <c r="W258" i="3"/>
  <c r="X258" i="3" s="1"/>
  <c r="E258" i="3"/>
  <c r="A258" i="3"/>
  <c r="AF281" i="3"/>
  <c r="AD281" i="3"/>
  <c r="AC243" i="3"/>
  <c r="AB243" i="3"/>
  <c r="AA243" i="3"/>
  <c r="W243" i="3"/>
  <c r="X243" i="3" s="1"/>
  <c r="E243" i="3"/>
  <c r="A243" i="3"/>
  <c r="AF280" i="3"/>
  <c r="AD280" i="3"/>
  <c r="AC228" i="3"/>
  <c r="AB228" i="3"/>
  <c r="AA228" i="3"/>
  <c r="W228" i="3"/>
  <c r="X228" i="3" s="1"/>
  <c r="E228" i="3"/>
  <c r="A228" i="3"/>
  <c r="AF279" i="3"/>
  <c r="AD279" i="3"/>
  <c r="AC213" i="3"/>
  <c r="AB213" i="3"/>
  <c r="AA213" i="3"/>
  <c r="W213" i="3"/>
  <c r="X213" i="3" s="1"/>
  <c r="E213" i="3"/>
  <c r="A213" i="3"/>
  <c r="Q213" i="3" s="1"/>
  <c r="AF278" i="3"/>
  <c r="AD278" i="3"/>
  <c r="AC198" i="3"/>
  <c r="AB198" i="3"/>
  <c r="AA198" i="3"/>
  <c r="W198" i="3"/>
  <c r="X198" i="3" s="1"/>
  <c r="E198" i="3"/>
  <c r="A198" i="3"/>
  <c r="Q198" i="3" s="1"/>
  <c r="AF277" i="3"/>
  <c r="AD277" i="3"/>
  <c r="AC183" i="3"/>
  <c r="AB183" i="3"/>
  <c r="AA183" i="3"/>
  <c r="W183" i="3"/>
  <c r="X183" i="3" s="1"/>
  <c r="E183" i="3"/>
  <c r="A183" i="3"/>
  <c r="U183" i="3" s="1"/>
  <c r="AF276" i="3"/>
  <c r="AD276" i="3"/>
  <c r="AC180" i="3"/>
  <c r="AB180" i="3"/>
  <c r="AA180" i="3"/>
  <c r="W180" i="3"/>
  <c r="X180" i="3" s="1"/>
  <c r="E180" i="3"/>
  <c r="A180" i="3"/>
  <c r="U180" i="3" s="1"/>
  <c r="AF275" i="3"/>
  <c r="AD275" i="3"/>
  <c r="AC165" i="3"/>
  <c r="AB165" i="3"/>
  <c r="AA165" i="3"/>
  <c r="W165" i="3"/>
  <c r="X165" i="3" s="1"/>
  <c r="E165" i="3"/>
  <c r="A165" i="3"/>
  <c r="AF274" i="3"/>
  <c r="AD274" i="3"/>
  <c r="AC150" i="3"/>
  <c r="AB150" i="3"/>
  <c r="AA150" i="3"/>
  <c r="W150" i="3"/>
  <c r="X150" i="3" s="1"/>
  <c r="E150" i="3"/>
  <c r="A150" i="3"/>
  <c r="AF273" i="3"/>
  <c r="AD273" i="3"/>
  <c r="AC120" i="3"/>
  <c r="AB120" i="3"/>
  <c r="AA120" i="3"/>
  <c r="W120" i="3"/>
  <c r="X120" i="3" s="1"/>
  <c r="E120" i="3"/>
  <c r="A120" i="3"/>
  <c r="U120" i="3" s="1"/>
  <c r="AF272" i="3"/>
  <c r="AD272" i="3"/>
  <c r="AC105" i="3"/>
  <c r="AB105" i="3"/>
  <c r="AA105" i="3"/>
  <c r="W105" i="3"/>
  <c r="X105" i="3" s="1"/>
  <c r="E105" i="3"/>
  <c r="A105" i="3"/>
  <c r="U105" i="3" s="1"/>
  <c r="AF271" i="3"/>
  <c r="AD271" i="3"/>
  <c r="AC90" i="3"/>
  <c r="AB90" i="3"/>
  <c r="AA90" i="3"/>
  <c r="W90" i="3"/>
  <c r="X90" i="3" s="1"/>
  <c r="E90" i="3"/>
  <c r="A90" i="3"/>
  <c r="Q90" i="3" s="1"/>
  <c r="AF270" i="3"/>
  <c r="AD270" i="3"/>
  <c r="AC75" i="3"/>
  <c r="AB75" i="3"/>
  <c r="AA75" i="3"/>
  <c r="W75" i="3"/>
  <c r="X75" i="3" s="1"/>
  <c r="E75" i="3"/>
  <c r="A75" i="3"/>
  <c r="Q75" i="3" s="1"/>
  <c r="AF269" i="3"/>
  <c r="AD269" i="3"/>
  <c r="AC60" i="3"/>
  <c r="AB60" i="3"/>
  <c r="AA60" i="3"/>
  <c r="W60" i="3"/>
  <c r="X60" i="3" s="1"/>
  <c r="E60" i="3"/>
  <c r="A60" i="3"/>
  <c r="U60" i="3" s="1"/>
  <c r="AF268" i="3"/>
  <c r="AD268" i="3"/>
  <c r="AC45" i="3"/>
  <c r="AB45" i="3"/>
  <c r="AA45" i="3"/>
  <c r="W45" i="3"/>
  <c r="X45" i="3" s="1"/>
  <c r="E45" i="3"/>
  <c r="A45" i="3"/>
  <c r="U45" i="3" s="1"/>
  <c r="AF267" i="3"/>
  <c r="AD267" i="3"/>
  <c r="AC30" i="3"/>
  <c r="AB30" i="3"/>
  <c r="AA30" i="3"/>
  <c r="W30" i="3"/>
  <c r="X30" i="3" s="1"/>
  <c r="E30" i="3"/>
  <c r="A30" i="3"/>
  <c r="AF266" i="3"/>
  <c r="AD266" i="3"/>
  <c r="AC15" i="3"/>
  <c r="AB15" i="3"/>
  <c r="AA15" i="3"/>
  <c r="W15" i="3"/>
  <c r="X15" i="3" s="1"/>
  <c r="E15" i="3"/>
  <c r="A15" i="3"/>
  <c r="AF265" i="3"/>
  <c r="AD265" i="3"/>
  <c r="AC177" i="3"/>
  <c r="AB177" i="3"/>
  <c r="AA177" i="3"/>
  <c r="W177" i="3"/>
  <c r="X177" i="3" s="1"/>
  <c r="E177" i="3"/>
  <c r="A177" i="3"/>
  <c r="Q177" i="3" s="1"/>
  <c r="AF264" i="3"/>
  <c r="AD264" i="3"/>
  <c r="AC162" i="3"/>
  <c r="AB162" i="3"/>
  <c r="AA162" i="3"/>
  <c r="W162" i="3"/>
  <c r="X162" i="3" s="1"/>
  <c r="E162" i="3"/>
  <c r="A162" i="3"/>
  <c r="AF263" i="3"/>
  <c r="AD263" i="3"/>
  <c r="AC147" i="3"/>
  <c r="AB147" i="3"/>
  <c r="AA147" i="3"/>
  <c r="W147" i="3"/>
  <c r="X147" i="3" s="1"/>
  <c r="E147" i="3"/>
  <c r="A147" i="3"/>
  <c r="AF262" i="3"/>
  <c r="AD262" i="3"/>
  <c r="AC117" i="3"/>
  <c r="AB117" i="3"/>
  <c r="AA117" i="3"/>
  <c r="W117" i="3"/>
  <c r="X117" i="3" s="1"/>
  <c r="E117" i="3"/>
  <c r="A117" i="3"/>
  <c r="Q117" i="3" s="1"/>
  <c r="AF261" i="3"/>
  <c r="AD261" i="3"/>
  <c r="AC102" i="3"/>
  <c r="AB102" i="3"/>
  <c r="AA102" i="3"/>
  <c r="W102" i="3"/>
  <c r="X102" i="3" s="1"/>
  <c r="E102" i="3"/>
  <c r="A102" i="3"/>
  <c r="Q102" i="3" s="1"/>
  <c r="AF260" i="3"/>
  <c r="AD260" i="3"/>
  <c r="AC87" i="3"/>
  <c r="AB87" i="3"/>
  <c r="AA87" i="3"/>
  <c r="W87" i="3"/>
  <c r="X87" i="3" s="1"/>
  <c r="E87" i="3"/>
  <c r="A87" i="3"/>
  <c r="U87" i="3" s="1"/>
  <c r="AF259" i="3"/>
  <c r="AD259" i="3"/>
  <c r="AC72" i="3"/>
  <c r="AB72" i="3"/>
  <c r="AA72" i="3"/>
  <c r="W72" i="3"/>
  <c r="X72" i="3" s="1"/>
  <c r="E72" i="3"/>
  <c r="A72" i="3"/>
  <c r="AF258" i="3"/>
  <c r="AD258" i="3"/>
  <c r="AC57" i="3"/>
  <c r="AB57" i="3"/>
  <c r="AA57" i="3"/>
  <c r="W57" i="3"/>
  <c r="X57" i="3" s="1"/>
  <c r="E57" i="3"/>
  <c r="A57" i="3"/>
  <c r="AF257" i="3"/>
  <c r="AD257" i="3"/>
  <c r="AC42" i="3"/>
  <c r="AB42" i="3"/>
  <c r="AA42" i="3"/>
  <c r="W42" i="3"/>
  <c r="X42" i="3" s="1"/>
  <c r="E42" i="3"/>
  <c r="A42" i="3"/>
  <c r="U42" i="3" s="1"/>
  <c r="AF256" i="3"/>
  <c r="AD256" i="3"/>
  <c r="AC27" i="3"/>
  <c r="AB27" i="3"/>
  <c r="AA27" i="3"/>
  <c r="W27" i="3"/>
  <c r="X27" i="3" s="1"/>
  <c r="E27" i="3"/>
  <c r="A27" i="3"/>
  <c r="U27" i="3" s="1"/>
  <c r="AF255" i="3"/>
  <c r="AD255" i="3"/>
  <c r="AC12" i="3"/>
  <c r="AB12" i="3"/>
  <c r="AA12" i="3"/>
  <c r="W12" i="3"/>
  <c r="X12" i="3" s="1"/>
  <c r="E12" i="3"/>
  <c r="A12" i="3"/>
  <c r="Q12" i="3" s="1"/>
  <c r="AF254" i="3"/>
  <c r="AD254" i="3"/>
  <c r="AC174" i="3"/>
  <c r="AB174" i="3"/>
  <c r="AA174" i="3"/>
  <c r="W174" i="3"/>
  <c r="X174" i="3" s="1"/>
  <c r="E174" i="3"/>
  <c r="A174" i="3"/>
  <c r="Q174" i="3" s="1"/>
  <c r="AF253" i="3"/>
  <c r="AD253" i="3"/>
  <c r="AC159" i="3"/>
  <c r="AB159" i="3"/>
  <c r="AA159" i="3"/>
  <c r="W159" i="3"/>
  <c r="X159" i="3" s="1"/>
  <c r="E159" i="3"/>
  <c r="A159" i="3"/>
  <c r="U159" i="3" s="1"/>
  <c r="AF252" i="3"/>
  <c r="AD252" i="3"/>
  <c r="AC144" i="3"/>
  <c r="AB144" i="3"/>
  <c r="AA144" i="3"/>
  <c r="W144" i="3"/>
  <c r="X144" i="3" s="1"/>
  <c r="E144" i="3"/>
  <c r="A144" i="3"/>
  <c r="U144" i="3" s="1"/>
  <c r="AF251" i="3"/>
  <c r="AD251" i="3"/>
  <c r="AC114" i="3"/>
  <c r="AB114" i="3"/>
  <c r="AA114" i="3"/>
  <c r="W114" i="3"/>
  <c r="X114" i="3" s="1"/>
  <c r="E114" i="3"/>
  <c r="A114" i="3"/>
  <c r="AF250" i="3"/>
  <c r="AD250" i="3"/>
  <c r="AC99" i="3"/>
  <c r="AB99" i="3"/>
  <c r="AA99" i="3"/>
  <c r="W99" i="3"/>
  <c r="X99" i="3" s="1"/>
  <c r="E99" i="3"/>
  <c r="A99" i="3"/>
  <c r="AF249" i="3"/>
  <c r="AD249" i="3"/>
  <c r="AC84" i="3"/>
  <c r="AB84" i="3"/>
  <c r="AA84" i="3"/>
  <c r="W84" i="3"/>
  <c r="X84" i="3" s="1"/>
  <c r="E84" i="3"/>
  <c r="A84" i="3"/>
  <c r="Q84" i="3" s="1"/>
  <c r="AF248" i="3"/>
  <c r="AD248" i="3"/>
  <c r="AC69" i="3"/>
  <c r="AB69" i="3"/>
  <c r="AA69" i="3"/>
  <c r="W69" i="3"/>
  <c r="X69" i="3" s="1"/>
  <c r="E69" i="3"/>
  <c r="A69" i="3"/>
  <c r="AF247" i="3"/>
  <c r="AD247" i="3"/>
  <c r="AC54" i="3"/>
  <c r="AB54" i="3"/>
  <c r="AA54" i="3"/>
  <c r="W54" i="3"/>
  <c r="X54" i="3" s="1"/>
  <c r="E54" i="3"/>
  <c r="A54" i="3"/>
  <c r="U54" i="3" s="1"/>
  <c r="AF246" i="3"/>
  <c r="AD246" i="3"/>
  <c r="AC39" i="3"/>
  <c r="AB39" i="3"/>
  <c r="AA39" i="3"/>
  <c r="W39" i="3"/>
  <c r="X39" i="3" s="1"/>
  <c r="E39" i="3"/>
  <c r="A39" i="3"/>
  <c r="Q39" i="3" s="1"/>
  <c r="AF245" i="3"/>
  <c r="AD245" i="3"/>
  <c r="AC24" i="3"/>
  <c r="AB24" i="3"/>
  <c r="AA24" i="3"/>
  <c r="W24" i="3"/>
  <c r="X24" i="3" s="1"/>
  <c r="E24" i="3"/>
  <c r="A24" i="3"/>
  <c r="AF244" i="3"/>
  <c r="AD244" i="3"/>
  <c r="AC9" i="3"/>
  <c r="AB9" i="3"/>
  <c r="AA9" i="3"/>
  <c r="W9" i="3"/>
  <c r="X9" i="3" s="1"/>
  <c r="E9" i="3"/>
  <c r="A9" i="3"/>
  <c r="U9" i="3" s="1"/>
  <c r="AF243" i="3"/>
  <c r="AD243" i="3"/>
  <c r="AC171" i="3"/>
  <c r="AB171" i="3"/>
  <c r="AA171" i="3"/>
  <c r="W171" i="3"/>
  <c r="X171" i="3" s="1"/>
  <c r="E171" i="3"/>
  <c r="A171" i="3"/>
  <c r="AF242" i="3"/>
  <c r="AD242" i="3"/>
  <c r="AC156" i="3"/>
  <c r="AB156" i="3"/>
  <c r="AA156" i="3"/>
  <c r="W156" i="3"/>
  <c r="X156" i="3" s="1"/>
  <c r="E156" i="3"/>
  <c r="A156" i="3"/>
  <c r="AF241" i="3"/>
  <c r="AD241" i="3"/>
  <c r="AC141" i="3"/>
  <c r="AB141" i="3"/>
  <c r="AA141" i="3"/>
  <c r="W141" i="3"/>
  <c r="X141" i="3" s="1"/>
  <c r="E141" i="3"/>
  <c r="A141" i="3"/>
  <c r="U141" i="3" s="1"/>
  <c r="AF240" i="3"/>
  <c r="AD240" i="3"/>
  <c r="AC111" i="3"/>
  <c r="AB111" i="3"/>
  <c r="AA111" i="3"/>
  <c r="W111" i="3"/>
  <c r="X111" i="3" s="1"/>
  <c r="E111" i="3"/>
  <c r="A111" i="3"/>
  <c r="U111" i="3" s="1"/>
  <c r="AF239" i="3"/>
  <c r="AD239" i="3"/>
  <c r="AC96" i="3"/>
  <c r="AB96" i="3"/>
  <c r="AA96" i="3"/>
  <c r="W96" i="3"/>
  <c r="X96" i="3" s="1"/>
  <c r="E96" i="3"/>
  <c r="A96" i="3"/>
  <c r="Q96" i="3" s="1"/>
  <c r="AF238" i="3"/>
  <c r="AD238" i="3"/>
  <c r="AC81" i="3"/>
  <c r="AB81" i="3"/>
  <c r="AA81" i="3"/>
  <c r="W81" i="3"/>
  <c r="X81" i="3" s="1"/>
  <c r="E81" i="3"/>
  <c r="A81" i="3"/>
  <c r="Q81" i="3" s="1"/>
  <c r="AF237" i="3"/>
  <c r="AD237" i="3"/>
  <c r="AC66" i="3"/>
  <c r="AB66" i="3"/>
  <c r="AA66" i="3"/>
  <c r="W66" i="3"/>
  <c r="X66" i="3" s="1"/>
  <c r="E66" i="3"/>
  <c r="A66" i="3"/>
  <c r="U66" i="3" s="1"/>
  <c r="AF236" i="3"/>
  <c r="AD236" i="3"/>
  <c r="AC51" i="3"/>
  <c r="AB51" i="3"/>
  <c r="AA51" i="3"/>
  <c r="W51" i="3"/>
  <c r="X51" i="3" s="1"/>
  <c r="E51" i="3"/>
  <c r="A51" i="3"/>
  <c r="U51" i="3" s="1"/>
  <c r="AF235" i="3"/>
  <c r="AD235" i="3"/>
  <c r="AC36" i="3"/>
  <c r="AB36" i="3"/>
  <c r="AA36" i="3"/>
  <c r="W36" i="3"/>
  <c r="X36" i="3" s="1"/>
  <c r="E36" i="3"/>
  <c r="A36" i="3"/>
  <c r="AF234" i="3"/>
  <c r="AD234" i="3"/>
  <c r="AC21" i="3"/>
  <c r="AB21" i="3"/>
  <c r="AA21" i="3"/>
  <c r="W21" i="3"/>
  <c r="X21" i="3" s="1"/>
  <c r="E21" i="3"/>
  <c r="A21" i="3"/>
  <c r="U21" i="3" s="1"/>
  <c r="AF233" i="3"/>
  <c r="AD233" i="3"/>
  <c r="AC6" i="3"/>
  <c r="AB6" i="3"/>
  <c r="AA6" i="3"/>
  <c r="W6" i="3"/>
  <c r="X6" i="3" s="1"/>
  <c r="E6" i="3"/>
  <c r="A6" i="3"/>
  <c r="Q6" i="3" s="1"/>
  <c r="AF232" i="3"/>
  <c r="AD232" i="3"/>
  <c r="AC168" i="3"/>
  <c r="AB168" i="3"/>
  <c r="AA168" i="3"/>
  <c r="W168" i="3"/>
  <c r="X168" i="3" s="1"/>
  <c r="E168" i="3"/>
  <c r="A168" i="3"/>
  <c r="AF231" i="3"/>
  <c r="AD231" i="3"/>
  <c r="AC153" i="3"/>
  <c r="AB153" i="3"/>
  <c r="AA153" i="3"/>
  <c r="W153" i="3"/>
  <c r="X153" i="3" s="1"/>
  <c r="E153" i="3"/>
  <c r="A153" i="3"/>
  <c r="AF230" i="3"/>
  <c r="AD230" i="3"/>
  <c r="AC138" i="3"/>
  <c r="AB138" i="3"/>
  <c r="AA138" i="3"/>
  <c r="W138" i="3"/>
  <c r="X138" i="3" s="1"/>
  <c r="E138" i="3"/>
  <c r="A138" i="3"/>
  <c r="Q138" i="3" s="1"/>
  <c r="AF229" i="3"/>
  <c r="AD229" i="3"/>
  <c r="AC108" i="3"/>
  <c r="AB108" i="3"/>
  <c r="AA108" i="3"/>
  <c r="W108" i="3"/>
  <c r="X108" i="3" s="1"/>
  <c r="E108" i="3"/>
  <c r="A108" i="3"/>
  <c r="AF228" i="3"/>
  <c r="AD228" i="3"/>
  <c r="AC93" i="3"/>
  <c r="AB93" i="3"/>
  <c r="AA93" i="3"/>
  <c r="W93" i="3"/>
  <c r="X93" i="3" s="1"/>
  <c r="E93" i="3"/>
  <c r="A93" i="3"/>
  <c r="AF227" i="3"/>
  <c r="AD227" i="3"/>
  <c r="AC78" i="3"/>
  <c r="AB78" i="3"/>
  <c r="AA78" i="3"/>
  <c r="W78" i="3"/>
  <c r="X78" i="3" s="1"/>
  <c r="E78" i="3"/>
  <c r="A78" i="3"/>
  <c r="AF226" i="3"/>
  <c r="AD226" i="3"/>
  <c r="AC63" i="3"/>
  <c r="AB63" i="3"/>
  <c r="AA63" i="3"/>
  <c r="W63" i="3"/>
  <c r="X63" i="3" s="1"/>
  <c r="E63" i="3"/>
  <c r="AE162" i="3" s="1"/>
  <c r="A63" i="3"/>
  <c r="U63" i="3" s="1"/>
  <c r="AF225" i="3"/>
  <c r="AD225" i="3"/>
  <c r="AC48" i="3"/>
  <c r="AB48" i="3"/>
  <c r="AA48" i="3"/>
  <c r="W48" i="3"/>
  <c r="X48" i="3" s="1"/>
  <c r="E48" i="3"/>
  <c r="A48" i="3"/>
  <c r="U48" i="3" s="1"/>
  <c r="AF224" i="3"/>
  <c r="AD224" i="3"/>
  <c r="AC33" i="3"/>
  <c r="AB33" i="3"/>
  <c r="AA33" i="3"/>
  <c r="W33" i="3"/>
  <c r="X33" i="3" s="1"/>
  <c r="E33" i="3"/>
  <c r="A33" i="3"/>
  <c r="U33" i="3" s="1"/>
  <c r="AF223" i="3"/>
  <c r="AD223" i="3"/>
  <c r="AC18" i="3"/>
  <c r="AB18" i="3"/>
  <c r="AA18" i="3"/>
  <c r="W18" i="3"/>
  <c r="X18" i="3" s="1"/>
  <c r="E18" i="3"/>
  <c r="A18" i="3"/>
  <c r="Q18" i="3" s="1"/>
  <c r="AF222" i="3"/>
  <c r="AD222" i="3"/>
  <c r="AC3" i="3"/>
  <c r="AB3" i="3"/>
  <c r="AA3" i="3"/>
  <c r="W3" i="3"/>
  <c r="X3" i="3" s="1"/>
  <c r="E3" i="3"/>
  <c r="A3" i="3"/>
  <c r="A4" i="3"/>
  <c r="U4" i="3" s="1"/>
  <c r="E4" i="3"/>
  <c r="W4" i="3"/>
  <c r="X4" i="3" s="1"/>
  <c r="AA4" i="3"/>
  <c r="AB4" i="3"/>
  <c r="AC4" i="3"/>
  <c r="AD112" i="3"/>
  <c r="AF112" i="3"/>
  <c r="A19" i="3"/>
  <c r="Q19" i="3" s="1"/>
  <c r="E19" i="3"/>
  <c r="W19" i="3"/>
  <c r="X19" i="3" s="1"/>
  <c r="AA19" i="3"/>
  <c r="AB19" i="3"/>
  <c r="AC19" i="3"/>
  <c r="AD113" i="3"/>
  <c r="AF113" i="3"/>
  <c r="A34" i="3"/>
  <c r="Q34" i="3" s="1"/>
  <c r="E34" i="3"/>
  <c r="W34" i="3"/>
  <c r="X34" i="3" s="1"/>
  <c r="AA34" i="3"/>
  <c r="AB34" i="3"/>
  <c r="AC34" i="3"/>
  <c r="AD114" i="3"/>
  <c r="AF114" i="3"/>
  <c r="A49" i="3"/>
  <c r="Q49" i="3" s="1"/>
  <c r="E49" i="3"/>
  <c r="W49" i="3"/>
  <c r="X49" i="3" s="1"/>
  <c r="AA49" i="3"/>
  <c r="AB49" i="3"/>
  <c r="AC49" i="3"/>
  <c r="AD115" i="3"/>
  <c r="AF115" i="3"/>
  <c r="A64" i="3"/>
  <c r="U64" i="3" s="1"/>
  <c r="E64" i="3"/>
  <c r="W64" i="3"/>
  <c r="X64" i="3" s="1"/>
  <c r="AA64" i="3"/>
  <c r="AB64" i="3"/>
  <c r="AC64" i="3"/>
  <c r="AD116" i="3"/>
  <c r="AF116" i="3"/>
  <c r="A79" i="3"/>
  <c r="E79" i="3"/>
  <c r="W79" i="3"/>
  <c r="X79" i="3" s="1"/>
  <c r="AA79" i="3"/>
  <c r="AB79" i="3"/>
  <c r="AC79" i="3"/>
  <c r="AD117" i="3"/>
  <c r="AF117" i="3"/>
  <c r="A94" i="3"/>
  <c r="Q94" i="3" s="1"/>
  <c r="E94" i="3"/>
  <c r="W94" i="3"/>
  <c r="X94" i="3" s="1"/>
  <c r="AA94" i="3"/>
  <c r="AB94" i="3"/>
  <c r="AC94" i="3"/>
  <c r="AD118" i="3"/>
  <c r="AF118" i="3"/>
  <c r="A109" i="3"/>
  <c r="Q109" i="3" s="1"/>
  <c r="E109" i="3"/>
  <c r="W109" i="3"/>
  <c r="X109" i="3" s="1"/>
  <c r="AA109" i="3"/>
  <c r="AB109" i="3"/>
  <c r="AC109" i="3"/>
  <c r="AD119" i="3"/>
  <c r="AF119" i="3"/>
  <c r="A139" i="3"/>
  <c r="Q139" i="3" s="1"/>
  <c r="E139" i="3"/>
  <c r="W139" i="3"/>
  <c r="X139" i="3" s="1"/>
  <c r="AA139" i="3"/>
  <c r="AB139" i="3"/>
  <c r="AC139" i="3"/>
  <c r="AD120" i="3"/>
  <c r="AF120" i="3"/>
  <c r="A154" i="3"/>
  <c r="Q154" i="3" s="1"/>
  <c r="E154" i="3"/>
  <c r="W154" i="3"/>
  <c r="X154" i="3" s="1"/>
  <c r="AA154" i="3"/>
  <c r="AB154" i="3"/>
  <c r="AC154" i="3"/>
  <c r="AD121" i="3"/>
  <c r="AF121" i="3"/>
  <c r="A169" i="3"/>
  <c r="U169" i="3" s="1"/>
  <c r="E169" i="3"/>
  <c r="W169" i="3"/>
  <c r="X169" i="3" s="1"/>
  <c r="AA169" i="3"/>
  <c r="AB169" i="3"/>
  <c r="AC169" i="3"/>
  <c r="AD122" i="3"/>
  <c r="AF122" i="3"/>
  <c r="A7" i="3"/>
  <c r="U7" i="3" s="1"/>
  <c r="E7" i="3"/>
  <c r="W7" i="3"/>
  <c r="X7" i="3" s="1"/>
  <c r="AA7" i="3"/>
  <c r="AB7" i="3"/>
  <c r="AC7" i="3"/>
  <c r="AD123" i="3"/>
  <c r="AF123" i="3"/>
  <c r="A22" i="3"/>
  <c r="U22" i="3" s="1"/>
  <c r="E22" i="3"/>
  <c r="W22" i="3"/>
  <c r="X22" i="3" s="1"/>
  <c r="AA22" i="3"/>
  <c r="AB22" i="3"/>
  <c r="AC22" i="3"/>
  <c r="AD124" i="3"/>
  <c r="AF124" i="3"/>
  <c r="A37" i="3"/>
  <c r="U37" i="3" s="1"/>
  <c r="E37" i="3"/>
  <c r="W37" i="3"/>
  <c r="X37" i="3" s="1"/>
  <c r="AA37" i="3"/>
  <c r="AB37" i="3"/>
  <c r="AC37" i="3"/>
  <c r="AD125" i="3"/>
  <c r="AF125" i="3"/>
  <c r="A52" i="3"/>
  <c r="Q52" i="3" s="1"/>
  <c r="E52" i="3"/>
  <c r="W52" i="3"/>
  <c r="X52" i="3" s="1"/>
  <c r="AA52" i="3"/>
  <c r="AB52" i="3"/>
  <c r="AC52" i="3"/>
  <c r="AD126" i="3"/>
  <c r="AF126" i="3"/>
  <c r="A67" i="3"/>
  <c r="Q67" i="3" s="1"/>
  <c r="E67" i="3"/>
  <c r="W67" i="3"/>
  <c r="X67" i="3" s="1"/>
  <c r="AA67" i="3"/>
  <c r="AB67" i="3"/>
  <c r="AC67" i="3"/>
  <c r="AD127" i="3"/>
  <c r="AF127" i="3"/>
  <c r="A82" i="3"/>
  <c r="Q82" i="3" s="1"/>
  <c r="E82" i="3"/>
  <c r="W82" i="3"/>
  <c r="X82" i="3" s="1"/>
  <c r="AA82" i="3"/>
  <c r="AB82" i="3"/>
  <c r="AC82" i="3"/>
  <c r="AD128" i="3"/>
  <c r="AF128" i="3"/>
  <c r="A97" i="3"/>
  <c r="Q97" i="3" s="1"/>
  <c r="E97" i="3"/>
  <c r="W97" i="3"/>
  <c r="X97" i="3" s="1"/>
  <c r="AA97" i="3"/>
  <c r="AB97" i="3"/>
  <c r="AC97" i="3"/>
  <c r="AD129" i="3"/>
  <c r="AF129" i="3"/>
  <c r="A112" i="3"/>
  <c r="Q112" i="3" s="1"/>
  <c r="E112" i="3"/>
  <c r="W112" i="3"/>
  <c r="X112" i="3" s="1"/>
  <c r="AA112" i="3"/>
  <c r="AB112" i="3"/>
  <c r="AC112" i="3"/>
  <c r="AD130" i="3"/>
  <c r="AF130" i="3"/>
  <c r="A142" i="3"/>
  <c r="Q142" i="3" s="1"/>
  <c r="E142" i="3"/>
  <c r="W142" i="3"/>
  <c r="X142" i="3" s="1"/>
  <c r="AA142" i="3"/>
  <c r="AB142" i="3"/>
  <c r="AC142" i="3"/>
  <c r="AD131" i="3"/>
  <c r="AF131" i="3"/>
  <c r="A157" i="3"/>
  <c r="U157" i="3" s="1"/>
  <c r="E157" i="3"/>
  <c r="W157" i="3"/>
  <c r="X157" i="3" s="1"/>
  <c r="AA157" i="3"/>
  <c r="AB157" i="3"/>
  <c r="AC157" i="3"/>
  <c r="AD132" i="3"/>
  <c r="AF132" i="3"/>
  <c r="A172" i="3"/>
  <c r="U172" i="3" s="1"/>
  <c r="E172" i="3"/>
  <c r="W172" i="3"/>
  <c r="X172" i="3" s="1"/>
  <c r="AA172" i="3"/>
  <c r="AB172" i="3"/>
  <c r="AC172" i="3"/>
  <c r="AD133" i="3"/>
  <c r="AF133" i="3"/>
  <c r="A10" i="3"/>
  <c r="Q10" i="3" s="1"/>
  <c r="E10" i="3"/>
  <c r="W10" i="3"/>
  <c r="X10" i="3" s="1"/>
  <c r="AA10" i="3"/>
  <c r="AB10" i="3"/>
  <c r="AC10" i="3"/>
  <c r="AD134" i="3"/>
  <c r="AF134" i="3"/>
  <c r="A25" i="3"/>
  <c r="U25" i="3" s="1"/>
  <c r="E25" i="3"/>
  <c r="W25" i="3"/>
  <c r="X25" i="3" s="1"/>
  <c r="AA25" i="3"/>
  <c r="AB25" i="3"/>
  <c r="AC25" i="3"/>
  <c r="AD135" i="3"/>
  <c r="AF135" i="3"/>
  <c r="A40" i="3"/>
  <c r="Q40" i="3" s="1"/>
  <c r="E40" i="3"/>
  <c r="W40" i="3"/>
  <c r="X40" i="3" s="1"/>
  <c r="AA40" i="3"/>
  <c r="AB40" i="3"/>
  <c r="AC40" i="3"/>
  <c r="AD136" i="3"/>
  <c r="AF136" i="3"/>
  <c r="A55" i="3"/>
  <c r="E55" i="3"/>
  <c r="W55" i="3"/>
  <c r="X55" i="3" s="1"/>
  <c r="AA55" i="3"/>
  <c r="AB55" i="3"/>
  <c r="AC55" i="3"/>
  <c r="AD137" i="3"/>
  <c r="AF137" i="3"/>
  <c r="A70" i="3"/>
  <c r="E70" i="3"/>
  <c r="W70" i="3"/>
  <c r="X70" i="3" s="1"/>
  <c r="AA70" i="3"/>
  <c r="AB70" i="3"/>
  <c r="AC70" i="3"/>
  <c r="AD138" i="3"/>
  <c r="AF138" i="3"/>
  <c r="A85" i="3"/>
  <c r="U85" i="3" s="1"/>
  <c r="E85" i="3"/>
  <c r="W85" i="3"/>
  <c r="X85" i="3" s="1"/>
  <c r="AA85" i="3"/>
  <c r="AB85" i="3"/>
  <c r="AC85" i="3"/>
  <c r="AD139" i="3"/>
  <c r="AF139" i="3"/>
  <c r="A100" i="3"/>
  <c r="U100" i="3" s="1"/>
  <c r="E100" i="3"/>
  <c r="W100" i="3"/>
  <c r="X100" i="3" s="1"/>
  <c r="AA100" i="3"/>
  <c r="AB100" i="3"/>
  <c r="AC100" i="3"/>
  <c r="AD140" i="3"/>
  <c r="AF140" i="3"/>
  <c r="A115" i="3"/>
  <c r="U115" i="3" s="1"/>
  <c r="E115" i="3"/>
  <c r="W115" i="3"/>
  <c r="X115" i="3" s="1"/>
  <c r="AA115" i="3"/>
  <c r="AB115" i="3"/>
  <c r="AC115" i="3"/>
  <c r="AD141" i="3"/>
  <c r="AF141" i="3"/>
  <c r="A145" i="3"/>
  <c r="Q145" i="3" s="1"/>
  <c r="E145" i="3"/>
  <c r="W145" i="3"/>
  <c r="X145" i="3" s="1"/>
  <c r="AA145" i="3"/>
  <c r="AB145" i="3"/>
  <c r="AC145" i="3"/>
  <c r="AD142" i="3"/>
  <c r="AF142" i="3"/>
  <c r="A160" i="3"/>
  <c r="Q160" i="3" s="1"/>
  <c r="E160" i="3"/>
  <c r="W160" i="3"/>
  <c r="X160" i="3" s="1"/>
  <c r="AA160" i="3"/>
  <c r="AB160" i="3"/>
  <c r="AC160" i="3"/>
  <c r="AD143" i="3"/>
  <c r="AF143" i="3"/>
  <c r="A175" i="3"/>
  <c r="E175" i="3"/>
  <c r="W175" i="3"/>
  <c r="X175" i="3" s="1"/>
  <c r="AA175" i="3"/>
  <c r="AB175" i="3"/>
  <c r="AC175" i="3"/>
  <c r="AD144" i="3"/>
  <c r="AF144" i="3"/>
  <c r="A13" i="3"/>
  <c r="Q13" i="3" s="1"/>
  <c r="E13" i="3"/>
  <c r="W13" i="3"/>
  <c r="X13" i="3" s="1"/>
  <c r="AA13" i="3"/>
  <c r="AB13" i="3"/>
  <c r="AC13" i="3"/>
  <c r="AD145" i="3"/>
  <c r="AF145" i="3"/>
  <c r="A28" i="3"/>
  <c r="Q28" i="3" s="1"/>
  <c r="E28" i="3"/>
  <c r="W28" i="3"/>
  <c r="X28" i="3" s="1"/>
  <c r="AA28" i="3"/>
  <c r="AB28" i="3"/>
  <c r="AC28" i="3"/>
  <c r="AD146" i="3"/>
  <c r="AF146" i="3"/>
  <c r="A43" i="3"/>
  <c r="U43" i="3" s="1"/>
  <c r="E43" i="3"/>
  <c r="W43" i="3"/>
  <c r="X43" i="3" s="1"/>
  <c r="AA43" i="3"/>
  <c r="AB43" i="3"/>
  <c r="AC43" i="3"/>
  <c r="AD147" i="3"/>
  <c r="AF147" i="3"/>
  <c r="A58" i="3"/>
  <c r="U58" i="3" s="1"/>
  <c r="E58" i="3"/>
  <c r="W58" i="3"/>
  <c r="X58" i="3" s="1"/>
  <c r="AA58" i="3"/>
  <c r="AB58" i="3"/>
  <c r="AC58" i="3"/>
  <c r="AD148" i="3"/>
  <c r="AF148" i="3"/>
  <c r="A73" i="3"/>
  <c r="Q73" i="3" s="1"/>
  <c r="E73" i="3"/>
  <c r="W73" i="3"/>
  <c r="X73" i="3" s="1"/>
  <c r="AA73" i="3"/>
  <c r="AB73" i="3"/>
  <c r="AC73" i="3"/>
  <c r="AD149" i="3"/>
  <c r="AF149" i="3"/>
  <c r="A88" i="3"/>
  <c r="Q88" i="3" s="1"/>
  <c r="E88" i="3"/>
  <c r="W88" i="3"/>
  <c r="X88" i="3" s="1"/>
  <c r="AA88" i="3"/>
  <c r="AB88" i="3"/>
  <c r="AC88" i="3"/>
  <c r="AD150" i="3"/>
  <c r="AF150" i="3"/>
  <c r="A103" i="3"/>
  <c r="Q103" i="3" s="1"/>
  <c r="E103" i="3"/>
  <c r="W103" i="3"/>
  <c r="X103" i="3" s="1"/>
  <c r="AA103" i="3"/>
  <c r="AB103" i="3"/>
  <c r="AC103" i="3"/>
  <c r="AD151" i="3"/>
  <c r="AF151" i="3"/>
  <c r="A118" i="3"/>
  <c r="Q118" i="3" s="1"/>
  <c r="E118" i="3"/>
  <c r="W118" i="3"/>
  <c r="X118" i="3" s="1"/>
  <c r="AA118" i="3"/>
  <c r="AB118" i="3"/>
  <c r="AC118" i="3"/>
  <c r="AD152" i="3"/>
  <c r="AF152" i="3"/>
  <c r="A148" i="3"/>
  <c r="Q148" i="3" s="1"/>
  <c r="E148" i="3"/>
  <c r="W148" i="3"/>
  <c r="X148" i="3" s="1"/>
  <c r="AA148" i="3"/>
  <c r="AB148" i="3"/>
  <c r="AC148" i="3"/>
  <c r="AD153" i="3"/>
  <c r="AF153" i="3"/>
  <c r="A163" i="3"/>
  <c r="Q163" i="3" s="1"/>
  <c r="E163" i="3"/>
  <c r="AE345" i="3" s="1"/>
  <c r="W163" i="3"/>
  <c r="X163" i="3" s="1"/>
  <c r="AA163" i="3"/>
  <c r="AB163" i="3"/>
  <c r="AC163" i="3"/>
  <c r="AD154" i="3"/>
  <c r="AF154" i="3"/>
  <c r="A178" i="3"/>
  <c r="Q178" i="3" s="1"/>
  <c r="E178" i="3"/>
  <c r="W178" i="3"/>
  <c r="X178" i="3" s="1"/>
  <c r="AA178" i="3"/>
  <c r="AB178" i="3"/>
  <c r="AC178" i="3"/>
  <c r="AD155" i="3"/>
  <c r="AF155" i="3"/>
  <c r="A16" i="3"/>
  <c r="U16" i="3" s="1"/>
  <c r="E16" i="3"/>
  <c r="W16" i="3"/>
  <c r="X16" i="3" s="1"/>
  <c r="AA16" i="3"/>
  <c r="AB16" i="3"/>
  <c r="AC16" i="3"/>
  <c r="AD156" i="3"/>
  <c r="AF156" i="3"/>
  <c r="A31" i="3"/>
  <c r="U31" i="3" s="1"/>
  <c r="E31" i="3"/>
  <c r="W31" i="3"/>
  <c r="X31" i="3" s="1"/>
  <c r="AA31" i="3"/>
  <c r="AB31" i="3"/>
  <c r="AC31" i="3"/>
  <c r="AD157" i="3"/>
  <c r="AF157" i="3"/>
  <c r="A46" i="3"/>
  <c r="Q46" i="3" s="1"/>
  <c r="E46" i="3"/>
  <c r="W46" i="3"/>
  <c r="X46" i="3" s="1"/>
  <c r="AA46" i="3"/>
  <c r="AB46" i="3"/>
  <c r="AC46" i="3"/>
  <c r="AD158" i="3"/>
  <c r="AF158" i="3"/>
  <c r="A61" i="3"/>
  <c r="Q61" i="3" s="1"/>
  <c r="E61" i="3"/>
  <c r="W61" i="3"/>
  <c r="X61" i="3" s="1"/>
  <c r="AA61" i="3"/>
  <c r="AB61" i="3"/>
  <c r="AC61" i="3"/>
  <c r="AD159" i="3"/>
  <c r="AF159" i="3"/>
  <c r="A76" i="3"/>
  <c r="U76" i="3" s="1"/>
  <c r="E76" i="3"/>
  <c r="W76" i="3"/>
  <c r="X76" i="3" s="1"/>
  <c r="AA76" i="3"/>
  <c r="AB76" i="3"/>
  <c r="AC76" i="3"/>
  <c r="AD160" i="3"/>
  <c r="AF160" i="3"/>
  <c r="A91" i="3"/>
  <c r="Q91" i="3" s="1"/>
  <c r="E91" i="3"/>
  <c r="W91" i="3"/>
  <c r="X91" i="3" s="1"/>
  <c r="AA91" i="3"/>
  <c r="AB91" i="3"/>
  <c r="AC91" i="3"/>
  <c r="AD161" i="3"/>
  <c r="AF161" i="3"/>
  <c r="A106" i="3"/>
  <c r="Q106" i="3" s="1"/>
  <c r="E106" i="3"/>
  <c r="AE306" i="3" s="1"/>
  <c r="W106" i="3"/>
  <c r="X106" i="3" s="1"/>
  <c r="AA106" i="3"/>
  <c r="AB106" i="3"/>
  <c r="AC106" i="3"/>
  <c r="AD162" i="3"/>
  <c r="AF162" i="3"/>
  <c r="A121" i="3"/>
  <c r="Q121" i="3" s="1"/>
  <c r="E121" i="3"/>
  <c r="W121" i="3"/>
  <c r="X121" i="3" s="1"/>
  <c r="AA121" i="3"/>
  <c r="AB121" i="3"/>
  <c r="AC121" i="3"/>
  <c r="AD163" i="3"/>
  <c r="AF163" i="3"/>
  <c r="A151" i="3"/>
  <c r="Q151" i="3" s="1"/>
  <c r="E151" i="3"/>
  <c r="W151" i="3"/>
  <c r="X151" i="3" s="1"/>
  <c r="AA151" i="3"/>
  <c r="AB151" i="3"/>
  <c r="AC151" i="3"/>
  <c r="AD164" i="3"/>
  <c r="AF164" i="3"/>
  <c r="A166" i="3"/>
  <c r="Q166" i="3" s="1"/>
  <c r="E166" i="3"/>
  <c r="AE346" i="3" s="1"/>
  <c r="W166" i="3"/>
  <c r="X166" i="3" s="1"/>
  <c r="AA166" i="3"/>
  <c r="AB166" i="3"/>
  <c r="AC166" i="3"/>
  <c r="AD165" i="3"/>
  <c r="AF165" i="3"/>
  <c r="A181" i="3"/>
  <c r="Q181" i="3" s="1"/>
  <c r="E181" i="3"/>
  <c r="W181" i="3"/>
  <c r="X181" i="3" s="1"/>
  <c r="AA181" i="3"/>
  <c r="AB181" i="3"/>
  <c r="AC181" i="3"/>
  <c r="AD166" i="3"/>
  <c r="AF166" i="3"/>
  <c r="A184" i="3"/>
  <c r="U184" i="3" s="1"/>
  <c r="E184" i="3"/>
  <c r="W184" i="3"/>
  <c r="X184" i="3" s="1"/>
  <c r="AA184" i="3"/>
  <c r="AB184" i="3"/>
  <c r="AC184" i="3"/>
  <c r="AD167" i="3"/>
  <c r="AF167" i="3"/>
  <c r="A199" i="3"/>
  <c r="E199" i="3"/>
  <c r="W199" i="3"/>
  <c r="X199" i="3" s="1"/>
  <c r="AA199" i="3"/>
  <c r="AB199" i="3"/>
  <c r="AC199" i="3"/>
  <c r="AD168" i="3"/>
  <c r="AF168" i="3"/>
  <c r="A214" i="3"/>
  <c r="E214" i="3"/>
  <c r="W214" i="3"/>
  <c r="X214" i="3" s="1"/>
  <c r="AA214" i="3"/>
  <c r="AB214" i="3"/>
  <c r="AC214" i="3"/>
  <c r="AD169" i="3"/>
  <c r="AF169" i="3"/>
  <c r="A229" i="3"/>
  <c r="Q229" i="3" s="1"/>
  <c r="E229" i="3"/>
  <c r="W229" i="3"/>
  <c r="X229" i="3" s="1"/>
  <c r="AA229" i="3"/>
  <c r="AB229" i="3"/>
  <c r="AC229" i="3"/>
  <c r="AD170" i="3"/>
  <c r="AF170" i="3"/>
  <c r="A244" i="3"/>
  <c r="E244" i="3"/>
  <c r="W244" i="3"/>
  <c r="X244" i="3" s="1"/>
  <c r="AA244" i="3"/>
  <c r="AB244" i="3"/>
  <c r="AC244" i="3"/>
  <c r="AD171" i="3"/>
  <c r="AF171" i="3"/>
  <c r="A259" i="3"/>
  <c r="U259" i="3" s="1"/>
  <c r="E259" i="3"/>
  <c r="W259" i="3"/>
  <c r="X259" i="3" s="1"/>
  <c r="AA259" i="3"/>
  <c r="AB259" i="3"/>
  <c r="AC259" i="3"/>
  <c r="AD172" i="3"/>
  <c r="AF172" i="3"/>
  <c r="A274" i="3"/>
  <c r="U274" i="3" s="1"/>
  <c r="E274" i="3"/>
  <c r="W274" i="3"/>
  <c r="X274" i="3" s="1"/>
  <c r="AA274" i="3"/>
  <c r="AB274" i="3"/>
  <c r="AC274" i="3"/>
  <c r="AD173" i="3"/>
  <c r="AF173" i="3"/>
  <c r="A289" i="3"/>
  <c r="Q289" i="3" s="1"/>
  <c r="E289" i="3"/>
  <c r="W289" i="3"/>
  <c r="X289" i="3" s="1"/>
  <c r="AA289" i="3"/>
  <c r="AB289" i="3"/>
  <c r="AC289" i="3"/>
  <c r="AD174" i="3"/>
  <c r="AF174" i="3"/>
  <c r="A319" i="3"/>
  <c r="Q319" i="3" s="1"/>
  <c r="E319" i="3"/>
  <c r="W319" i="3"/>
  <c r="X319" i="3" s="1"/>
  <c r="AA319" i="3"/>
  <c r="AB319" i="3"/>
  <c r="AC319" i="3"/>
  <c r="AD175" i="3"/>
  <c r="AF175" i="3"/>
  <c r="A334" i="3"/>
  <c r="U334" i="3" s="1"/>
  <c r="E334" i="3"/>
  <c r="W334" i="3"/>
  <c r="X334" i="3" s="1"/>
  <c r="AA334" i="3"/>
  <c r="AB334" i="3"/>
  <c r="AC334" i="3"/>
  <c r="AD176" i="3"/>
  <c r="AF176" i="3"/>
  <c r="A349" i="3"/>
  <c r="Q349" i="3" s="1"/>
  <c r="E349" i="3"/>
  <c r="W349" i="3"/>
  <c r="X349" i="3" s="1"/>
  <c r="AA349" i="3"/>
  <c r="AB349" i="3"/>
  <c r="AC349" i="3"/>
  <c r="AD177" i="3"/>
  <c r="AF177" i="3"/>
  <c r="A187" i="3"/>
  <c r="E187" i="3"/>
  <c r="W187" i="3"/>
  <c r="X187" i="3" s="1"/>
  <c r="AA187" i="3"/>
  <c r="AB187" i="3"/>
  <c r="AC187" i="3"/>
  <c r="AD178" i="3"/>
  <c r="AF178" i="3"/>
  <c r="A202" i="3"/>
  <c r="E202" i="3"/>
  <c r="W202" i="3"/>
  <c r="X202" i="3" s="1"/>
  <c r="AA202" i="3"/>
  <c r="AB202" i="3"/>
  <c r="AC202" i="3"/>
  <c r="AD179" i="3"/>
  <c r="AF179" i="3"/>
  <c r="A217" i="3"/>
  <c r="Q217" i="3" s="1"/>
  <c r="E217" i="3"/>
  <c r="W217" i="3"/>
  <c r="X217" i="3" s="1"/>
  <c r="AA217" i="3"/>
  <c r="AB217" i="3"/>
  <c r="AC217" i="3"/>
  <c r="AD180" i="3"/>
  <c r="AF180" i="3"/>
  <c r="A232" i="3"/>
  <c r="Q232" i="3" s="1"/>
  <c r="E232" i="3"/>
  <c r="W232" i="3"/>
  <c r="X232" i="3" s="1"/>
  <c r="AA232" i="3"/>
  <c r="AB232" i="3"/>
  <c r="AC232" i="3"/>
  <c r="AD181" i="3"/>
  <c r="AF181" i="3"/>
  <c r="A247" i="3"/>
  <c r="Q247" i="3" s="1"/>
  <c r="E247" i="3"/>
  <c r="W247" i="3"/>
  <c r="X247" i="3" s="1"/>
  <c r="AA247" i="3"/>
  <c r="AB247" i="3"/>
  <c r="AC247" i="3"/>
  <c r="AD182" i="3"/>
  <c r="AF182" i="3"/>
  <c r="A262" i="3"/>
  <c r="Q262" i="3" s="1"/>
  <c r="E262" i="3"/>
  <c r="W262" i="3"/>
  <c r="X262" i="3" s="1"/>
  <c r="AA262" i="3"/>
  <c r="AB262" i="3"/>
  <c r="AC262" i="3"/>
  <c r="AD183" i="3"/>
  <c r="AF183" i="3"/>
  <c r="A277" i="3"/>
  <c r="Q277" i="3" s="1"/>
  <c r="E277" i="3"/>
  <c r="W277" i="3"/>
  <c r="X277" i="3" s="1"/>
  <c r="AA277" i="3"/>
  <c r="AB277" i="3"/>
  <c r="AC277" i="3"/>
  <c r="AD184" i="3"/>
  <c r="AF184" i="3"/>
  <c r="A292" i="3"/>
  <c r="E292" i="3"/>
  <c r="W292" i="3"/>
  <c r="X292" i="3" s="1"/>
  <c r="AA292" i="3"/>
  <c r="AB292" i="3"/>
  <c r="AC292" i="3"/>
  <c r="AD185" i="3"/>
  <c r="AF185" i="3"/>
  <c r="A322" i="3"/>
  <c r="Q322" i="3" s="1"/>
  <c r="E322" i="3"/>
  <c r="W322" i="3"/>
  <c r="X322" i="3" s="1"/>
  <c r="AA322" i="3"/>
  <c r="AB322" i="3"/>
  <c r="AC322" i="3"/>
  <c r="AD186" i="3"/>
  <c r="AF186" i="3"/>
  <c r="A337" i="3"/>
  <c r="Q337" i="3" s="1"/>
  <c r="E337" i="3"/>
  <c r="W337" i="3"/>
  <c r="X337" i="3" s="1"/>
  <c r="AA337" i="3"/>
  <c r="AB337" i="3"/>
  <c r="AC337" i="3"/>
  <c r="AD187" i="3"/>
  <c r="AF187" i="3"/>
  <c r="A352" i="3"/>
  <c r="U352" i="3" s="1"/>
  <c r="E352" i="3"/>
  <c r="W352" i="3"/>
  <c r="X352" i="3" s="1"/>
  <c r="AA352" i="3"/>
  <c r="AB352" i="3"/>
  <c r="AC352" i="3"/>
  <c r="AD188" i="3"/>
  <c r="AF188" i="3"/>
  <c r="A190" i="3"/>
  <c r="U190" i="3" s="1"/>
  <c r="E190" i="3"/>
  <c r="W190" i="3"/>
  <c r="X190" i="3" s="1"/>
  <c r="AA190" i="3"/>
  <c r="AB190" i="3"/>
  <c r="AC190" i="3"/>
  <c r="AD189" i="3"/>
  <c r="AF189" i="3"/>
  <c r="A205" i="3"/>
  <c r="Q205" i="3" s="1"/>
  <c r="E205" i="3"/>
  <c r="W205" i="3"/>
  <c r="X205" i="3" s="1"/>
  <c r="AA205" i="3"/>
  <c r="AB205" i="3"/>
  <c r="AC205" i="3"/>
  <c r="AD190" i="3"/>
  <c r="AF190" i="3"/>
  <c r="A220" i="3"/>
  <c r="Q220" i="3" s="1"/>
  <c r="E220" i="3"/>
  <c r="W220" i="3"/>
  <c r="X220" i="3" s="1"/>
  <c r="AA220" i="3"/>
  <c r="AB220" i="3"/>
  <c r="AC220" i="3"/>
  <c r="AD191" i="3"/>
  <c r="AF191" i="3"/>
  <c r="A235" i="3"/>
  <c r="U235" i="3" s="1"/>
  <c r="E235" i="3"/>
  <c r="W235" i="3"/>
  <c r="X235" i="3" s="1"/>
  <c r="AA235" i="3"/>
  <c r="AB235" i="3"/>
  <c r="AC235" i="3"/>
  <c r="AD192" i="3"/>
  <c r="AF192" i="3"/>
  <c r="A250" i="3"/>
  <c r="U250" i="3" s="1"/>
  <c r="E250" i="3"/>
  <c r="W250" i="3"/>
  <c r="X250" i="3" s="1"/>
  <c r="AA250" i="3"/>
  <c r="AB250" i="3"/>
  <c r="AC250" i="3"/>
  <c r="AD193" i="3"/>
  <c r="AF193" i="3"/>
  <c r="A265" i="3"/>
  <c r="E265" i="3"/>
  <c r="W265" i="3"/>
  <c r="X265" i="3" s="1"/>
  <c r="AA265" i="3"/>
  <c r="AB265" i="3"/>
  <c r="AC265" i="3"/>
  <c r="AD194" i="3"/>
  <c r="AF194" i="3"/>
  <c r="A280" i="3"/>
  <c r="E280" i="3"/>
  <c r="W280" i="3"/>
  <c r="X280" i="3" s="1"/>
  <c r="AA280" i="3"/>
  <c r="AB280" i="3"/>
  <c r="AC280" i="3"/>
  <c r="AD195" i="3"/>
  <c r="AF195" i="3"/>
  <c r="A295" i="3"/>
  <c r="Q295" i="3" s="1"/>
  <c r="E295" i="3"/>
  <c r="W295" i="3"/>
  <c r="X295" i="3" s="1"/>
  <c r="AA295" i="3"/>
  <c r="AB295" i="3"/>
  <c r="AC295" i="3"/>
  <c r="AD196" i="3"/>
  <c r="AF196" i="3"/>
  <c r="A325" i="3"/>
  <c r="Q325" i="3" s="1"/>
  <c r="E325" i="3"/>
  <c r="W325" i="3"/>
  <c r="X325" i="3" s="1"/>
  <c r="AA325" i="3"/>
  <c r="AB325" i="3"/>
  <c r="AC325" i="3"/>
  <c r="AD197" i="3"/>
  <c r="AF197" i="3"/>
  <c r="A340" i="3"/>
  <c r="Q340" i="3" s="1"/>
  <c r="E340" i="3"/>
  <c r="W340" i="3"/>
  <c r="X340" i="3" s="1"/>
  <c r="AA340" i="3"/>
  <c r="AB340" i="3"/>
  <c r="AC340" i="3"/>
  <c r="AD198" i="3"/>
  <c r="AF198" i="3"/>
  <c r="A355" i="3"/>
  <c r="Q355" i="3" s="1"/>
  <c r="E355" i="3"/>
  <c r="W355" i="3"/>
  <c r="X355" i="3" s="1"/>
  <c r="AA355" i="3"/>
  <c r="AB355" i="3"/>
  <c r="AC355" i="3"/>
  <c r="AD199" i="3"/>
  <c r="AF199" i="3"/>
  <c r="A193" i="3"/>
  <c r="Q193" i="3" s="1"/>
  <c r="E193" i="3"/>
  <c r="W193" i="3"/>
  <c r="X193" i="3" s="1"/>
  <c r="AA193" i="3"/>
  <c r="AB193" i="3"/>
  <c r="AC193" i="3"/>
  <c r="AD200" i="3"/>
  <c r="AF200" i="3"/>
  <c r="A208" i="3"/>
  <c r="U208" i="3" s="1"/>
  <c r="E208" i="3"/>
  <c r="W208" i="3"/>
  <c r="X208" i="3" s="1"/>
  <c r="AA208" i="3"/>
  <c r="AB208" i="3"/>
  <c r="AC208" i="3"/>
  <c r="AD201" i="3"/>
  <c r="AF201" i="3"/>
  <c r="A223" i="3"/>
  <c r="Q223" i="3" s="1"/>
  <c r="E223" i="3"/>
  <c r="W223" i="3"/>
  <c r="X223" i="3" s="1"/>
  <c r="AA223" i="3"/>
  <c r="AB223" i="3"/>
  <c r="AC223" i="3"/>
  <c r="AD202" i="3"/>
  <c r="AF202" i="3"/>
  <c r="A238" i="3"/>
  <c r="Q238" i="3" s="1"/>
  <c r="E238" i="3"/>
  <c r="W238" i="3"/>
  <c r="X238" i="3" s="1"/>
  <c r="AA238" i="3"/>
  <c r="AB238" i="3"/>
  <c r="AC238" i="3"/>
  <c r="AD203" i="3"/>
  <c r="AF203" i="3"/>
  <c r="A253" i="3"/>
  <c r="U253" i="3" s="1"/>
  <c r="E253" i="3"/>
  <c r="W253" i="3"/>
  <c r="X253" i="3" s="1"/>
  <c r="AA253" i="3"/>
  <c r="AB253" i="3"/>
  <c r="AC253" i="3"/>
  <c r="AD204" i="3"/>
  <c r="AF204" i="3"/>
  <c r="A268" i="3"/>
  <c r="U268" i="3" s="1"/>
  <c r="E268" i="3"/>
  <c r="W268" i="3"/>
  <c r="X268" i="3" s="1"/>
  <c r="AA268" i="3"/>
  <c r="AB268" i="3"/>
  <c r="AC268" i="3"/>
  <c r="AD205" i="3"/>
  <c r="AF205" i="3"/>
  <c r="A283" i="3"/>
  <c r="Q283" i="3" s="1"/>
  <c r="E283" i="3"/>
  <c r="W283" i="3"/>
  <c r="X283" i="3" s="1"/>
  <c r="AA283" i="3"/>
  <c r="AB283" i="3"/>
  <c r="AC283" i="3"/>
  <c r="AD206" i="3"/>
  <c r="AF206" i="3"/>
  <c r="A298" i="3"/>
  <c r="Q298" i="3" s="1"/>
  <c r="E298" i="3"/>
  <c r="W298" i="3"/>
  <c r="X298" i="3" s="1"/>
  <c r="AA298" i="3"/>
  <c r="AB298" i="3"/>
  <c r="AC298" i="3"/>
  <c r="AD207" i="3"/>
  <c r="AF207" i="3"/>
  <c r="A328" i="3"/>
  <c r="Q328" i="3" s="1"/>
  <c r="E328" i="3"/>
  <c r="W328" i="3"/>
  <c r="X328" i="3" s="1"/>
  <c r="AA328" i="3"/>
  <c r="AB328" i="3"/>
  <c r="AC328" i="3"/>
  <c r="AD208" i="3"/>
  <c r="AF208" i="3"/>
  <c r="A343" i="3"/>
  <c r="U343" i="3" s="1"/>
  <c r="E343" i="3"/>
  <c r="AE324" i="3" s="1"/>
  <c r="W343" i="3"/>
  <c r="X343" i="3" s="1"/>
  <c r="AA343" i="3"/>
  <c r="AB343" i="3"/>
  <c r="AC343" i="3"/>
  <c r="AD209" i="3"/>
  <c r="AF209" i="3"/>
  <c r="A358" i="3"/>
  <c r="E358" i="3"/>
  <c r="W358" i="3"/>
  <c r="X358" i="3" s="1"/>
  <c r="AA358" i="3"/>
  <c r="AB358" i="3"/>
  <c r="AC358" i="3"/>
  <c r="AD210" i="3"/>
  <c r="AF210" i="3"/>
  <c r="A196" i="3"/>
  <c r="Q196" i="3" s="1"/>
  <c r="E196" i="3"/>
  <c r="W196" i="3"/>
  <c r="X196" i="3" s="1"/>
  <c r="AA196" i="3"/>
  <c r="AB196" i="3"/>
  <c r="AC196" i="3"/>
  <c r="AD211" i="3"/>
  <c r="AF211" i="3"/>
  <c r="A211" i="3"/>
  <c r="Q211" i="3" s="1"/>
  <c r="E211" i="3"/>
  <c r="W211" i="3"/>
  <c r="X211" i="3" s="1"/>
  <c r="AA211" i="3"/>
  <c r="AB211" i="3"/>
  <c r="AC211" i="3"/>
  <c r="AD212" i="3"/>
  <c r="AF212" i="3"/>
  <c r="A226" i="3"/>
  <c r="U226" i="3" s="1"/>
  <c r="E226" i="3"/>
  <c r="W226" i="3"/>
  <c r="X226" i="3" s="1"/>
  <c r="AA226" i="3"/>
  <c r="AB226" i="3"/>
  <c r="AC226" i="3"/>
  <c r="AD213" i="3"/>
  <c r="AF213" i="3"/>
  <c r="A241" i="3"/>
  <c r="Q241" i="3" s="1"/>
  <c r="E241" i="3"/>
  <c r="W241" i="3"/>
  <c r="X241" i="3" s="1"/>
  <c r="AA241" i="3"/>
  <c r="AB241" i="3"/>
  <c r="AC241" i="3"/>
  <c r="AD214" i="3"/>
  <c r="AF214" i="3"/>
  <c r="A256" i="3"/>
  <c r="Q256" i="3" s="1"/>
  <c r="E256" i="3"/>
  <c r="W256" i="3"/>
  <c r="X256" i="3" s="1"/>
  <c r="AA256" i="3"/>
  <c r="AB256" i="3"/>
  <c r="AC256" i="3"/>
  <c r="AD215" i="3"/>
  <c r="AF215" i="3"/>
  <c r="A271" i="3"/>
  <c r="Q271" i="3" s="1"/>
  <c r="E271" i="3"/>
  <c r="W271" i="3"/>
  <c r="X271" i="3" s="1"/>
  <c r="AA271" i="3"/>
  <c r="AB271" i="3"/>
  <c r="AC271" i="3"/>
  <c r="AD216" i="3"/>
  <c r="AF216" i="3"/>
  <c r="A286" i="3"/>
  <c r="E286" i="3"/>
  <c r="W286" i="3"/>
  <c r="X286" i="3" s="1"/>
  <c r="AA286" i="3"/>
  <c r="AB286" i="3"/>
  <c r="AC286" i="3"/>
  <c r="AD217" i="3"/>
  <c r="AF217" i="3"/>
  <c r="A301" i="3"/>
  <c r="U301" i="3" s="1"/>
  <c r="E301" i="3"/>
  <c r="W301" i="3"/>
  <c r="X301" i="3" s="1"/>
  <c r="AA301" i="3"/>
  <c r="AB301" i="3"/>
  <c r="AC301" i="3"/>
  <c r="AD218" i="3"/>
  <c r="AF218" i="3"/>
  <c r="A331" i="3"/>
  <c r="Q331" i="3" s="1"/>
  <c r="E331" i="3"/>
  <c r="W331" i="3"/>
  <c r="X331" i="3" s="1"/>
  <c r="AA331" i="3"/>
  <c r="AB331" i="3"/>
  <c r="AC331" i="3"/>
  <c r="AD219" i="3"/>
  <c r="AF219" i="3"/>
  <c r="A346" i="3"/>
  <c r="U346" i="3" s="1"/>
  <c r="E346" i="3"/>
  <c r="W346" i="3"/>
  <c r="X346" i="3" s="1"/>
  <c r="AA346" i="3"/>
  <c r="AB346" i="3"/>
  <c r="AC346" i="3"/>
  <c r="AD220" i="3"/>
  <c r="AF220" i="3"/>
  <c r="A361" i="3"/>
  <c r="U361" i="3" s="1"/>
  <c r="E361" i="3"/>
  <c r="AE361" i="3" s="1"/>
  <c r="W361" i="3"/>
  <c r="X361" i="3" s="1"/>
  <c r="AA361" i="3"/>
  <c r="AB361" i="3"/>
  <c r="AC361" i="3"/>
  <c r="AD221" i="3"/>
  <c r="AF221" i="3"/>
  <c r="AB17" i="3"/>
  <c r="AB32" i="3"/>
  <c r="AB47" i="3"/>
  <c r="AB62" i="3"/>
  <c r="AB77" i="3"/>
  <c r="AB92" i="3"/>
  <c r="AB107" i="3"/>
  <c r="AB137" i="3"/>
  <c r="AB152" i="3"/>
  <c r="AB167" i="3"/>
  <c r="AB5" i="3"/>
  <c r="AB20" i="3"/>
  <c r="AB35" i="3"/>
  <c r="AB50" i="3"/>
  <c r="AB65" i="3"/>
  <c r="AB80" i="3"/>
  <c r="AB95" i="3"/>
  <c r="AB110" i="3"/>
  <c r="AB140" i="3"/>
  <c r="AB155" i="3"/>
  <c r="AB170" i="3"/>
  <c r="AB8" i="3"/>
  <c r="AB23" i="3"/>
  <c r="AB38" i="3"/>
  <c r="AB53" i="3"/>
  <c r="AB68" i="3"/>
  <c r="AB83" i="3"/>
  <c r="AB98" i="3"/>
  <c r="AB113" i="3"/>
  <c r="AB143" i="3"/>
  <c r="AB158" i="3"/>
  <c r="AB173" i="3"/>
  <c r="AB11" i="3"/>
  <c r="AB26" i="3"/>
  <c r="AB41" i="3"/>
  <c r="AB56" i="3"/>
  <c r="AB71" i="3"/>
  <c r="AB86" i="3"/>
  <c r="AB101" i="3"/>
  <c r="AB116" i="3"/>
  <c r="AB146" i="3"/>
  <c r="AB161" i="3"/>
  <c r="AB176" i="3"/>
  <c r="AB14" i="3"/>
  <c r="AB29" i="3"/>
  <c r="AB44" i="3"/>
  <c r="AB59" i="3"/>
  <c r="AB74" i="3"/>
  <c r="AB89" i="3"/>
  <c r="AB104" i="3"/>
  <c r="AB119" i="3"/>
  <c r="AB149" i="3"/>
  <c r="AB164" i="3"/>
  <c r="AB179" i="3"/>
  <c r="AB182" i="3"/>
  <c r="AB197" i="3"/>
  <c r="AB212" i="3"/>
  <c r="AB227" i="3"/>
  <c r="AB242" i="3"/>
  <c r="AB257" i="3"/>
  <c r="AB272" i="3"/>
  <c r="AB287" i="3"/>
  <c r="AB317" i="3"/>
  <c r="AB332" i="3"/>
  <c r="AB347" i="3"/>
  <c r="AB185" i="3"/>
  <c r="AB200" i="3"/>
  <c r="AB215" i="3"/>
  <c r="AB230" i="3"/>
  <c r="AB245" i="3"/>
  <c r="AB260" i="3"/>
  <c r="AB275" i="3"/>
  <c r="AB290" i="3"/>
  <c r="AB320" i="3"/>
  <c r="AB335" i="3"/>
  <c r="AB350" i="3"/>
  <c r="AB188" i="3"/>
  <c r="AB203" i="3"/>
  <c r="AB218" i="3"/>
  <c r="AB233" i="3"/>
  <c r="AB248" i="3"/>
  <c r="AB263" i="3"/>
  <c r="AB278" i="3"/>
  <c r="AB293" i="3"/>
  <c r="AB323" i="3"/>
  <c r="AB338" i="3"/>
  <c r="AB353" i="3"/>
  <c r="AB191" i="3"/>
  <c r="AB206" i="3"/>
  <c r="AB221" i="3"/>
  <c r="AB236" i="3"/>
  <c r="AB251" i="3"/>
  <c r="AB266" i="3"/>
  <c r="AB281" i="3"/>
  <c r="AB296" i="3"/>
  <c r="AB326" i="3"/>
  <c r="AB341" i="3"/>
  <c r="AB356" i="3"/>
  <c r="AB194" i="3"/>
  <c r="AB209" i="3"/>
  <c r="AB224" i="3"/>
  <c r="AB239" i="3"/>
  <c r="AB254" i="3"/>
  <c r="AB269" i="3"/>
  <c r="AB284" i="3"/>
  <c r="AB299" i="3"/>
  <c r="AB329" i="3"/>
  <c r="AB344" i="3"/>
  <c r="AB359" i="3"/>
  <c r="AB2" i="3"/>
  <c r="W2" i="3"/>
  <c r="W17" i="3"/>
  <c r="W32" i="3"/>
  <c r="W47" i="3"/>
  <c r="W62" i="3"/>
  <c r="W77" i="3"/>
  <c r="W92" i="3"/>
  <c r="W107" i="3"/>
  <c r="W137" i="3"/>
  <c r="W152" i="3"/>
  <c r="W167" i="3"/>
  <c r="W5" i="3"/>
  <c r="W20" i="3"/>
  <c r="W35" i="3"/>
  <c r="W50" i="3"/>
  <c r="W65" i="3"/>
  <c r="W80" i="3"/>
  <c r="W95" i="3"/>
  <c r="W110" i="3"/>
  <c r="W140" i="3"/>
  <c r="W155" i="3"/>
  <c r="W170" i="3"/>
  <c r="W8" i="3"/>
  <c r="W23" i="3"/>
  <c r="W38" i="3"/>
  <c r="W53" i="3"/>
  <c r="W68" i="3"/>
  <c r="W83" i="3"/>
  <c r="W98" i="3"/>
  <c r="W113" i="3"/>
  <c r="W143" i="3"/>
  <c r="W158" i="3"/>
  <c r="W173" i="3"/>
  <c r="W11" i="3"/>
  <c r="W26" i="3"/>
  <c r="W41" i="3"/>
  <c r="W56" i="3"/>
  <c r="W71" i="3"/>
  <c r="W86" i="3"/>
  <c r="W101" i="3"/>
  <c r="W116" i="3"/>
  <c r="W146" i="3"/>
  <c r="W161" i="3"/>
  <c r="W176" i="3"/>
  <c r="W14" i="3"/>
  <c r="W29" i="3"/>
  <c r="W44" i="3"/>
  <c r="W59" i="3"/>
  <c r="W74" i="3"/>
  <c r="W89" i="3"/>
  <c r="W104" i="3"/>
  <c r="W119" i="3"/>
  <c r="W149" i="3"/>
  <c r="W164" i="3"/>
  <c r="W179" i="3"/>
  <c r="W182" i="3"/>
  <c r="X182" i="3" s="1"/>
  <c r="W197" i="3"/>
  <c r="X197" i="3" s="1"/>
  <c r="W212" i="3"/>
  <c r="X212" i="3" s="1"/>
  <c r="W227" i="3"/>
  <c r="X227" i="3" s="1"/>
  <c r="W242" i="3"/>
  <c r="X242" i="3" s="1"/>
  <c r="W257" i="3"/>
  <c r="X257" i="3" s="1"/>
  <c r="W272" i="3"/>
  <c r="X272" i="3" s="1"/>
  <c r="W287" i="3"/>
  <c r="X287" i="3" s="1"/>
  <c r="W317" i="3"/>
  <c r="X317" i="3" s="1"/>
  <c r="W332" i="3"/>
  <c r="X332" i="3" s="1"/>
  <c r="W347" i="3"/>
  <c r="X347" i="3" s="1"/>
  <c r="W185" i="3"/>
  <c r="X185" i="3" s="1"/>
  <c r="W200" i="3"/>
  <c r="X200" i="3" s="1"/>
  <c r="W215" i="3"/>
  <c r="X215" i="3" s="1"/>
  <c r="W230" i="3"/>
  <c r="X230" i="3" s="1"/>
  <c r="W245" i="3"/>
  <c r="X245" i="3" s="1"/>
  <c r="W260" i="3"/>
  <c r="X260" i="3" s="1"/>
  <c r="W275" i="3"/>
  <c r="X275" i="3" s="1"/>
  <c r="W290" i="3"/>
  <c r="X290" i="3" s="1"/>
  <c r="W320" i="3"/>
  <c r="X320" i="3" s="1"/>
  <c r="W335" i="3"/>
  <c r="X335" i="3" s="1"/>
  <c r="W350" i="3"/>
  <c r="X350" i="3" s="1"/>
  <c r="W188" i="3"/>
  <c r="X188" i="3" s="1"/>
  <c r="W203" i="3"/>
  <c r="X203" i="3" s="1"/>
  <c r="W218" i="3"/>
  <c r="X218" i="3" s="1"/>
  <c r="W233" i="3"/>
  <c r="X233" i="3" s="1"/>
  <c r="W248" i="3"/>
  <c r="X248" i="3" s="1"/>
  <c r="W263" i="3"/>
  <c r="X263" i="3" s="1"/>
  <c r="W278" i="3"/>
  <c r="X278" i="3" s="1"/>
  <c r="W293" i="3"/>
  <c r="X293" i="3" s="1"/>
  <c r="W323" i="3"/>
  <c r="X323" i="3" s="1"/>
  <c r="W338" i="3"/>
  <c r="X338" i="3" s="1"/>
  <c r="W353" i="3"/>
  <c r="X353" i="3" s="1"/>
  <c r="W191" i="3"/>
  <c r="X191" i="3" s="1"/>
  <c r="W206" i="3"/>
  <c r="X206" i="3" s="1"/>
  <c r="W221" i="3"/>
  <c r="X221" i="3" s="1"/>
  <c r="W236" i="3"/>
  <c r="X236" i="3" s="1"/>
  <c r="W251" i="3"/>
  <c r="X251" i="3" s="1"/>
  <c r="W266" i="3"/>
  <c r="X266" i="3" s="1"/>
  <c r="W281" i="3"/>
  <c r="X281" i="3" s="1"/>
  <c r="W296" i="3"/>
  <c r="X296" i="3" s="1"/>
  <c r="W326" i="3"/>
  <c r="X326" i="3" s="1"/>
  <c r="W341" i="3"/>
  <c r="X341" i="3" s="1"/>
  <c r="W356" i="3"/>
  <c r="X356" i="3" s="1"/>
  <c r="W194" i="3"/>
  <c r="X194" i="3" s="1"/>
  <c r="W209" i="3"/>
  <c r="X209" i="3" s="1"/>
  <c r="W224" i="3"/>
  <c r="X224" i="3" s="1"/>
  <c r="W239" i="3"/>
  <c r="X239" i="3" s="1"/>
  <c r="W254" i="3"/>
  <c r="X254" i="3" s="1"/>
  <c r="W269" i="3"/>
  <c r="X269" i="3" s="1"/>
  <c r="W284" i="3"/>
  <c r="X284" i="3" s="1"/>
  <c r="W299" i="3"/>
  <c r="X299" i="3" s="1"/>
  <c r="W329" i="3"/>
  <c r="X329" i="3" s="1"/>
  <c r="W344" i="3"/>
  <c r="X344" i="3" s="1"/>
  <c r="W359" i="3"/>
  <c r="X359" i="3" s="1"/>
  <c r="A17" i="3"/>
  <c r="A32" i="3"/>
  <c r="A47" i="3"/>
  <c r="A62" i="3"/>
  <c r="A77" i="3"/>
  <c r="A92" i="3"/>
  <c r="A107" i="3"/>
  <c r="A137" i="3"/>
  <c r="A152" i="3"/>
  <c r="A167" i="3"/>
  <c r="A5" i="3"/>
  <c r="A20" i="3"/>
  <c r="A35" i="3"/>
  <c r="A50" i="3"/>
  <c r="A65" i="3"/>
  <c r="A80" i="3"/>
  <c r="A95" i="3"/>
  <c r="A110" i="3"/>
  <c r="A140" i="3"/>
  <c r="A155" i="3"/>
  <c r="A170" i="3"/>
  <c r="A8" i="3"/>
  <c r="A23" i="3"/>
  <c r="A38" i="3"/>
  <c r="A53" i="3"/>
  <c r="A68" i="3"/>
  <c r="A83" i="3"/>
  <c r="A98" i="3"/>
  <c r="A113" i="3"/>
  <c r="A143" i="3"/>
  <c r="A158" i="3"/>
  <c r="A173" i="3"/>
  <c r="A11" i="3"/>
  <c r="A26" i="3"/>
  <c r="A41" i="3"/>
  <c r="A56" i="3"/>
  <c r="A71" i="3"/>
  <c r="A86" i="3"/>
  <c r="A101" i="3"/>
  <c r="A116" i="3"/>
  <c r="A146" i="3"/>
  <c r="A161" i="3"/>
  <c r="A176" i="3"/>
  <c r="A14" i="3"/>
  <c r="A29" i="3"/>
  <c r="A44" i="3"/>
  <c r="A59" i="3"/>
  <c r="A74" i="3"/>
  <c r="A89" i="3"/>
  <c r="A104" i="3"/>
  <c r="A119" i="3"/>
  <c r="A149" i="3"/>
  <c r="A164" i="3"/>
  <c r="A179" i="3"/>
  <c r="A182" i="3"/>
  <c r="Q182" i="3" s="1"/>
  <c r="A197" i="3"/>
  <c r="U197" i="3" s="1"/>
  <c r="A212" i="3"/>
  <c r="A227" i="3"/>
  <c r="A242" i="3"/>
  <c r="A257" i="3"/>
  <c r="Q257" i="3" s="1"/>
  <c r="A272" i="3"/>
  <c r="Q272" i="3" s="1"/>
  <c r="A287" i="3"/>
  <c r="A317" i="3"/>
  <c r="U317" i="3" s="1"/>
  <c r="A332" i="3"/>
  <c r="U332" i="3" s="1"/>
  <c r="A347" i="3"/>
  <c r="A185" i="3"/>
  <c r="U185" i="3" s="1"/>
  <c r="A200" i="3"/>
  <c r="A215" i="3"/>
  <c r="A230" i="3"/>
  <c r="Q230" i="3" s="1"/>
  <c r="A245" i="3"/>
  <c r="A260" i="3"/>
  <c r="U260" i="3" s="1"/>
  <c r="A275" i="3"/>
  <c r="U275" i="3" s="1"/>
  <c r="A290" i="3"/>
  <c r="Q290" i="3" s="1"/>
  <c r="A320" i="3"/>
  <c r="Q320" i="3" s="1"/>
  <c r="A335" i="3"/>
  <c r="A350" i="3"/>
  <c r="A188" i="3"/>
  <c r="Q188" i="3" s="1"/>
  <c r="A203" i="3"/>
  <c r="U203" i="3" s="1"/>
  <c r="A218" i="3"/>
  <c r="A233" i="3"/>
  <c r="U233" i="3" s="1"/>
  <c r="A248" i="3"/>
  <c r="A263" i="3"/>
  <c r="U263" i="3" s="1"/>
  <c r="A278" i="3"/>
  <c r="A293" i="3"/>
  <c r="A323" i="3"/>
  <c r="Q323" i="3" s="1"/>
  <c r="A338" i="3"/>
  <c r="A353" i="3"/>
  <c r="Q353" i="3" s="1"/>
  <c r="A191" i="3"/>
  <c r="Q191" i="3" s="1"/>
  <c r="A206" i="3"/>
  <c r="Q206" i="3" s="1"/>
  <c r="A221" i="3"/>
  <c r="A236" i="3"/>
  <c r="A251" i="3"/>
  <c r="A266" i="3"/>
  <c r="Q266" i="3" s="1"/>
  <c r="A281" i="3"/>
  <c r="Q281" i="3" s="1"/>
  <c r="A296" i="3"/>
  <c r="A326" i="3"/>
  <c r="Q326" i="3" s="1"/>
  <c r="A341" i="3"/>
  <c r="A356" i="3"/>
  <c r="U356" i="3" s="1"/>
  <c r="A194" i="3"/>
  <c r="A209" i="3"/>
  <c r="A224" i="3"/>
  <c r="Q224" i="3" s="1"/>
  <c r="A239" i="3"/>
  <c r="A254" i="3"/>
  <c r="U254" i="3" s="1"/>
  <c r="A269" i="3"/>
  <c r="Q269" i="3" s="1"/>
  <c r="A284" i="3"/>
  <c r="A299" i="3"/>
  <c r="Q299" i="3" s="1"/>
  <c r="A329" i="3"/>
  <c r="A344" i="3"/>
  <c r="A359" i="3"/>
  <c r="A2" i="3"/>
  <c r="AF111" i="3"/>
  <c r="AD111" i="3"/>
  <c r="AC359" i="3"/>
  <c r="AA359" i="3"/>
  <c r="E359" i="3"/>
  <c r="AF110" i="3"/>
  <c r="AD110" i="3"/>
  <c r="AC344" i="3"/>
  <c r="AA344" i="3"/>
  <c r="E344" i="3"/>
  <c r="AF109" i="3"/>
  <c r="AD109" i="3"/>
  <c r="AC329" i="3"/>
  <c r="AA329" i="3"/>
  <c r="E329" i="3"/>
  <c r="AF108" i="3"/>
  <c r="AD108" i="3"/>
  <c r="AC299" i="3"/>
  <c r="AA299" i="3"/>
  <c r="E299" i="3"/>
  <c r="AF107" i="3"/>
  <c r="AD107" i="3"/>
  <c r="AC284" i="3"/>
  <c r="AA284" i="3"/>
  <c r="E284" i="3"/>
  <c r="AF106" i="3"/>
  <c r="AD106" i="3"/>
  <c r="AC269" i="3"/>
  <c r="AA269" i="3"/>
  <c r="E269" i="3"/>
  <c r="AF105" i="3"/>
  <c r="AD105" i="3"/>
  <c r="AC254" i="3"/>
  <c r="AA254" i="3"/>
  <c r="E254" i="3"/>
  <c r="AF104" i="3"/>
  <c r="AD104" i="3"/>
  <c r="AC239" i="3"/>
  <c r="AA239" i="3"/>
  <c r="E239" i="3"/>
  <c r="AF103" i="3"/>
  <c r="AD103" i="3"/>
  <c r="AC224" i="3"/>
  <c r="AA224" i="3"/>
  <c r="E224" i="3"/>
  <c r="AF102" i="3"/>
  <c r="AD102" i="3"/>
  <c r="AC209" i="3"/>
  <c r="AA209" i="3"/>
  <c r="E209" i="3"/>
  <c r="AF101" i="3"/>
  <c r="AD101" i="3"/>
  <c r="AC194" i="3"/>
  <c r="AA194" i="3"/>
  <c r="E194" i="3"/>
  <c r="AF100" i="3"/>
  <c r="AD100" i="3"/>
  <c r="AC356" i="3"/>
  <c r="AA356" i="3"/>
  <c r="E356" i="3"/>
  <c r="AF99" i="3"/>
  <c r="AD99" i="3"/>
  <c r="AC341" i="3"/>
  <c r="AA341" i="3"/>
  <c r="E341" i="3"/>
  <c r="AF98" i="3"/>
  <c r="AD98" i="3"/>
  <c r="AC326" i="3"/>
  <c r="AA326" i="3"/>
  <c r="E326" i="3"/>
  <c r="AE100" i="3" s="1"/>
  <c r="AF97" i="3"/>
  <c r="AD97" i="3"/>
  <c r="AC296" i="3"/>
  <c r="AA296" i="3"/>
  <c r="E296" i="3"/>
  <c r="AF96" i="3"/>
  <c r="AD96" i="3"/>
  <c r="AC281" i="3"/>
  <c r="AA281" i="3"/>
  <c r="E281" i="3"/>
  <c r="AE70" i="3" s="1"/>
  <c r="AF95" i="3"/>
  <c r="AD95" i="3"/>
  <c r="AC266" i="3"/>
  <c r="AA266" i="3"/>
  <c r="E266" i="3"/>
  <c r="AF94" i="3"/>
  <c r="AD94" i="3"/>
  <c r="AC251" i="3"/>
  <c r="AA251" i="3"/>
  <c r="E251" i="3"/>
  <c r="AF93" i="3"/>
  <c r="AD93" i="3"/>
  <c r="AC236" i="3"/>
  <c r="AA236" i="3"/>
  <c r="E236" i="3"/>
  <c r="AF92" i="3"/>
  <c r="AD92" i="3"/>
  <c r="AC221" i="3"/>
  <c r="AA221" i="3"/>
  <c r="E221" i="3"/>
  <c r="AF91" i="3"/>
  <c r="AD91" i="3"/>
  <c r="AC206" i="3"/>
  <c r="AA206" i="3"/>
  <c r="E206" i="3"/>
  <c r="AF90" i="3"/>
  <c r="AD90" i="3"/>
  <c r="AC191" i="3"/>
  <c r="AA191" i="3"/>
  <c r="E191" i="3"/>
  <c r="AF89" i="3"/>
  <c r="AD89" i="3"/>
  <c r="AC353" i="3"/>
  <c r="AA353" i="3"/>
  <c r="E353" i="3"/>
  <c r="AF88" i="3"/>
  <c r="AD88" i="3"/>
  <c r="AC338" i="3"/>
  <c r="AA338" i="3"/>
  <c r="E338" i="3"/>
  <c r="AF87" i="3"/>
  <c r="AD87" i="3"/>
  <c r="AC323" i="3"/>
  <c r="AA323" i="3"/>
  <c r="E323" i="3"/>
  <c r="AF86" i="3"/>
  <c r="AD86" i="3"/>
  <c r="AC293" i="3"/>
  <c r="AA293" i="3"/>
  <c r="E293" i="3"/>
  <c r="AF85" i="3"/>
  <c r="AD85" i="3"/>
  <c r="AC278" i="3"/>
  <c r="AA278" i="3"/>
  <c r="E278" i="3"/>
  <c r="AE69" i="3" s="1"/>
  <c r="AF84" i="3"/>
  <c r="AD84" i="3"/>
  <c r="AC263" i="3"/>
  <c r="AA263" i="3"/>
  <c r="E263" i="3"/>
  <c r="AF83" i="3"/>
  <c r="AD83" i="3"/>
  <c r="AC248" i="3"/>
  <c r="AA248" i="3"/>
  <c r="E248" i="3"/>
  <c r="AF82" i="3"/>
  <c r="AD82" i="3"/>
  <c r="AC233" i="3"/>
  <c r="AA233" i="3"/>
  <c r="E233" i="3"/>
  <c r="AF81" i="3"/>
  <c r="AD81" i="3"/>
  <c r="AC218" i="3"/>
  <c r="AA218" i="3"/>
  <c r="E218" i="3"/>
  <c r="AF80" i="3"/>
  <c r="AD80" i="3"/>
  <c r="AC203" i="3"/>
  <c r="AA203" i="3"/>
  <c r="E203" i="3"/>
  <c r="AF79" i="3"/>
  <c r="AD79" i="3"/>
  <c r="AC188" i="3"/>
  <c r="AA188" i="3"/>
  <c r="E188" i="3"/>
  <c r="AF78" i="3"/>
  <c r="AD78" i="3"/>
  <c r="AC350" i="3"/>
  <c r="AA350" i="3"/>
  <c r="E350" i="3"/>
  <c r="AF77" i="3"/>
  <c r="AD77" i="3"/>
  <c r="AC335" i="3"/>
  <c r="AA335" i="3"/>
  <c r="E335" i="3"/>
  <c r="AF76" i="3"/>
  <c r="AD76" i="3"/>
  <c r="AC320" i="3"/>
  <c r="AA320" i="3"/>
  <c r="E320" i="3"/>
  <c r="AF75" i="3"/>
  <c r="AD75" i="3"/>
  <c r="AC290" i="3"/>
  <c r="AA290" i="3"/>
  <c r="E290" i="3"/>
  <c r="AF74" i="3"/>
  <c r="AD74" i="3"/>
  <c r="AC275" i="3"/>
  <c r="AA275" i="3"/>
  <c r="E275" i="3"/>
  <c r="AF73" i="3"/>
  <c r="AD73" i="3"/>
  <c r="AC260" i="3"/>
  <c r="AA260" i="3"/>
  <c r="E260" i="3"/>
  <c r="AF72" i="3"/>
  <c r="AD72" i="3"/>
  <c r="AC245" i="3"/>
  <c r="AA245" i="3"/>
  <c r="E245" i="3"/>
  <c r="AF71" i="3"/>
  <c r="AD71" i="3"/>
  <c r="AC230" i="3"/>
  <c r="AA230" i="3"/>
  <c r="E230" i="3"/>
  <c r="AF70" i="3"/>
  <c r="AD70" i="3"/>
  <c r="AC215" i="3"/>
  <c r="AA215" i="3"/>
  <c r="E215" i="3"/>
  <c r="AF69" i="3"/>
  <c r="AD69" i="3"/>
  <c r="AC200" i="3"/>
  <c r="AA200" i="3"/>
  <c r="E200" i="3"/>
  <c r="AF68" i="3"/>
  <c r="AD68" i="3"/>
  <c r="AC185" i="3"/>
  <c r="AA185" i="3"/>
  <c r="E185" i="3"/>
  <c r="AF67" i="3"/>
  <c r="AD67" i="3"/>
  <c r="AC347" i="3"/>
  <c r="AA347" i="3"/>
  <c r="E347" i="3"/>
  <c r="AF66" i="3"/>
  <c r="AD66" i="3"/>
  <c r="AC332" i="3"/>
  <c r="AA332" i="3"/>
  <c r="E332" i="3"/>
  <c r="AF65" i="3"/>
  <c r="AD65" i="3"/>
  <c r="AC317" i="3"/>
  <c r="AA317" i="3"/>
  <c r="E317" i="3"/>
  <c r="AF64" i="3"/>
  <c r="AD64" i="3"/>
  <c r="AC287" i="3"/>
  <c r="AA287" i="3"/>
  <c r="E287" i="3"/>
  <c r="AF63" i="3"/>
  <c r="AD63" i="3"/>
  <c r="AC272" i="3"/>
  <c r="AA272" i="3"/>
  <c r="E272" i="3"/>
  <c r="AF62" i="3"/>
  <c r="AD62" i="3"/>
  <c r="AC257" i="3"/>
  <c r="AA257" i="3"/>
  <c r="E257" i="3"/>
  <c r="AF61" i="3"/>
  <c r="AD61" i="3"/>
  <c r="AC242" i="3"/>
  <c r="AA242" i="3"/>
  <c r="E242" i="3"/>
  <c r="AF60" i="3"/>
  <c r="AD60" i="3"/>
  <c r="AC227" i="3"/>
  <c r="AA227" i="3"/>
  <c r="E227" i="3"/>
  <c r="AF59" i="3"/>
  <c r="AD59" i="3"/>
  <c r="AC212" i="3"/>
  <c r="AA212" i="3"/>
  <c r="E212" i="3"/>
  <c r="AF58" i="3"/>
  <c r="AD58" i="3"/>
  <c r="AC197" i="3"/>
  <c r="AA197" i="3"/>
  <c r="E197" i="3"/>
  <c r="AF57" i="3"/>
  <c r="AD57" i="3"/>
  <c r="AC182" i="3"/>
  <c r="AA182" i="3"/>
  <c r="E182" i="3"/>
  <c r="AE202" i="3" l="1"/>
  <c r="AE274" i="3"/>
  <c r="AE261" i="3"/>
  <c r="AE268" i="3"/>
  <c r="AE286" i="3"/>
  <c r="AE266" i="3"/>
  <c r="AE275" i="3"/>
  <c r="AE334" i="3"/>
  <c r="AE262" i="3"/>
  <c r="AE121" i="3"/>
  <c r="AE132" i="3"/>
  <c r="AE192" i="3"/>
  <c r="AE163" i="3"/>
  <c r="AE183" i="3"/>
  <c r="AE213" i="3"/>
  <c r="AE233" i="3"/>
  <c r="AE154" i="3"/>
  <c r="AE185" i="3"/>
  <c r="AE235" i="3"/>
  <c r="AE136" i="3"/>
  <c r="AE196" i="3"/>
  <c r="AE226" i="3"/>
  <c r="AE203" i="3"/>
  <c r="AE323" i="3"/>
  <c r="AE325" i="3"/>
  <c r="AE304" i="3"/>
  <c r="AE343" i="3"/>
  <c r="AE313" i="3"/>
  <c r="AE322" i="3"/>
  <c r="AE214" i="3"/>
  <c r="AE195" i="3"/>
  <c r="AE166" i="3"/>
  <c r="AE238" i="3"/>
  <c r="AE331" i="3"/>
  <c r="AE273" i="3"/>
  <c r="AE232" i="3"/>
  <c r="AE234" i="3"/>
  <c r="AE165" i="3"/>
  <c r="AE205" i="3"/>
  <c r="AE260" i="3"/>
  <c r="AE339" i="3"/>
  <c r="AE309" i="3"/>
  <c r="AE318" i="3"/>
  <c r="AE267" i="3"/>
  <c r="AE316" i="3"/>
  <c r="AE276" i="3"/>
  <c r="AE256" i="3"/>
  <c r="AE355" i="3"/>
  <c r="AE335" i="3"/>
  <c r="AE305" i="3"/>
  <c r="AE285" i="3"/>
  <c r="AE254" i="3"/>
  <c r="AE353" i="3"/>
  <c r="AE333" i="3"/>
  <c r="AE303" i="3"/>
  <c r="AE283" i="3"/>
  <c r="AE263" i="3"/>
  <c r="AE243" i="3"/>
  <c r="AE342" i="3"/>
  <c r="AE312" i="3"/>
  <c r="AE172" i="3"/>
  <c r="AE123" i="3"/>
  <c r="AE174" i="3"/>
  <c r="AE125" i="3"/>
  <c r="AE145" i="3"/>
  <c r="AE215" i="3"/>
  <c r="AE82" i="3"/>
  <c r="AE336" i="3"/>
  <c r="AE246" i="3"/>
  <c r="AE315" i="3"/>
  <c r="AE255" i="3"/>
  <c r="AE354" i="3"/>
  <c r="AE264" i="3"/>
  <c r="AE244" i="3"/>
  <c r="AE253" i="3"/>
  <c r="AE352" i="3"/>
  <c r="AE282" i="3"/>
  <c r="AE242" i="3"/>
  <c r="AE287" i="3"/>
  <c r="AE265" i="3"/>
  <c r="AE142" i="3"/>
  <c r="AE133" i="3"/>
  <c r="AE193" i="3"/>
  <c r="AE124" i="3"/>
  <c r="AE144" i="3"/>
  <c r="AE184" i="3"/>
  <c r="AE135" i="3"/>
  <c r="AE175" i="3"/>
  <c r="AE126" i="3"/>
  <c r="AE186" i="3"/>
  <c r="AE216" i="3"/>
  <c r="AE330" i="3"/>
  <c r="AE245" i="3"/>
  <c r="AE252" i="3"/>
  <c r="AE311" i="3"/>
  <c r="AE271" i="3"/>
  <c r="AE251" i="3"/>
  <c r="AE269" i="3"/>
  <c r="AE249" i="3"/>
  <c r="AE348" i="3"/>
  <c r="AE298" i="3"/>
  <c r="AE258" i="3"/>
  <c r="AE247" i="3"/>
  <c r="AE99" i="3"/>
  <c r="AE241" i="3"/>
  <c r="AE341" i="3"/>
  <c r="AE280" i="3"/>
  <c r="AE357" i="3"/>
  <c r="AE337" i="3"/>
  <c r="AE307" i="3"/>
  <c r="AE138" i="3"/>
  <c r="AE178" i="3"/>
  <c r="AE129" i="3"/>
  <c r="AE189" i="3"/>
  <c r="AE131" i="3"/>
  <c r="AE191" i="3"/>
  <c r="AE211" i="3"/>
  <c r="AE118" i="3"/>
  <c r="AE108" i="3"/>
  <c r="AE109" i="3"/>
  <c r="AE321" i="3"/>
  <c r="AE319" i="3"/>
  <c r="AE358" i="3"/>
  <c r="AE91" i="3"/>
  <c r="AE198" i="3"/>
  <c r="AE160" i="3"/>
  <c r="AE169" i="3"/>
  <c r="AE171" i="3"/>
  <c r="AE209" i="3"/>
  <c r="AE97" i="3"/>
  <c r="AE289" i="3"/>
  <c r="AE239" i="3"/>
  <c r="AE180" i="3"/>
  <c r="AE120" i="3"/>
  <c r="AE111" i="3"/>
  <c r="AE329" i="3"/>
  <c r="AE351" i="3"/>
  <c r="AE281" i="3"/>
  <c r="AE360" i="3"/>
  <c r="AE340" i="3"/>
  <c r="AE310" i="3"/>
  <c r="AE270" i="3"/>
  <c r="AE250" i="3"/>
  <c r="AE349" i="3"/>
  <c r="AE279" i="3"/>
  <c r="AE259" i="3"/>
  <c r="AE288" i="3"/>
  <c r="AE248" i="3"/>
  <c r="AE347" i="3"/>
  <c r="AE317" i="3"/>
  <c r="AE197" i="3"/>
  <c r="AE168" i="3"/>
  <c r="AE139" i="3"/>
  <c r="AE159" i="3"/>
  <c r="AE199" i="3"/>
  <c r="AE130" i="3"/>
  <c r="AE190" i="3"/>
  <c r="AE240" i="3"/>
  <c r="AE141" i="3"/>
  <c r="AE181" i="3"/>
  <c r="AE201" i="3"/>
  <c r="AE231" i="3"/>
  <c r="AE328" i="3"/>
  <c r="AE210" i="3"/>
  <c r="AE88" i="3"/>
  <c r="AE359" i="3"/>
  <c r="AE90" i="3"/>
  <c r="AE117" i="3"/>
  <c r="AE208" i="3"/>
  <c r="AE127" i="3"/>
  <c r="AE187" i="3"/>
  <c r="AE217" i="3"/>
  <c r="AE237" i="3"/>
  <c r="AE277" i="3"/>
  <c r="AE177" i="3"/>
  <c r="AE87" i="3"/>
  <c r="AE207" i="3"/>
  <c r="AE67" i="3"/>
  <c r="AE327" i="3"/>
  <c r="T199" i="3"/>
  <c r="AE257" i="3"/>
  <c r="AG347" i="3"/>
  <c r="AG340" i="3"/>
  <c r="AG358" i="3"/>
  <c r="AG229" i="3"/>
  <c r="AG351" i="3"/>
  <c r="AG333" i="3"/>
  <c r="AG360" i="3"/>
  <c r="AG344" i="3"/>
  <c r="AG356" i="3"/>
  <c r="AG354" i="3"/>
  <c r="AG359" i="3"/>
  <c r="AG350" i="3"/>
  <c r="AG355" i="3"/>
  <c r="AG357" i="3"/>
  <c r="AG352" i="3"/>
  <c r="AG341" i="3"/>
  <c r="AG348" i="3"/>
  <c r="AG338" i="3"/>
  <c r="AG337" i="3"/>
  <c r="AG163" i="3"/>
  <c r="AG332" i="3"/>
  <c r="AG346" i="3"/>
  <c r="AG342" i="3"/>
  <c r="AG345" i="3"/>
  <c r="AG336" i="3"/>
  <c r="AG349" i="3"/>
  <c r="AG361" i="3"/>
  <c r="AG334" i="3"/>
  <c r="AG339" i="3"/>
  <c r="AG133" i="3"/>
  <c r="AG335" i="3"/>
  <c r="AG192" i="3"/>
  <c r="AG343" i="3"/>
  <c r="AG353" i="3"/>
  <c r="AG174" i="3"/>
  <c r="AG194" i="3"/>
  <c r="V139" i="3"/>
  <c r="V64" i="3"/>
  <c r="T4" i="3"/>
  <c r="V215" i="3"/>
  <c r="V287" i="3"/>
  <c r="V203" i="3"/>
  <c r="V281" i="3"/>
  <c r="T361" i="3"/>
  <c r="V331" i="3"/>
  <c r="T286" i="3"/>
  <c r="T256" i="3"/>
  <c r="T343" i="3"/>
  <c r="V298" i="3"/>
  <c r="T268" i="3"/>
  <c r="V238" i="3"/>
  <c r="T208" i="3"/>
  <c r="V355" i="3"/>
  <c r="T250" i="3"/>
  <c r="T220" i="3"/>
  <c r="T190" i="3"/>
  <c r="V337" i="3"/>
  <c r="V292" i="3"/>
  <c r="T262" i="3"/>
  <c r="T349" i="3"/>
  <c r="V319" i="3"/>
  <c r="T274" i="3"/>
  <c r="V244" i="3"/>
  <c r="T214" i="3"/>
  <c r="T91" i="3"/>
  <c r="T13" i="3"/>
  <c r="T37" i="3"/>
  <c r="V7" i="3"/>
  <c r="V109" i="3"/>
  <c r="V49" i="3"/>
  <c r="T19" i="3"/>
  <c r="T184" i="3"/>
  <c r="T115" i="3"/>
  <c r="T55" i="3"/>
  <c r="T142" i="3"/>
  <c r="T275" i="3"/>
  <c r="T31" i="3"/>
  <c r="V85" i="3"/>
  <c r="T25" i="3"/>
  <c r="T97" i="3"/>
  <c r="T197" i="3"/>
  <c r="T317" i="3"/>
  <c r="T218" i="3"/>
  <c r="V296" i="3"/>
  <c r="T350" i="3"/>
  <c r="V103" i="3"/>
  <c r="T269" i="3"/>
  <c r="V206" i="3"/>
  <c r="V245" i="3"/>
  <c r="V338" i="3"/>
  <c r="V239" i="3"/>
  <c r="V346" i="3"/>
  <c r="T301" i="3"/>
  <c r="T271" i="3"/>
  <c r="T211" i="3"/>
  <c r="T358" i="3"/>
  <c r="T328" i="3"/>
  <c r="T283" i="3"/>
  <c r="V253" i="3"/>
  <c r="T223" i="3"/>
  <c r="T193" i="3"/>
  <c r="V340" i="3"/>
  <c r="T295" i="3"/>
  <c r="T235" i="3"/>
  <c r="T205" i="3"/>
  <c r="V352" i="3"/>
  <c r="V322" i="3"/>
  <c r="V277" i="3"/>
  <c r="V247" i="3"/>
  <c r="V217" i="3"/>
  <c r="T334" i="3"/>
  <c r="T289" i="3"/>
  <c r="V259" i="3"/>
  <c r="T169" i="3"/>
  <c r="V293" i="3"/>
  <c r="T61" i="3"/>
  <c r="T43" i="3"/>
  <c r="T191" i="3"/>
  <c r="V67" i="3"/>
  <c r="V199" i="3"/>
  <c r="T76" i="3"/>
  <c r="V16" i="3"/>
  <c r="V88" i="3"/>
  <c r="T58" i="3"/>
  <c r="T28" i="3"/>
  <c r="T175" i="3"/>
  <c r="T145" i="3"/>
  <c r="V100" i="3"/>
  <c r="T40" i="3"/>
  <c r="T10" i="3"/>
  <c r="V157" i="3"/>
  <c r="T82" i="3"/>
  <c r="V178" i="3"/>
  <c r="T160" i="3"/>
  <c r="T52" i="3"/>
  <c r="V22" i="3"/>
  <c r="T319" i="3"/>
  <c r="T93" i="3"/>
  <c r="V138" i="3"/>
  <c r="T168" i="3"/>
  <c r="V111" i="3"/>
  <c r="T144" i="3"/>
  <c r="T174" i="3"/>
  <c r="T117" i="3"/>
  <c r="T162" i="3"/>
  <c r="V105" i="3"/>
  <c r="V180" i="3"/>
  <c r="T333" i="3"/>
  <c r="T276" i="3"/>
  <c r="V351" i="3"/>
  <c r="V339" i="3"/>
  <c r="T282" i="3"/>
  <c r="T327" i="3"/>
  <c r="V357" i="3"/>
  <c r="T109" i="3"/>
  <c r="T108" i="3"/>
  <c r="V96" i="3"/>
  <c r="V159" i="3"/>
  <c r="T102" i="3"/>
  <c r="V165" i="3"/>
  <c r="T273" i="3"/>
  <c r="V318" i="3"/>
  <c r="V348" i="3"/>
  <c r="V336" i="3"/>
  <c r="V324" i="3"/>
  <c r="T354" i="3"/>
  <c r="V342" i="3"/>
  <c r="V33" i="3"/>
  <c r="V9" i="3"/>
  <c r="T69" i="3"/>
  <c r="V27" i="3"/>
  <c r="V15" i="3"/>
  <c r="T198" i="3"/>
  <c r="V258" i="3"/>
  <c r="V186" i="3"/>
  <c r="V246" i="3"/>
  <c r="V264" i="3"/>
  <c r="V240" i="3"/>
  <c r="T51" i="3"/>
  <c r="V39" i="3"/>
  <c r="T87" i="3"/>
  <c r="T75" i="3"/>
  <c r="V228" i="3"/>
  <c r="T234" i="3"/>
  <c r="T192" i="3"/>
  <c r="V270" i="3"/>
  <c r="T81" i="3"/>
  <c r="AG59" i="3"/>
  <c r="AG208" i="3"/>
  <c r="T3" i="3"/>
  <c r="V252" i="3"/>
  <c r="V18" i="3"/>
  <c r="V48" i="3"/>
  <c r="V6" i="3"/>
  <c r="T24" i="3"/>
  <c r="V12" i="3"/>
  <c r="V72" i="3"/>
  <c r="T30" i="3"/>
  <c r="V90" i="3"/>
  <c r="T183" i="3"/>
  <c r="V243" i="3"/>
  <c r="V231" i="3"/>
  <c r="T261" i="3"/>
  <c r="V249" i="3"/>
  <c r="V225" i="3"/>
  <c r="T255" i="3"/>
  <c r="AG195" i="3"/>
  <c r="T204" i="3"/>
  <c r="AG209" i="3"/>
  <c r="AG181" i="3"/>
  <c r="AG171" i="3"/>
  <c r="V295" i="3"/>
  <c r="Q334" i="3"/>
  <c r="AG200" i="3"/>
  <c r="AG92" i="3"/>
  <c r="AG69" i="3"/>
  <c r="AG123" i="3"/>
  <c r="V28" i="3"/>
  <c r="AG180" i="3"/>
  <c r="V193" i="3"/>
  <c r="U355" i="3"/>
  <c r="U271" i="3"/>
  <c r="Q172" i="3"/>
  <c r="AG85" i="3"/>
  <c r="V175" i="3"/>
  <c r="T322" i="3"/>
  <c r="T49" i="3"/>
  <c r="AG224" i="3"/>
  <c r="T259" i="3"/>
  <c r="AG169" i="3"/>
  <c r="V271" i="3"/>
  <c r="AG138" i="3"/>
  <c r="T138" i="3"/>
  <c r="V24" i="3"/>
  <c r="V328" i="3"/>
  <c r="T247" i="3"/>
  <c r="T88" i="3"/>
  <c r="AG126" i="3"/>
  <c r="AG73" i="3"/>
  <c r="AG216" i="3"/>
  <c r="AG99" i="3"/>
  <c r="AG83" i="3"/>
  <c r="U256" i="3"/>
  <c r="U193" i="3"/>
  <c r="V187" i="3"/>
  <c r="Q85" i="3"/>
  <c r="T249" i="3"/>
  <c r="U121" i="3"/>
  <c r="U40" i="3"/>
  <c r="AG152" i="3"/>
  <c r="AG64" i="3"/>
  <c r="Q208" i="3"/>
  <c r="V220" i="3"/>
  <c r="T121" i="3"/>
  <c r="U103" i="3"/>
  <c r="T292" i="3"/>
  <c r="AG78" i="3"/>
  <c r="AG153" i="3"/>
  <c r="Q226" i="3"/>
  <c r="AG185" i="3"/>
  <c r="V55" i="3"/>
  <c r="U10" i="3"/>
  <c r="AG74" i="3"/>
  <c r="AG217" i="3"/>
  <c r="AG107" i="3"/>
  <c r="AG218" i="3"/>
  <c r="T67" i="3"/>
  <c r="T18" i="3"/>
  <c r="AG263" i="3"/>
  <c r="T15" i="3"/>
  <c r="AG198" i="3"/>
  <c r="AG117" i="3"/>
  <c r="AG323" i="3"/>
  <c r="V286" i="3"/>
  <c r="V208" i="3"/>
  <c r="V334" i="3"/>
  <c r="V61" i="3"/>
  <c r="AG137" i="3"/>
  <c r="T253" i="3"/>
  <c r="V276" i="3"/>
  <c r="U353" i="3"/>
  <c r="V87" i="3"/>
  <c r="AG121" i="3"/>
  <c r="V265" i="3"/>
  <c r="AG101" i="3"/>
  <c r="Q301" i="3"/>
  <c r="T265" i="3"/>
  <c r="T217" i="3"/>
  <c r="Q184" i="3"/>
  <c r="V37" i="3"/>
  <c r="V169" i="3"/>
  <c r="V93" i="3"/>
  <c r="Q153" i="3"/>
  <c r="Q21" i="3"/>
  <c r="AG248" i="3"/>
  <c r="AG258" i="3"/>
  <c r="T264" i="3"/>
  <c r="AG319" i="3"/>
  <c r="V31" i="3"/>
  <c r="Q48" i="3"/>
  <c r="U153" i="3"/>
  <c r="U232" i="3"/>
  <c r="U109" i="3"/>
  <c r="AG178" i="3"/>
  <c r="AG154" i="3"/>
  <c r="U196" i="3"/>
  <c r="U280" i="3"/>
  <c r="V40" i="3"/>
  <c r="AG250" i="3"/>
  <c r="V198" i="3"/>
  <c r="T246" i="3"/>
  <c r="V345" i="3"/>
  <c r="V168" i="3"/>
  <c r="Q54" i="3"/>
  <c r="Q99" i="3"/>
  <c r="V213" i="3"/>
  <c r="T355" i="3"/>
  <c r="V151" i="3"/>
  <c r="V76" i="3"/>
  <c r="U118" i="3"/>
  <c r="U139" i="3"/>
  <c r="T99" i="3"/>
  <c r="V147" i="3"/>
  <c r="AG266" i="3"/>
  <c r="V291" i="3"/>
  <c r="AG329" i="3"/>
  <c r="Q120" i="3"/>
  <c r="T345" i="3"/>
  <c r="AG282" i="3"/>
  <c r="Q291" i="3"/>
  <c r="AG60" i="3"/>
  <c r="T346" i="3"/>
  <c r="Q274" i="3"/>
  <c r="T151" i="3"/>
  <c r="AG162" i="3"/>
  <c r="Q76" i="3"/>
  <c r="V25" i="3"/>
  <c r="T105" i="3"/>
  <c r="Q318" i="3"/>
  <c r="T357" i="3"/>
  <c r="AG76" i="3"/>
  <c r="AG179" i="3"/>
  <c r="T213" i="3"/>
  <c r="U191" i="3"/>
  <c r="V223" i="3"/>
  <c r="U349" i="3"/>
  <c r="U148" i="3"/>
  <c r="U154" i="3"/>
  <c r="AG281" i="3"/>
  <c r="T321" i="3"/>
  <c r="AG67" i="3"/>
  <c r="AG199" i="3"/>
  <c r="Q237" i="3"/>
  <c r="V108" i="3"/>
  <c r="AG116" i="3"/>
  <c r="V117" i="3"/>
  <c r="T243" i="3"/>
  <c r="T342" i="3"/>
  <c r="AG328" i="3"/>
  <c r="Q33" i="3"/>
  <c r="T177" i="3"/>
  <c r="AG318" i="3"/>
  <c r="AG302" i="3"/>
  <c r="AG322" i="3"/>
  <c r="Q260" i="3"/>
  <c r="AG81" i="3"/>
  <c r="AG170" i="3"/>
  <c r="V181" i="3"/>
  <c r="U163" i="3"/>
  <c r="V177" i="3"/>
  <c r="T336" i="3"/>
  <c r="AG312" i="3"/>
  <c r="U300" i="3"/>
  <c r="AG331" i="3"/>
  <c r="V301" i="3"/>
  <c r="U286" i="3"/>
  <c r="U244" i="3"/>
  <c r="V184" i="3"/>
  <c r="T181" i="3"/>
  <c r="V94" i="3"/>
  <c r="AG238" i="3"/>
  <c r="Q42" i="3"/>
  <c r="V102" i="3"/>
  <c r="AG94" i="3"/>
  <c r="Q244" i="3"/>
  <c r="U46" i="3"/>
  <c r="AG145" i="3"/>
  <c r="AG251" i="3"/>
  <c r="AG264" i="3"/>
  <c r="AG222" i="3"/>
  <c r="Q275" i="3"/>
  <c r="V262" i="3"/>
  <c r="AG58" i="3"/>
  <c r="AG77" i="3"/>
  <c r="AG139" i="3"/>
  <c r="AG142" i="3"/>
  <c r="U49" i="3"/>
  <c r="U18" i="3"/>
  <c r="AG283" i="3"/>
  <c r="AG296" i="3"/>
  <c r="AG330" i="3"/>
  <c r="T84" i="3"/>
  <c r="T298" i="3"/>
  <c r="AG149" i="3"/>
  <c r="Q7" i="3"/>
  <c r="T153" i="3"/>
  <c r="V84" i="3"/>
  <c r="Q27" i="3"/>
  <c r="AG295" i="3"/>
  <c r="Q222" i="3"/>
  <c r="T237" i="3"/>
  <c r="V163" i="3"/>
  <c r="AG144" i="3"/>
  <c r="T27" i="3"/>
  <c r="T222" i="3"/>
  <c r="AG97" i="3"/>
  <c r="V235" i="3"/>
  <c r="AG131" i="3"/>
  <c r="V79" i="3"/>
  <c r="AG235" i="3"/>
  <c r="U321" i="3"/>
  <c r="T207" i="3"/>
  <c r="U222" i="3"/>
  <c r="V237" i="3"/>
  <c r="Q197" i="3"/>
  <c r="AG63" i="3"/>
  <c r="V241" i="3"/>
  <c r="AG213" i="3"/>
  <c r="T163" i="3"/>
  <c r="T148" i="3"/>
  <c r="T118" i="3"/>
  <c r="T103" i="3"/>
  <c r="V172" i="3"/>
  <c r="T157" i="3"/>
  <c r="U79" i="3"/>
  <c r="T64" i="3"/>
  <c r="T33" i="3"/>
  <c r="T48" i="3"/>
  <c r="AG242" i="3"/>
  <c r="T12" i="3"/>
  <c r="T180" i="3"/>
  <c r="Q258" i="3"/>
  <c r="T291" i="3"/>
  <c r="V321" i="3"/>
  <c r="U207" i="3"/>
  <c r="V222" i="3"/>
  <c r="Q300" i="3"/>
  <c r="V330" i="3"/>
  <c r="V148" i="3"/>
  <c r="V118" i="3"/>
  <c r="V183" i="3"/>
  <c r="T227" i="3"/>
  <c r="U138" i="3"/>
  <c r="V153" i="3"/>
  <c r="T330" i="3"/>
  <c r="AG111" i="3"/>
  <c r="V256" i="3"/>
  <c r="T241" i="3"/>
  <c r="Q343" i="3"/>
  <c r="AG197" i="3"/>
  <c r="Q250" i="3"/>
  <c r="Q235" i="3"/>
  <c r="AG190" i="3"/>
  <c r="T352" i="3"/>
  <c r="V10" i="3"/>
  <c r="Q157" i="3"/>
  <c r="Q79" i="3"/>
  <c r="Q64" i="3"/>
  <c r="Q4" i="3"/>
  <c r="AG227" i="3"/>
  <c r="AG234" i="3"/>
  <c r="AG247" i="3"/>
  <c r="V69" i="3"/>
  <c r="Q105" i="3"/>
  <c r="T258" i="3"/>
  <c r="U291" i="3"/>
  <c r="AG299" i="3"/>
  <c r="AG306" i="3"/>
  <c r="V207" i="3"/>
  <c r="Q282" i="3"/>
  <c r="Q357" i="3"/>
  <c r="T300" i="3"/>
  <c r="AG109" i="3"/>
  <c r="AG93" i="3"/>
  <c r="AG61" i="3"/>
  <c r="V358" i="3"/>
  <c r="T340" i="3"/>
  <c r="T277" i="3"/>
  <c r="AG182" i="3"/>
  <c r="T187" i="3"/>
  <c r="V274" i="3"/>
  <c r="AG164" i="3"/>
  <c r="AG155" i="3"/>
  <c r="V115" i="3"/>
  <c r="T94" i="3"/>
  <c r="AG275" i="3"/>
  <c r="AG293" i="3"/>
  <c r="V192" i="3"/>
  <c r="T285" i="3"/>
  <c r="V300" i="3"/>
  <c r="T348" i="3"/>
  <c r="AG151" i="3"/>
  <c r="T21" i="3"/>
  <c r="AG245" i="3"/>
  <c r="T54" i="3"/>
  <c r="Q162" i="3"/>
  <c r="AG309" i="3"/>
  <c r="AG315" i="3"/>
  <c r="V285" i="3"/>
  <c r="AG106" i="3"/>
  <c r="AG226" i="3"/>
  <c r="T39" i="3"/>
  <c r="U162" i="3"/>
  <c r="T45" i="3"/>
  <c r="T90" i="3"/>
  <c r="AG280" i="3"/>
  <c r="AG291" i="3"/>
  <c r="V261" i="3"/>
  <c r="AG298" i="3"/>
  <c r="AG168" i="3"/>
  <c r="AG215" i="3"/>
  <c r="AG210" i="3"/>
  <c r="Q190" i="3"/>
  <c r="Q202" i="3"/>
  <c r="U91" i="3"/>
  <c r="Q43" i="3"/>
  <c r="U145" i="3"/>
  <c r="T154" i="3"/>
  <c r="T139" i="3"/>
  <c r="V3" i="3"/>
  <c r="T6" i="3"/>
  <c r="V21" i="3"/>
  <c r="AG243" i="3"/>
  <c r="Q24" i="3"/>
  <c r="U39" i="3"/>
  <c r="V54" i="3"/>
  <c r="V162" i="3"/>
  <c r="AG279" i="3"/>
  <c r="AG287" i="3"/>
  <c r="V354" i="3"/>
  <c r="AG201" i="3"/>
  <c r="V214" i="3"/>
  <c r="U199" i="3"/>
  <c r="V70" i="3"/>
  <c r="U55" i="3"/>
  <c r="AG135" i="3"/>
  <c r="U6" i="3"/>
  <c r="T66" i="3"/>
  <c r="AG239" i="3"/>
  <c r="Q141" i="3"/>
  <c r="U24" i="3"/>
  <c r="T147" i="3"/>
  <c r="T228" i="3"/>
  <c r="T351" i="3"/>
  <c r="U327" i="3"/>
  <c r="U270" i="3"/>
  <c r="AG277" i="3"/>
  <c r="AG110" i="3"/>
  <c r="V58" i="3"/>
  <c r="U70" i="3"/>
  <c r="AG232" i="3"/>
  <c r="AG267" i="3"/>
  <c r="AG314" i="3"/>
  <c r="AG88" i="3"/>
  <c r="AG211" i="3"/>
  <c r="V160" i="3"/>
  <c r="T70" i="3"/>
  <c r="V112" i="3"/>
  <c r="T9" i="3"/>
  <c r="AG252" i="3"/>
  <c r="AG261" i="3"/>
  <c r="T288" i="3"/>
  <c r="T186" i="3"/>
  <c r="AG290" i="3"/>
  <c r="AG297" i="3"/>
  <c r="T339" i="3"/>
  <c r="V317" i="3"/>
  <c r="Q254" i="3"/>
  <c r="AG104" i="3"/>
  <c r="AG72" i="3"/>
  <c r="V229" i="3"/>
  <c r="U214" i="3"/>
  <c r="U229" i="3"/>
  <c r="Q199" i="3"/>
  <c r="V106" i="3"/>
  <c r="AG160" i="3"/>
  <c r="Q55" i="3"/>
  <c r="AG90" i="3"/>
  <c r="AG102" i="3"/>
  <c r="AG86" i="3"/>
  <c r="AG70" i="3"/>
  <c r="AG219" i="3"/>
  <c r="V211" i="3"/>
  <c r="T229" i="3"/>
  <c r="Q214" i="3"/>
  <c r="AG167" i="3"/>
  <c r="T106" i="3"/>
  <c r="U73" i="3"/>
  <c r="Q58" i="3"/>
  <c r="Q70" i="3"/>
  <c r="AG136" i="3"/>
  <c r="T112" i="3"/>
  <c r="AG120" i="3"/>
  <c r="AG119" i="3"/>
  <c r="V34" i="3"/>
  <c r="AG231" i="3"/>
  <c r="U168" i="3"/>
  <c r="T111" i="3"/>
  <c r="V99" i="3"/>
  <c r="U117" i="3"/>
  <c r="U213" i="3"/>
  <c r="Q264" i="3"/>
  <c r="AG313" i="3"/>
  <c r="T252" i="3"/>
  <c r="V255" i="3"/>
  <c r="AG202" i="3"/>
  <c r="AG184" i="3"/>
  <c r="AG176" i="3"/>
  <c r="AG165" i="3"/>
  <c r="AG146" i="3"/>
  <c r="Q268" i="3"/>
  <c r="AG187" i="3"/>
  <c r="AG128" i="3"/>
  <c r="AG122" i="3"/>
  <c r="Q280" i="3"/>
  <c r="AG193" i="3"/>
  <c r="U202" i="3"/>
  <c r="AG166" i="3"/>
  <c r="U178" i="3"/>
  <c r="AG148" i="3"/>
  <c r="AG147" i="3"/>
  <c r="U142" i="3"/>
  <c r="AG112" i="3"/>
  <c r="AG203" i="3"/>
  <c r="AG177" i="3"/>
  <c r="AG140" i="3"/>
  <c r="AG204" i="3"/>
  <c r="U325" i="3"/>
  <c r="AG158" i="3"/>
  <c r="AG129" i="3"/>
  <c r="AG186" i="3"/>
  <c r="AG205" i="3"/>
  <c r="AG159" i="3"/>
  <c r="AG150" i="3"/>
  <c r="AG113" i="3"/>
  <c r="AG175" i="3"/>
  <c r="AG212" i="3"/>
  <c r="U175" i="3"/>
  <c r="AG130" i="3"/>
  <c r="U94" i="3"/>
  <c r="U289" i="3"/>
  <c r="U13" i="3"/>
  <c r="Q175" i="3"/>
  <c r="Q25" i="3"/>
  <c r="U52" i="3"/>
  <c r="AG124" i="3"/>
  <c r="AG183" i="3"/>
  <c r="U331" i="3"/>
  <c r="Q286" i="3"/>
  <c r="U328" i="3"/>
  <c r="U223" i="3"/>
  <c r="AG196" i="3"/>
  <c r="U292" i="3"/>
  <c r="U277" i="3"/>
  <c r="U262" i="3"/>
  <c r="AG161" i="3"/>
  <c r="AG132" i="3"/>
  <c r="AG114" i="3"/>
  <c r="U238" i="3"/>
  <c r="U322" i="3"/>
  <c r="U166" i="3"/>
  <c r="AG127" i="3"/>
  <c r="AG214" i="3"/>
  <c r="AG206" i="3"/>
  <c r="U337" i="3"/>
  <c r="Q292" i="3"/>
  <c r="AG143" i="3"/>
  <c r="AG134" i="3"/>
  <c r="U82" i="3"/>
  <c r="AG125" i="3"/>
  <c r="AG115" i="3"/>
  <c r="Q169" i="3"/>
  <c r="AG118" i="3"/>
  <c r="Q361" i="3"/>
  <c r="Q288" i="3"/>
  <c r="Q297" i="3"/>
  <c r="U12" i="3"/>
  <c r="Q30" i="3"/>
  <c r="U90" i="3"/>
  <c r="Q201" i="3"/>
  <c r="U192" i="3"/>
  <c r="Q114" i="3"/>
  <c r="U30" i="3"/>
  <c r="Q273" i="3"/>
  <c r="U261" i="3"/>
  <c r="Q279" i="3"/>
  <c r="Q354" i="3"/>
  <c r="Q36" i="3"/>
  <c r="U114" i="3"/>
  <c r="AG253" i="3"/>
  <c r="Q15" i="3"/>
  <c r="AG286" i="3"/>
  <c r="Q186" i="3"/>
  <c r="U354" i="3"/>
  <c r="Q195" i="3"/>
  <c r="Q360" i="3"/>
  <c r="Q51" i="3"/>
  <c r="Q219" i="3"/>
  <c r="U36" i="3"/>
  <c r="U273" i="3"/>
  <c r="U360" i="3"/>
  <c r="AG237" i="3"/>
  <c r="U99" i="3"/>
  <c r="Q243" i="3"/>
  <c r="U258" i="3"/>
  <c r="U15" i="3"/>
  <c r="U177" i="3"/>
  <c r="Q228" i="3"/>
  <c r="Q189" i="3"/>
  <c r="Q267" i="3"/>
  <c r="Q330" i="3"/>
  <c r="U345" i="3"/>
  <c r="Q261" i="3"/>
  <c r="U84" i="3"/>
  <c r="U243" i="3"/>
  <c r="U189" i="3"/>
  <c r="U249" i="3"/>
  <c r="U267" i="3"/>
  <c r="U276" i="3"/>
  <c r="Q63" i="3"/>
  <c r="Q147" i="3"/>
  <c r="Q60" i="3"/>
  <c r="U228" i="3"/>
  <c r="Q351" i="3"/>
  <c r="Q252" i="3"/>
  <c r="U330" i="3"/>
  <c r="Q108" i="3"/>
  <c r="U108" i="3"/>
  <c r="AG223" i="3"/>
  <c r="AG236" i="3"/>
  <c r="Q69" i="3"/>
  <c r="Q168" i="3"/>
  <c r="U69" i="3"/>
  <c r="U147" i="3"/>
  <c r="AG271" i="3"/>
  <c r="Q183" i="3"/>
  <c r="U198" i="3"/>
  <c r="AG284" i="3"/>
  <c r="Q336" i="3"/>
  <c r="U351" i="3"/>
  <c r="U234" i="3"/>
  <c r="U252" i="3"/>
  <c r="U285" i="3"/>
  <c r="AG240" i="3"/>
  <c r="Q255" i="3"/>
  <c r="U102" i="3"/>
  <c r="AG270" i="3"/>
  <c r="Q321" i="3"/>
  <c r="U336" i="3"/>
  <c r="AG300" i="3"/>
  <c r="Q3" i="3"/>
  <c r="U3" i="3"/>
  <c r="T60" i="3"/>
  <c r="V201" i="3"/>
  <c r="T201" i="3"/>
  <c r="V267" i="3"/>
  <c r="U150" i="3"/>
  <c r="Q150" i="3"/>
  <c r="V60" i="3"/>
  <c r="V234" i="3"/>
  <c r="V360" i="3"/>
  <c r="U294" i="3"/>
  <c r="Q294" i="3"/>
  <c r="T360" i="3"/>
  <c r="V120" i="3"/>
  <c r="T120" i="3"/>
  <c r="V294" i="3"/>
  <c r="T294" i="3"/>
  <c r="U81" i="3"/>
  <c r="V144" i="3"/>
  <c r="U333" i="3"/>
  <c r="U231" i="3"/>
  <c r="Q231" i="3"/>
  <c r="Q204" i="3"/>
  <c r="U324" i="3"/>
  <c r="Q324" i="3"/>
  <c r="V141" i="3"/>
  <c r="T141" i="3"/>
  <c r="T267" i="3"/>
  <c r="Q45" i="3"/>
  <c r="U93" i="3"/>
  <c r="Q93" i="3"/>
  <c r="AG228" i="3"/>
  <c r="Q111" i="3"/>
  <c r="T219" i="3"/>
  <c r="T96" i="3"/>
  <c r="T159" i="3"/>
  <c r="U96" i="3"/>
  <c r="Q159" i="3"/>
  <c r="U348" i="3"/>
  <c r="V219" i="3"/>
  <c r="U78" i="3"/>
  <c r="Q78" i="3"/>
  <c r="V51" i="3"/>
  <c r="Q66" i="3"/>
  <c r="V81" i="3"/>
  <c r="Q144" i="3"/>
  <c r="U57" i="3"/>
  <c r="Q57" i="3"/>
  <c r="V333" i="3"/>
  <c r="V189" i="3"/>
  <c r="U342" i="3"/>
  <c r="U225" i="3"/>
  <c r="Q225" i="3"/>
  <c r="U174" i="3"/>
  <c r="V174" i="3"/>
  <c r="V78" i="3"/>
  <c r="T78" i="3"/>
  <c r="U171" i="3"/>
  <c r="Q171" i="3"/>
  <c r="V114" i="3"/>
  <c r="V57" i="3"/>
  <c r="T57" i="3"/>
  <c r="V66" i="3"/>
  <c r="V171" i="3"/>
  <c r="T171" i="3"/>
  <c r="T318" i="3"/>
  <c r="T189" i="3"/>
  <c r="AG303" i="3"/>
  <c r="V279" i="3"/>
  <c r="T279" i="3"/>
  <c r="AG316" i="3"/>
  <c r="V327" i="3"/>
  <c r="V63" i="3"/>
  <c r="T63" i="3"/>
  <c r="T36" i="3"/>
  <c r="T114" i="3"/>
  <c r="U216" i="3"/>
  <c r="Q216" i="3"/>
  <c r="V195" i="3"/>
  <c r="T195" i="3"/>
  <c r="V30" i="3"/>
  <c r="AG274" i="3"/>
  <c r="V216" i="3"/>
  <c r="T216" i="3"/>
  <c r="AG307" i="3"/>
  <c r="T297" i="3"/>
  <c r="U72" i="3"/>
  <c r="Q72" i="3"/>
  <c r="V36" i="3"/>
  <c r="U156" i="3"/>
  <c r="Q156" i="3"/>
  <c r="AG255" i="3"/>
  <c r="V42" i="3"/>
  <c r="T42" i="3"/>
  <c r="U75" i="3"/>
  <c r="U165" i="3"/>
  <c r="Q165" i="3"/>
  <c r="U210" i="3"/>
  <c r="Q210" i="3"/>
  <c r="V150" i="3"/>
  <c r="T150" i="3"/>
  <c r="V156" i="3"/>
  <c r="T156" i="3"/>
  <c r="AG254" i="3"/>
  <c r="AG268" i="3"/>
  <c r="V75" i="3"/>
  <c r="V273" i="3"/>
  <c r="V297" i="3"/>
  <c r="V210" i="3"/>
  <c r="T210" i="3"/>
  <c r="AG259" i="3"/>
  <c r="AG269" i="3"/>
  <c r="AG285" i="3"/>
  <c r="AG301" i="3"/>
  <c r="AG317" i="3"/>
  <c r="AG256" i="3"/>
  <c r="AG272" i="3"/>
  <c r="AG288" i="3"/>
  <c r="AG304" i="3"/>
  <c r="AG320" i="3"/>
  <c r="AG225" i="3"/>
  <c r="AG241" i="3"/>
  <c r="AG257" i="3"/>
  <c r="V45" i="3"/>
  <c r="AG273" i="3"/>
  <c r="V288" i="3"/>
  <c r="AG289" i="3"/>
  <c r="V204" i="3"/>
  <c r="AG305" i="3"/>
  <c r="V282" i="3"/>
  <c r="AG321" i="3"/>
  <c r="AG244" i="3"/>
  <c r="AG260" i="3"/>
  <c r="AG276" i="3"/>
  <c r="AG292" i="3"/>
  <c r="AG308" i="3"/>
  <c r="AG324" i="3"/>
  <c r="AG325" i="3"/>
  <c r="AG230" i="3"/>
  <c r="Q9" i="3"/>
  <c r="AG246" i="3"/>
  <c r="T72" i="3"/>
  <c r="Q87" i="3"/>
  <c r="AG262" i="3"/>
  <c r="T165" i="3"/>
  <c r="Q180" i="3"/>
  <c r="AG278" i="3"/>
  <c r="T231" i="3"/>
  <c r="Q246" i="3"/>
  <c r="AG294" i="3"/>
  <c r="T324" i="3"/>
  <c r="Q339" i="3"/>
  <c r="AG310" i="3"/>
  <c r="T225" i="3"/>
  <c r="Q240" i="3"/>
  <c r="AG326" i="3"/>
  <c r="AG311" i="3"/>
  <c r="T240" i="3"/>
  <c r="AG327" i="3"/>
  <c r="AG233" i="3"/>
  <c r="AG249" i="3"/>
  <c r="AG265" i="3"/>
  <c r="T270" i="3"/>
  <c r="AG207" i="3"/>
  <c r="Q31" i="3"/>
  <c r="T16" i="3"/>
  <c r="Q115" i="3"/>
  <c r="T100" i="3"/>
  <c r="Q37" i="3"/>
  <c r="T22" i="3"/>
  <c r="Q346" i="3"/>
  <c r="T331" i="3"/>
  <c r="Q253" i="3"/>
  <c r="T238" i="3"/>
  <c r="Q352" i="3"/>
  <c r="T337" i="3"/>
  <c r="Q259" i="3"/>
  <c r="T244" i="3"/>
  <c r="Q16" i="3"/>
  <c r="T178" i="3"/>
  <c r="Q100" i="3"/>
  <c r="T85" i="3"/>
  <c r="Q22" i="3"/>
  <c r="T7" i="3"/>
  <c r="V154" i="3"/>
  <c r="U241" i="3"/>
  <c r="V226" i="3"/>
  <c r="U340" i="3"/>
  <c r="V325" i="3"/>
  <c r="U247" i="3"/>
  <c r="V232" i="3"/>
  <c r="U181" i="3"/>
  <c r="V166" i="3"/>
  <c r="U88" i="3"/>
  <c r="V73" i="3"/>
  <c r="AG188" i="3"/>
  <c r="T226" i="3"/>
  <c r="U211" i="3"/>
  <c r="V196" i="3"/>
  <c r="T325" i="3"/>
  <c r="U295" i="3"/>
  <c r="V280" i="3"/>
  <c r="T232" i="3"/>
  <c r="U217" i="3"/>
  <c r="V202" i="3"/>
  <c r="T166" i="3"/>
  <c r="U151" i="3"/>
  <c r="V121" i="3"/>
  <c r="T73" i="3"/>
  <c r="V43" i="3"/>
  <c r="T172" i="3"/>
  <c r="V142" i="3"/>
  <c r="T79" i="3"/>
  <c r="AG191" i="3"/>
  <c r="AG157" i="3"/>
  <c r="T196" i="3"/>
  <c r="U358" i="3"/>
  <c r="V343" i="3"/>
  <c r="T280" i="3"/>
  <c r="U265" i="3"/>
  <c r="V250" i="3"/>
  <c r="T202" i="3"/>
  <c r="U187" i="3"/>
  <c r="V349" i="3"/>
  <c r="U106" i="3"/>
  <c r="V91" i="3"/>
  <c r="U28" i="3"/>
  <c r="V13" i="3"/>
  <c r="U112" i="3"/>
  <c r="V97" i="3"/>
  <c r="U34" i="3"/>
  <c r="V19" i="3"/>
  <c r="U97" i="3"/>
  <c r="V82" i="3"/>
  <c r="T34" i="3"/>
  <c r="U19" i="3"/>
  <c r="V4" i="3"/>
  <c r="Q358" i="3"/>
  <c r="Q265" i="3"/>
  <c r="Q187" i="3"/>
  <c r="U298" i="3"/>
  <c r="V283" i="3"/>
  <c r="U220" i="3"/>
  <c r="V205" i="3"/>
  <c r="U319" i="3"/>
  <c r="V289" i="3"/>
  <c r="U61" i="3"/>
  <c r="V46" i="3"/>
  <c r="U160" i="3"/>
  <c r="V145" i="3"/>
  <c r="U67" i="3"/>
  <c r="V52" i="3"/>
  <c r="AG189" i="3"/>
  <c r="AG141" i="3"/>
  <c r="V361" i="3"/>
  <c r="U283" i="3"/>
  <c r="V268" i="3"/>
  <c r="U205" i="3"/>
  <c r="V190" i="3"/>
  <c r="AG221" i="3"/>
  <c r="AG173" i="3"/>
  <c r="T46" i="3"/>
  <c r="AG220" i="3"/>
  <c r="AG172" i="3"/>
  <c r="AG156" i="3"/>
  <c r="U269" i="3"/>
  <c r="T266" i="3"/>
  <c r="T200" i="3"/>
  <c r="V359" i="3"/>
  <c r="T284" i="3"/>
  <c r="AG89" i="3"/>
  <c r="T326" i="3"/>
  <c r="V341" i="3"/>
  <c r="T224" i="3"/>
  <c r="V326" i="3"/>
  <c r="T320" i="3"/>
  <c r="V266" i="3"/>
  <c r="V251" i="3"/>
  <c r="V263" i="3"/>
  <c r="AG87" i="3"/>
  <c r="T209" i="3"/>
  <c r="V233" i="3"/>
  <c r="V218" i="3"/>
  <c r="V350" i="3"/>
  <c r="V185" i="3"/>
  <c r="T185" i="3"/>
  <c r="T278" i="3"/>
  <c r="T299" i="3"/>
  <c r="V347" i="3"/>
  <c r="T356" i="3"/>
  <c r="T272" i="3"/>
  <c r="V188" i="3"/>
  <c r="U323" i="3"/>
  <c r="V329" i="3"/>
  <c r="V236" i="3"/>
  <c r="V335" i="3"/>
  <c r="V242" i="3"/>
  <c r="T236" i="3"/>
  <c r="V332" i="3"/>
  <c r="T215" i="3"/>
  <c r="T221" i="3"/>
  <c r="V299" i="3"/>
  <c r="V221" i="3"/>
  <c r="V320" i="3"/>
  <c r="V227" i="3"/>
  <c r="V356" i="3"/>
  <c r="T230" i="3"/>
  <c r="T233" i="3"/>
  <c r="T242" i="3"/>
  <c r="T293" i="3"/>
  <c r="U224" i="3"/>
  <c r="V284" i="3"/>
  <c r="V290" i="3"/>
  <c r="V212" i="3"/>
  <c r="T341" i="3"/>
  <c r="T323" i="3"/>
  <c r="V269" i="3"/>
  <c r="V191" i="3"/>
  <c r="V275" i="3"/>
  <c r="V197" i="3"/>
  <c r="T344" i="3"/>
  <c r="V272" i="3"/>
  <c r="V254" i="3"/>
  <c r="V353" i="3"/>
  <c r="V260" i="3"/>
  <c r="V182" i="3"/>
  <c r="V248" i="3"/>
  <c r="V257" i="3"/>
  <c r="T335" i="3"/>
  <c r="V224" i="3"/>
  <c r="V323" i="3"/>
  <c r="V230" i="3"/>
  <c r="T188" i="3"/>
  <c r="T329" i="3"/>
  <c r="V344" i="3"/>
  <c r="T347" i="3"/>
  <c r="T194" i="3"/>
  <c r="T359" i="3"/>
  <c r="V209" i="3"/>
  <c r="T332" i="3"/>
  <c r="T248" i="3"/>
  <c r="T263" i="3"/>
  <c r="V194" i="3"/>
  <c r="V278" i="3"/>
  <c r="V200" i="3"/>
  <c r="AG79" i="3"/>
  <c r="U287" i="3"/>
  <c r="U272" i="3"/>
  <c r="Q287" i="3"/>
  <c r="U188" i="3"/>
  <c r="AG66" i="3"/>
  <c r="U218" i="3"/>
  <c r="U296" i="3"/>
  <c r="Q332" i="3"/>
  <c r="Q296" i="3"/>
  <c r="AG65" i="3"/>
  <c r="AG80" i="3"/>
  <c r="Q203" i="3"/>
  <c r="Q218" i="3"/>
  <c r="AG82" i="3"/>
  <c r="AG98" i="3"/>
  <c r="Q347" i="3"/>
  <c r="U266" i="3"/>
  <c r="U326" i="3"/>
  <c r="Q248" i="3"/>
  <c r="Q341" i="3"/>
  <c r="AG95" i="3"/>
  <c r="AG96" i="3"/>
  <c r="U281" i="3"/>
  <c r="Q185" i="3"/>
  <c r="AG68" i="3"/>
  <c r="AG71" i="3"/>
  <c r="Q233" i="3"/>
  <c r="Q263" i="3"/>
  <c r="AG84" i="3"/>
  <c r="Q356" i="3"/>
  <c r="AG100" i="3"/>
  <c r="U230" i="3"/>
  <c r="Q317" i="3"/>
  <c r="Q221" i="3"/>
  <c r="Q227" i="3"/>
  <c r="AG103" i="3"/>
  <c r="AG105" i="3"/>
  <c r="AG57" i="3"/>
  <c r="U182" i="3"/>
  <c r="T182" i="3"/>
  <c r="U227" i="3"/>
  <c r="Q215" i="3"/>
  <c r="T260" i="3"/>
  <c r="U320" i="3"/>
  <c r="Q293" i="3"/>
  <c r="T353" i="3"/>
  <c r="U221" i="3"/>
  <c r="Q209" i="3"/>
  <c r="T254" i="3"/>
  <c r="U299" i="3"/>
  <c r="AG108" i="3"/>
  <c r="U215" i="3"/>
  <c r="U293" i="3"/>
  <c r="U209" i="3"/>
  <c r="Q242" i="3"/>
  <c r="T287" i="3"/>
  <c r="U347" i="3"/>
  <c r="Q335" i="3"/>
  <c r="T203" i="3"/>
  <c r="U248" i="3"/>
  <c r="Q236" i="3"/>
  <c r="T281" i="3"/>
  <c r="U341" i="3"/>
  <c r="Q329" i="3"/>
  <c r="U242" i="3"/>
  <c r="U335" i="3"/>
  <c r="U236" i="3"/>
  <c r="U329" i="3"/>
  <c r="Q344" i="3"/>
  <c r="Q350" i="3"/>
  <c r="Q251" i="3"/>
  <c r="T296" i="3"/>
  <c r="T251" i="3"/>
  <c r="Q284" i="3"/>
  <c r="T212" i="3"/>
  <c r="U257" i="3"/>
  <c r="AG62" i="3"/>
  <c r="Q245" i="3"/>
  <c r="T290" i="3"/>
  <c r="U350" i="3"/>
  <c r="Q338" i="3"/>
  <c r="T206" i="3"/>
  <c r="U251" i="3"/>
  <c r="Q239" i="3"/>
  <c r="U344" i="3"/>
  <c r="Q212" i="3"/>
  <c r="T257" i="3"/>
  <c r="U212" i="3"/>
  <c r="Q200" i="3"/>
  <c r="T245" i="3"/>
  <c r="U290" i="3"/>
  <c r="AG75" i="3"/>
  <c r="Q278" i="3"/>
  <c r="T338" i="3"/>
  <c r="U206" i="3"/>
  <c r="AG91" i="3"/>
  <c r="Q194" i="3"/>
  <c r="T239" i="3"/>
  <c r="U284" i="3"/>
  <c r="U245" i="3"/>
  <c r="U338" i="3"/>
  <c r="U239" i="3"/>
  <c r="U200" i="3"/>
  <c r="U278" i="3"/>
  <c r="U194" i="3"/>
  <c r="Q359" i="3"/>
  <c r="U359" i="3"/>
  <c r="A3" i="5"/>
  <c r="A4" i="5"/>
  <c r="A5" i="5"/>
  <c r="A2" i="5"/>
  <c r="S2" i="5" s="1"/>
  <c r="AI3" i="5"/>
  <c r="O4" i="5"/>
  <c r="O5" i="5"/>
  <c r="AH5" i="5"/>
  <c r="AG5" i="5"/>
  <c r="AE5" i="5"/>
  <c r="AD5" i="5"/>
  <c r="AC5" i="5"/>
  <c r="AB5" i="5"/>
  <c r="AA5" i="5"/>
  <c r="Z5" i="5"/>
  <c r="X5" i="5"/>
  <c r="W5" i="5"/>
  <c r="U5" i="5"/>
  <c r="V5" i="5" s="1"/>
  <c r="E5" i="5"/>
  <c r="AF5" i="5" s="1"/>
  <c r="AH4" i="5"/>
  <c r="AG4" i="5"/>
  <c r="AE4" i="5"/>
  <c r="AD4" i="5"/>
  <c r="AC4" i="5"/>
  <c r="AB4" i="5"/>
  <c r="AA4" i="5"/>
  <c r="Z4" i="5"/>
  <c r="X4" i="5"/>
  <c r="W4" i="5"/>
  <c r="U4" i="5"/>
  <c r="V4" i="5" s="1"/>
  <c r="E4" i="5"/>
  <c r="AF4" i="5" s="1"/>
  <c r="AH3" i="5"/>
  <c r="AG3" i="5"/>
  <c r="AE3" i="5"/>
  <c r="AD3" i="5"/>
  <c r="AC3" i="5"/>
  <c r="AB3" i="5"/>
  <c r="AA3" i="5"/>
  <c r="Z3" i="5"/>
  <c r="X3" i="5"/>
  <c r="W3" i="5"/>
  <c r="U3" i="5"/>
  <c r="V3" i="5" s="1"/>
  <c r="E3" i="5"/>
  <c r="T3" i="5" s="1"/>
  <c r="AH2" i="5"/>
  <c r="AG2" i="5"/>
  <c r="AE2" i="5"/>
  <c r="AD2" i="5"/>
  <c r="AC2" i="5"/>
  <c r="AB2" i="5"/>
  <c r="AA2" i="5"/>
  <c r="Z2" i="5"/>
  <c r="Y2" i="5"/>
  <c r="X2" i="5"/>
  <c r="W2" i="5"/>
  <c r="U2" i="5"/>
  <c r="V2" i="5" s="1"/>
  <c r="E2" i="5"/>
  <c r="AF2" i="5" s="1"/>
  <c r="AI4" i="5" l="1"/>
  <c r="R5" i="5"/>
  <c r="S4" i="5"/>
  <c r="R4" i="5"/>
  <c r="T4" i="5"/>
  <c r="O2" i="5"/>
  <c r="R2" i="5"/>
  <c r="S5" i="5"/>
  <c r="AI5" i="5"/>
  <c r="T2" i="5"/>
  <c r="AI2" i="5"/>
  <c r="AF3" i="5"/>
  <c r="O3" i="5"/>
  <c r="R3" i="5"/>
  <c r="S3" i="5"/>
  <c r="T5" i="5"/>
  <c r="U5" i="3"/>
  <c r="Q20" i="3"/>
  <c r="Q35" i="3"/>
  <c r="Q50" i="3"/>
  <c r="Q65" i="3"/>
  <c r="U80" i="3"/>
  <c r="AG20" i="3"/>
  <c r="Q68" i="3"/>
  <c r="AG29" i="3"/>
  <c r="U98" i="3"/>
  <c r="Q113" i="3"/>
  <c r="AG32" i="3"/>
  <c r="U158" i="3"/>
  <c r="Q173" i="3"/>
  <c r="AG35" i="3"/>
  <c r="U26" i="3"/>
  <c r="AG49" i="3"/>
  <c r="AG50" i="3"/>
  <c r="AG52" i="3"/>
  <c r="AG54" i="3"/>
  <c r="AG55" i="3"/>
  <c r="AF56" i="3"/>
  <c r="AD56" i="3"/>
  <c r="AC179" i="3"/>
  <c r="AA179" i="3"/>
  <c r="X179" i="3"/>
  <c r="E179" i="3"/>
  <c r="AE179" i="3" s="1"/>
  <c r="AG56" i="3"/>
  <c r="AF55" i="3"/>
  <c r="AD55" i="3"/>
  <c r="AC164" i="3"/>
  <c r="AA164" i="3"/>
  <c r="X164" i="3"/>
  <c r="E164" i="3"/>
  <c r="AE326" i="3" s="1"/>
  <c r="AF54" i="3"/>
  <c r="AD54" i="3"/>
  <c r="AC149" i="3"/>
  <c r="AA149" i="3"/>
  <c r="X149" i="3"/>
  <c r="E149" i="3"/>
  <c r="AE299" i="3" s="1"/>
  <c r="AG53" i="3"/>
  <c r="AF53" i="3"/>
  <c r="AD53" i="3"/>
  <c r="AC119" i="3"/>
  <c r="AA119" i="3"/>
  <c r="X119" i="3"/>
  <c r="U119" i="3"/>
  <c r="E119" i="3"/>
  <c r="AE119" i="3" s="1"/>
  <c r="Q119" i="3"/>
  <c r="AF52" i="3"/>
  <c r="AD52" i="3"/>
  <c r="AC104" i="3"/>
  <c r="AA104" i="3"/>
  <c r="X104" i="3"/>
  <c r="E104" i="3"/>
  <c r="AE206" i="3" s="1"/>
  <c r="AF51" i="3"/>
  <c r="AD51" i="3"/>
  <c r="AC89" i="3"/>
  <c r="AA89" i="3"/>
  <c r="X89" i="3"/>
  <c r="E89" i="3"/>
  <c r="AE89" i="3" s="1"/>
  <c r="U89" i="3"/>
  <c r="AF50" i="3"/>
  <c r="AD50" i="3"/>
  <c r="AC74" i="3"/>
  <c r="AA74" i="3"/>
  <c r="X74" i="3"/>
  <c r="U74" i="3"/>
  <c r="E74" i="3"/>
  <c r="AF49" i="3"/>
  <c r="AD49" i="3"/>
  <c r="AC59" i="3"/>
  <c r="AA59" i="3"/>
  <c r="X59" i="3"/>
  <c r="E59" i="3"/>
  <c r="AE293" i="3" s="1"/>
  <c r="AF48" i="3"/>
  <c r="AD48" i="3"/>
  <c r="AC44" i="3"/>
  <c r="AA44" i="3"/>
  <c r="X44" i="3"/>
  <c r="E44" i="3"/>
  <c r="AG48" i="3"/>
  <c r="AG47" i="3"/>
  <c r="AF47" i="3"/>
  <c r="AD47" i="3"/>
  <c r="AC29" i="3"/>
  <c r="AA29" i="3"/>
  <c r="X29" i="3"/>
  <c r="U29" i="3"/>
  <c r="Q29" i="3"/>
  <c r="E29" i="3"/>
  <c r="AE291" i="3" s="1"/>
  <c r="AF46" i="3"/>
  <c r="AD46" i="3"/>
  <c r="AC14" i="3"/>
  <c r="AA14" i="3"/>
  <c r="X14" i="3"/>
  <c r="E14" i="3"/>
  <c r="Q14" i="3"/>
  <c r="AF45" i="3"/>
  <c r="AD45" i="3"/>
  <c r="AC176" i="3"/>
  <c r="AA176" i="3"/>
  <c r="X176" i="3"/>
  <c r="E176" i="3"/>
  <c r="AG45" i="3"/>
  <c r="AF44" i="3"/>
  <c r="AD44" i="3"/>
  <c r="AC161" i="3"/>
  <c r="AA161" i="3"/>
  <c r="X161" i="3"/>
  <c r="E161" i="3"/>
  <c r="Q161" i="3"/>
  <c r="AF43" i="3"/>
  <c r="AD43" i="3"/>
  <c r="AC146" i="3"/>
  <c r="AA146" i="3"/>
  <c r="X146" i="3"/>
  <c r="E146" i="3"/>
  <c r="AE227" i="3" s="1"/>
  <c r="Q146" i="3"/>
  <c r="AG42" i="3"/>
  <c r="AF42" i="3"/>
  <c r="AD42" i="3"/>
  <c r="AC116" i="3"/>
  <c r="AA116" i="3"/>
  <c r="X116" i="3"/>
  <c r="U116" i="3"/>
  <c r="E116" i="3"/>
  <c r="Q116" i="3"/>
  <c r="AF41" i="3"/>
  <c r="AD41" i="3"/>
  <c r="AC101" i="3"/>
  <c r="AA101" i="3"/>
  <c r="X101" i="3"/>
  <c r="E101" i="3"/>
  <c r="Q101" i="3"/>
  <c r="AF40" i="3"/>
  <c r="AD40" i="3"/>
  <c r="AC86" i="3"/>
  <c r="AA86" i="3"/>
  <c r="X86" i="3"/>
  <c r="E86" i="3"/>
  <c r="Q86" i="3"/>
  <c r="AG39" i="3"/>
  <c r="AF39" i="3"/>
  <c r="AD39" i="3"/>
  <c r="AC71" i="3"/>
  <c r="AA71" i="3"/>
  <c r="X71" i="3"/>
  <c r="U71" i="3"/>
  <c r="E71" i="3"/>
  <c r="Q71" i="3"/>
  <c r="AF38" i="3"/>
  <c r="AD38" i="3"/>
  <c r="AC56" i="3"/>
  <c r="AA56" i="3"/>
  <c r="X56" i="3"/>
  <c r="E56" i="3"/>
  <c r="AG38" i="3"/>
  <c r="AF37" i="3"/>
  <c r="AD37" i="3"/>
  <c r="AC41" i="3"/>
  <c r="AA41" i="3"/>
  <c r="X41" i="3"/>
  <c r="E41" i="3"/>
  <c r="AE220" i="3" s="1"/>
  <c r="U41" i="3"/>
  <c r="AG36" i="3"/>
  <c r="AF36" i="3"/>
  <c r="AD36" i="3"/>
  <c r="AC26" i="3"/>
  <c r="AA26" i="3"/>
  <c r="X26" i="3"/>
  <c r="Q26" i="3"/>
  <c r="E26" i="3"/>
  <c r="AE219" i="3" s="1"/>
  <c r="AF35" i="3"/>
  <c r="AD35" i="3"/>
  <c r="AC11" i="3"/>
  <c r="AA11" i="3"/>
  <c r="X11" i="3"/>
  <c r="E11" i="3"/>
  <c r="AF34" i="3"/>
  <c r="AD34" i="3"/>
  <c r="AC173" i="3"/>
  <c r="AA173" i="3"/>
  <c r="X173" i="3"/>
  <c r="E173" i="3"/>
  <c r="AE173" i="3" s="1"/>
  <c r="AF33" i="3"/>
  <c r="AD33" i="3"/>
  <c r="AC158" i="3"/>
  <c r="AA158" i="3"/>
  <c r="X158" i="3"/>
  <c r="E158" i="3"/>
  <c r="AE314" i="3" s="1"/>
  <c r="AF32" i="3"/>
  <c r="AD32" i="3"/>
  <c r="AC143" i="3"/>
  <c r="AA143" i="3"/>
  <c r="X143" i="3"/>
  <c r="E143" i="3"/>
  <c r="AE143" i="3" s="1"/>
  <c r="AF31" i="3"/>
  <c r="AD31" i="3"/>
  <c r="AC113" i="3"/>
  <c r="AA113" i="3"/>
  <c r="X113" i="3"/>
  <c r="E113" i="3"/>
  <c r="AE153" i="3" s="1"/>
  <c r="AF30" i="3"/>
  <c r="AD30" i="3"/>
  <c r="AC98" i="3"/>
  <c r="AA98" i="3"/>
  <c r="X98" i="3"/>
  <c r="E98" i="3"/>
  <c r="AE194" i="3" s="1"/>
  <c r="AF29" i="3"/>
  <c r="AD29" i="3"/>
  <c r="AC83" i="3"/>
  <c r="AA83" i="3"/>
  <c r="X83" i="3"/>
  <c r="U83" i="3"/>
  <c r="E83" i="3"/>
  <c r="AF28" i="3"/>
  <c r="AD28" i="3"/>
  <c r="AC68" i="3"/>
  <c r="AA68" i="3"/>
  <c r="X68" i="3"/>
  <c r="E68" i="3"/>
  <c r="AE134" i="3" s="1"/>
  <c r="AF27" i="3"/>
  <c r="AD27" i="3"/>
  <c r="AC53" i="3"/>
  <c r="AA53" i="3"/>
  <c r="X53" i="3"/>
  <c r="E53" i="3"/>
  <c r="AE149" i="3" s="1"/>
  <c r="Q53" i="3"/>
  <c r="AG26" i="3"/>
  <c r="AF26" i="3"/>
  <c r="AD26" i="3"/>
  <c r="AC38" i="3"/>
  <c r="AA38" i="3"/>
  <c r="X38" i="3"/>
  <c r="U38" i="3"/>
  <c r="Q38" i="3"/>
  <c r="E38" i="3"/>
  <c r="AF25" i="3"/>
  <c r="AD25" i="3"/>
  <c r="AC23" i="3"/>
  <c r="AA23" i="3"/>
  <c r="X23" i="3"/>
  <c r="E23" i="3"/>
  <c r="AE147" i="3" s="1"/>
  <c r="Q23" i="3"/>
  <c r="AF24" i="3"/>
  <c r="AD24" i="3"/>
  <c r="AC8" i="3"/>
  <c r="AA8" i="3"/>
  <c r="X8" i="3"/>
  <c r="E8" i="3"/>
  <c r="Q8" i="3"/>
  <c r="E5" i="3"/>
  <c r="Q5" i="3"/>
  <c r="X5" i="3"/>
  <c r="AA5" i="3"/>
  <c r="AC5" i="3"/>
  <c r="AD13" i="3"/>
  <c r="AF13" i="3"/>
  <c r="E20" i="3"/>
  <c r="X20" i="3"/>
  <c r="AA20" i="3"/>
  <c r="AC20" i="3"/>
  <c r="AD14" i="3"/>
  <c r="AF14" i="3"/>
  <c r="E35" i="3"/>
  <c r="X35" i="3"/>
  <c r="AA35" i="3"/>
  <c r="AC35" i="3"/>
  <c r="AD15" i="3"/>
  <c r="AF15" i="3"/>
  <c r="E50" i="3"/>
  <c r="X50" i="3"/>
  <c r="AA50" i="3"/>
  <c r="AC50" i="3"/>
  <c r="AD16" i="3"/>
  <c r="AF16" i="3"/>
  <c r="E65" i="3"/>
  <c r="AE128" i="3" s="1"/>
  <c r="X65" i="3"/>
  <c r="AA65" i="3"/>
  <c r="AC65" i="3"/>
  <c r="AD17" i="3"/>
  <c r="AF17" i="3"/>
  <c r="E80" i="3"/>
  <c r="X80" i="3"/>
  <c r="AA80" i="3"/>
  <c r="AC80" i="3"/>
  <c r="AD18" i="3"/>
  <c r="AF18" i="3"/>
  <c r="AG18" i="3"/>
  <c r="Q95" i="3"/>
  <c r="E95" i="3"/>
  <c r="AE188" i="3" s="1"/>
  <c r="X95" i="3"/>
  <c r="AA95" i="3"/>
  <c r="AC95" i="3"/>
  <c r="AD19" i="3"/>
  <c r="AF19" i="3"/>
  <c r="E110" i="3"/>
  <c r="AE81" i="3" s="1"/>
  <c r="Q110" i="3"/>
  <c r="X110" i="3"/>
  <c r="AA110" i="3"/>
  <c r="AC110" i="3"/>
  <c r="AD20" i="3"/>
  <c r="AF20" i="3"/>
  <c r="E140" i="3"/>
  <c r="Q140" i="3"/>
  <c r="U140" i="3"/>
  <c r="X140" i="3"/>
  <c r="AA140" i="3"/>
  <c r="AC140" i="3"/>
  <c r="AD21" i="3"/>
  <c r="AF21" i="3"/>
  <c r="AG21" i="3"/>
  <c r="U155" i="3"/>
  <c r="E155" i="3"/>
  <c r="AE308" i="3" s="1"/>
  <c r="Q155" i="3"/>
  <c r="X155" i="3"/>
  <c r="AA155" i="3"/>
  <c r="AC155" i="3"/>
  <c r="AD22" i="3"/>
  <c r="AF22" i="3"/>
  <c r="E170" i="3"/>
  <c r="Q170" i="3"/>
  <c r="U170" i="3"/>
  <c r="X170" i="3"/>
  <c r="AA170" i="3"/>
  <c r="AC170" i="3"/>
  <c r="AD23" i="3"/>
  <c r="AF23" i="3"/>
  <c r="AG23" i="3"/>
  <c r="AH25" i="4"/>
  <c r="AG25" i="4"/>
  <c r="AE25" i="4"/>
  <c r="AD25" i="4"/>
  <c r="AC25" i="4"/>
  <c r="AB25" i="4"/>
  <c r="AA25" i="4"/>
  <c r="Z25" i="4"/>
  <c r="Y25" i="4"/>
  <c r="X25" i="4"/>
  <c r="W25" i="4"/>
  <c r="U25" i="4"/>
  <c r="V25" i="4" s="1"/>
  <c r="E25" i="4"/>
  <c r="AF25" i="4" s="1"/>
  <c r="A25" i="4"/>
  <c r="AI25" i="4" s="1"/>
  <c r="AH24" i="4"/>
  <c r="AG24" i="4"/>
  <c r="AE24" i="4"/>
  <c r="AD24" i="4"/>
  <c r="AC24" i="4"/>
  <c r="AB24" i="4"/>
  <c r="AA24" i="4"/>
  <c r="Z24" i="4"/>
  <c r="Y24" i="4"/>
  <c r="X24" i="4"/>
  <c r="W24" i="4"/>
  <c r="U24" i="4"/>
  <c r="V24" i="4" s="1"/>
  <c r="E24" i="4"/>
  <c r="AF24" i="4" s="1"/>
  <c r="A24" i="4"/>
  <c r="AI24" i="4" s="1"/>
  <c r="AH23" i="4"/>
  <c r="AG23" i="4"/>
  <c r="AE23" i="4"/>
  <c r="AD23" i="4"/>
  <c r="AC23" i="4"/>
  <c r="AB23" i="4"/>
  <c r="AA23" i="4"/>
  <c r="Z23" i="4"/>
  <c r="Y23" i="4"/>
  <c r="X23" i="4"/>
  <c r="W23" i="4"/>
  <c r="U23" i="4"/>
  <c r="V23" i="4" s="1"/>
  <c r="E23" i="4"/>
  <c r="AF23" i="4" s="1"/>
  <c r="A23" i="4"/>
  <c r="AI23" i="4" s="1"/>
  <c r="AH22" i="4"/>
  <c r="AG22" i="4"/>
  <c r="AE22" i="4"/>
  <c r="AD22" i="4"/>
  <c r="AC22" i="4"/>
  <c r="AB22" i="4"/>
  <c r="AA22" i="4"/>
  <c r="Z22" i="4"/>
  <c r="Y22" i="4"/>
  <c r="X22" i="4"/>
  <c r="W22" i="4"/>
  <c r="U22" i="4"/>
  <c r="V22" i="4" s="1"/>
  <c r="E22" i="4"/>
  <c r="AF22" i="4" s="1"/>
  <c r="A22" i="4"/>
  <c r="O22" i="4" s="1"/>
  <c r="AH21" i="4"/>
  <c r="AG21" i="4"/>
  <c r="AE21" i="4"/>
  <c r="AD21" i="4"/>
  <c r="AC21" i="4"/>
  <c r="AB21" i="4"/>
  <c r="AA21" i="4"/>
  <c r="Z21" i="4"/>
  <c r="Y21" i="4"/>
  <c r="X21" i="4"/>
  <c r="W21" i="4"/>
  <c r="U21" i="4"/>
  <c r="V21" i="4" s="1"/>
  <c r="E21" i="4"/>
  <c r="R21" i="4" s="1"/>
  <c r="A21" i="4"/>
  <c r="O21" i="4" s="1"/>
  <c r="AH20" i="4"/>
  <c r="AG20" i="4"/>
  <c r="AE20" i="4"/>
  <c r="AD20" i="4"/>
  <c r="AC20" i="4"/>
  <c r="AB20" i="4"/>
  <c r="AA20" i="4"/>
  <c r="Z20" i="4"/>
  <c r="Y20" i="4"/>
  <c r="X20" i="4"/>
  <c r="W20" i="4"/>
  <c r="U20" i="4"/>
  <c r="V20" i="4" s="1"/>
  <c r="E20" i="4"/>
  <c r="R20" i="4" s="1"/>
  <c r="A20" i="4"/>
  <c r="AI20" i="4" s="1"/>
  <c r="AH19" i="4"/>
  <c r="AG19" i="4"/>
  <c r="AE19" i="4"/>
  <c r="AD19" i="4"/>
  <c r="AC19" i="4"/>
  <c r="AB19" i="4"/>
  <c r="AA19" i="4"/>
  <c r="Z19" i="4"/>
  <c r="Y19" i="4"/>
  <c r="X19" i="4"/>
  <c r="W19" i="4"/>
  <c r="U19" i="4"/>
  <c r="V19" i="4" s="1"/>
  <c r="T19" i="4"/>
  <c r="E19" i="4"/>
  <c r="AF19" i="4" s="1"/>
  <c r="A19" i="4"/>
  <c r="O19" i="4" s="1"/>
  <c r="AH18" i="4"/>
  <c r="AG18" i="4"/>
  <c r="AE18" i="4"/>
  <c r="AD18" i="4"/>
  <c r="AC18" i="4"/>
  <c r="AB18" i="4"/>
  <c r="AA18" i="4"/>
  <c r="Z18" i="4"/>
  <c r="Y18" i="4"/>
  <c r="X18" i="4"/>
  <c r="W18" i="4"/>
  <c r="U18" i="4"/>
  <c r="V18" i="4" s="1"/>
  <c r="E18" i="4"/>
  <c r="AF18" i="4" s="1"/>
  <c r="A18" i="4"/>
  <c r="O18" i="4" s="1"/>
  <c r="AH17" i="4"/>
  <c r="AG17" i="4"/>
  <c r="AE17" i="4"/>
  <c r="AD17" i="4"/>
  <c r="AC17" i="4"/>
  <c r="AB17" i="4"/>
  <c r="AA17" i="4"/>
  <c r="Z17" i="4"/>
  <c r="Y17" i="4"/>
  <c r="X17" i="4"/>
  <c r="W17" i="4"/>
  <c r="U17" i="4"/>
  <c r="V17" i="4" s="1"/>
  <c r="E17" i="4"/>
  <c r="AF17" i="4" s="1"/>
  <c r="A17" i="4"/>
  <c r="O17" i="4" s="1"/>
  <c r="AH16" i="4"/>
  <c r="AG16" i="4"/>
  <c r="AE16" i="4"/>
  <c r="AD16" i="4"/>
  <c r="AC16" i="4"/>
  <c r="AB16" i="4"/>
  <c r="AA16" i="4"/>
  <c r="Z16" i="4"/>
  <c r="Y16" i="4"/>
  <c r="X16" i="4"/>
  <c r="W16" i="4"/>
  <c r="U16" i="4"/>
  <c r="V16" i="4" s="1"/>
  <c r="S16" i="4"/>
  <c r="R16" i="4"/>
  <c r="E16" i="4"/>
  <c r="AF16" i="4" s="1"/>
  <c r="A16" i="4"/>
  <c r="O16" i="4" s="1"/>
  <c r="AH15" i="4"/>
  <c r="AG15" i="4"/>
  <c r="AE15" i="4"/>
  <c r="AD15" i="4"/>
  <c r="AC15" i="4"/>
  <c r="AB15" i="4"/>
  <c r="AA15" i="4"/>
  <c r="Z15" i="4"/>
  <c r="Y15" i="4"/>
  <c r="X15" i="4"/>
  <c r="W15" i="4"/>
  <c r="U15" i="4"/>
  <c r="V15" i="4" s="1"/>
  <c r="T15" i="4"/>
  <c r="S15" i="4"/>
  <c r="R15" i="4"/>
  <c r="E15" i="4"/>
  <c r="AF15" i="4" s="1"/>
  <c r="A15" i="4"/>
  <c r="AI15" i="4" s="1"/>
  <c r="AH14" i="4"/>
  <c r="AG14" i="4"/>
  <c r="AE14" i="4"/>
  <c r="AD14" i="4"/>
  <c r="AC14" i="4"/>
  <c r="AB14" i="4"/>
  <c r="AA14" i="4"/>
  <c r="Z14" i="4"/>
  <c r="Y14" i="4"/>
  <c r="X14" i="4"/>
  <c r="W14" i="4"/>
  <c r="U14" i="4"/>
  <c r="V14" i="4" s="1"/>
  <c r="T14" i="4"/>
  <c r="E14" i="4"/>
  <c r="AF14" i="4" s="1"/>
  <c r="A14" i="4"/>
  <c r="AI14" i="4" s="1"/>
  <c r="AH13" i="4"/>
  <c r="AG13" i="4"/>
  <c r="AE13" i="4"/>
  <c r="AD13" i="4"/>
  <c r="AC13" i="4"/>
  <c r="AB13" i="4"/>
  <c r="AA13" i="4"/>
  <c r="Z13" i="4"/>
  <c r="Y13" i="4"/>
  <c r="X13" i="4"/>
  <c r="W13" i="4"/>
  <c r="V13" i="4"/>
  <c r="U13" i="4"/>
  <c r="E13" i="4"/>
  <c r="AF13" i="4" s="1"/>
  <c r="A13" i="4"/>
  <c r="S13" i="4" s="1"/>
  <c r="AH12" i="4"/>
  <c r="AG12" i="4"/>
  <c r="AE12" i="4"/>
  <c r="AD12" i="4"/>
  <c r="AC12" i="4"/>
  <c r="AB12" i="4"/>
  <c r="AA12" i="4"/>
  <c r="Z12" i="4"/>
  <c r="Y12" i="4"/>
  <c r="X12" i="4"/>
  <c r="W12" i="4"/>
  <c r="U12" i="4"/>
  <c r="V12" i="4" s="1"/>
  <c r="E12" i="4"/>
  <c r="T12" i="4" s="1"/>
  <c r="A12" i="4"/>
  <c r="AI12" i="4" s="1"/>
  <c r="AH11" i="4"/>
  <c r="AG11" i="4"/>
  <c r="AE11" i="4"/>
  <c r="AD11" i="4"/>
  <c r="AC11" i="4"/>
  <c r="AB11" i="4"/>
  <c r="AA11" i="4"/>
  <c r="Z11" i="4"/>
  <c r="Y11" i="4"/>
  <c r="X11" i="4"/>
  <c r="W11" i="4"/>
  <c r="U11" i="4"/>
  <c r="V11" i="4" s="1"/>
  <c r="E11" i="4"/>
  <c r="R11" i="4" s="1"/>
  <c r="A11" i="4"/>
  <c r="AI11" i="4" s="1"/>
  <c r="AH10" i="4"/>
  <c r="AG10" i="4"/>
  <c r="AF10" i="4"/>
  <c r="AE10" i="4"/>
  <c r="AD10" i="4"/>
  <c r="AC10" i="4"/>
  <c r="AB10" i="4"/>
  <c r="AA10" i="4"/>
  <c r="Z10" i="4"/>
  <c r="Y10" i="4"/>
  <c r="X10" i="4"/>
  <c r="W10" i="4"/>
  <c r="U10" i="4"/>
  <c r="V10" i="4" s="1"/>
  <c r="E10" i="4"/>
  <c r="T10" i="4" s="1"/>
  <c r="A10" i="4"/>
  <c r="S10" i="4" s="1"/>
  <c r="AH9" i="4"/>
  <c r="AG9" i="4"/>
  <c r="AE9" i="4"/>
  <c r="AD9" i="4"/>
  <c r="AC9" i="4"/>
  <c r="AB9" i="4"/>
  <c r="AA9" i="4"/>
  <c r="Z9" i="4"/>
  <c r="Y9" i="4"/>
  <c r="X9" i="4"/>
  <c r="W9" i="4"/>
  <c r="U9" i="4"/>
  <c r="V9" i="4" s="1"/>
  <c r="E9" i="4"/>
  <c r="R9" i="4" s="1"/>
  <c r="A9" i="4"/>
  <c r="AI9" i="4" s="1"/>
  <c r="AH8" i="4"/>
  <c r="AG8" i="4"/>
  <c r="AE8" i="4"/>
  <c r="AD8" i="4"/>
  <c r="AC8" i="4"/>
  <c r="AB8" i="4"/>
  <c r="AA8" i="4"/>
  <c r="Z8" i="4"/>
  <c r="Y8" i="4"/>
  <c r="X8" i="4"/>
  <c r="W8" i="4"/>
  <c r="U8" i="4"/>
  <c r="V8" i="4" s="1"/>
  <c r="T8" i="4"/>
  <c r="S8" i="4"/>
  <c r="E8" i="4"/>
  <c r="R8" i="4" s="1"/>
  <c r="A8" i="4"/>
  <c r="O8" i="4" s="1"/>
  <c r="AH7" i="4"/>
  <c r="AG7" i="4"/>
  <c r="AE7" i="4"/>
  <c r="AD7" i="4"/>
  <c r="AC7" i="4"/>
  <c r="AB7" i="4"/>
  <c r="AA7" i="4"/>
  <c r="Z7" i="4"/>
  <c r="Y7" i="4"/>
  <c r="X7" i="4"/>
  <c r="W7" i="4"/>
  <c r="U7" i="4"/>
  <c r="V7" i="4" s="1"/>
  <c r="E7" i="4"/>
  <c r="T7" i="4" s="1"/>
  <c r="A7" i="4"/>
  <c r="AI7" i="4" s="1"/>
  <c r="AH6" i="4"/>
  <c r="AG6" i="4"/>
  <c r="AE6" i="4"/>
  <c r="AD6" i="4"/>
  <c r="AC6" i="4"/>
  <c r="AB6" i="4"/>
  <c r="AA6" i="4"/>
  <c r="Z6" i="4"/>
  <c r="Y6" i="4"/>
  <c r="X6" i="4"/>
  <c r="W6" i="4"/>
  <c r="U6" i="4"/>
  <c r="V6" i="4" s="1"/>
  <c r="E6" i="4"/>
  <c r="R6" i="4" s="1"/>
  <c r="A6" i="4"/>
  <c r="O6" i="4" s="1"/>
  <c r="AH5" i="4"/>
  <c r="AG5" i="4"/>
  <c r="AE5" i="4"/>
  <c r="AD5" i="4"/>
  <c r="AC5" i="4"/>
  <c r="AB5" i="4"/>
  <c r="AA5" i="4"/>
  <c r="Z5" i="4"/>
  <c r="Y5" i="4"/>
  <c r="X5" i="4"/>
  <c r="W5" i="4"/>
  <c r="U5" i="4"/>
  <c r="V5" i="4" s="1"/>
  <c r="R5" i="4"/>
  <c r="E5" i="4"/>
  <c r="AF5" i="4" s="1"/>
  <c r="A5" i="4"/>
  <c r="O5" i="4" s="1"/>
  <c r="AH4" i="4"/>
  <c r="AG4" i="4"/>
  <c r="AE4" i="4"/>
  <c r="AD4" i="4"/>
  <c r="AC4" i="4"/>
  <c r="AB4" i="4"/>
  <c r="AA4" i="4"/>
  <c r="Z4" i="4"/>
  <c r="Y4" i="4"/>
  <c r="X4" i="4"/>
  <c r="W4" i="4"/>
  <c r="U4" i="4"/>
  <c r="V4" i="4" s="1"/>
  <c r="E4" i="4"/>
  <c r="R4" i="4" s="1"/>
  <c r="A4" i="4"/>
  <c r="AI4" i="4" s="1"/>
  <c r="AH3" i="4"/>
  <c r="AG3" i="4"/>
  <c r="AE3" i="4"/>
  <c r="AD3" i="4"/>
  <c r="AC3" i="4"/>
  <c r="AB3" i="4"/>
  <c r="AA3" i="4"/>
  <c r="Z3" i="4"/>
  <c r="Y3" i="4"/>
  <c r="X3" i="4"/>
  <c r="W3" i="4"/>
  <c r="U3" i="4"/>
  <c r="V3" i="4" s="1"/>
  <c r="E3" i="4"/>
  <c r="R3" i="4" s="1"/>
  <c r="A3" i="4"/>
  <c r="O3" i="4" s="1"/>
  <c r="AH2" i="4"/>
  <c r="AG2" i="4"/>
  <c r="AE2" i="4"/>
  <c r="AD2" i="4"/>
  <c r="AC2" i="4"/>
  <c r="AB2" i="4"/>
  <c r="AA2" i="4"/>
  <c r="Z2" i="4"/>
  <c r="Y2" i="4"/>
  <c r="X2" i="4"/>
  <c r="W2" i="4"/>
  <c r="U2" i="4"/>
  <c r="V2" i="4" s="1"/>
  <c r="T2" i="4"/>
  <c r="R2" i="4"/>
  <c r="E2" i="4"/>
  <c r="AF2" i="4" s="1"/>
  <c r="A2" i="4"/>
  <c r="S2" i="4" s="1"/>
  <c r="AI18" i="4" l="1"/>
  <c r="T17" i="4"/>
  <c r="AI16" i="4"/>
  <c r="T16" i="4"/>
  <c r="R17" i="4"/>
  <c r="AI17" i="4"/>
  <c r="R18" i="4"/>
  <c r="S21" i="4"/>
  <c r="S17" i="4"/>
  <c r="O2" i="4"/>
  <c r="AI2" i="4"/>
  <c r="AI8" i="4"/>
  <c r="S18" i="4"/>
  <c r="T20" i="4"/>
  <c r="T21" i="4"/>
  <c r="R22" i="4"/>
  <c r="R23" i="4"/>
  <c r="O24" i="4"/>
  <c r="O10" i="4"/>
  <c r="AI10" i="4"/>
  <c r="T18" i="4"/>
  <c r="T22" i="4"/>
  <c r="T23" i="4"/>
  <c r="R24" i="4"/>
  <c r="R25" i="4"/>
  <c r="AI3" i="4"/>
  <c r="AI5" i="4"/>
  <c r="T24" i="4"/>
  <c r="S3" i="4"/>
  <c r="O13" i="4"/>
  <c r="O11" i="4"/>
  <c r="R13" i="4"/>
  <c r="AI13" i="4"/>
  <c r="T5" i="4"/>
  <c r="T6" i="4"/>
  <c r="T11" i="4"/>
  <c r="AI21" i="4"/>
  <c r="T3" i="4"/>
  <c r="S5" i="4"/>
  <c r="T4" i="4"/>
  <c r="T13" i="4"/>
  <c r="R14" i="4"/>
  <c r="O15" i="4"/>
  <c r="AE320" i="3"/>
  <c r="AE161" i="3"/>
  <c r="AE140" i="3"/>
  <c r="AE71" i="3"/>
  <c r="AE200" i="3"/>
  <c r="AE101" i="3"/>
  <c r="AE98" i="3"/>
  <c r="AE297" i="3"/>
  <c r="AE236" i="3"/>
  <c r="AE225" i="3"/>
  <c r="AE230" i="3"/>
  <c r="AE221" i="3"/>
  <c r="AE110" i="3"/>
  <c r="AE223" i="3"/>
  <c r="AE170" i="3"/>
  <c r="AE295" i="3"/>
  <c r="AE176" i="3"/>
  <c r="AE79" i="3"/>
  <c r="AE158" i="3"/>
  <c r="AE301" i="3"/>
  <c r="AE356" i="3"/>
  <c r="AE23" i="3"/>
  <c r="AE68" i="3"/>
  <c r="AE157" i="3"/>
  <c r="AE344" i="3"/>
  <c r="AE151" i="3"/>
  <c r="AE164" i="3"/>
  <c r="AE229" i="3"/>
  <c r="AE350" i="3"/>
  <c r="AE85" i="3"/>
  <c r="AE338" i="3"/>
  <c r="AE155" i="3"/>
  <c r="AE284" i="3"/>
  <c r="AE83" i="3"/>
  <c r="AE278" i="3"/>
  <c r="AE292" i="3"/>
  <c r="AE86" i="3"/>
  <c r="AE104" i="3"/>
  <c r="AE156" i="3"/>
  <c r="AE105" i="3"/>
  <c r="AE228" i="3"/>
  <c r="AE24" i="3"/>
  <c r="AE148" i="3"/>
  <c r="AE44" i="3"/>
  <c r="AE150" i="3"/>
  <c r="AE103" i="3"/>
  <c r="AE84" i="3"/>
  <c r="AE146" i="3"/>
  <c r="AE66" i="3"/>
  <c r="AE296" i="3"/>
  <c r="AE45" i="3"/>
  <c r="AE222" i="3"/>
  <c r="AE65" i="3"/>
  <c r="AE224" i="3"/>
  <c r="AE218" i="3"/>
  <c r="AE46" i="3"/>
  <c r="AE294" i="3"/>
  <c r="AE43" i="3"/>
  <c r="AE78" i="3"/>
  <c r="AE63" i="3"/>
  <c r="AE80" i="3"/>
  <c r="AE106" i="3"/>
  <c r="AE300" i="3"/>
  <c r="AE64" i="3"/>
  <c r="AE290" i="3"/>
  <c r="AE96" i="3"/>
  <c r="AE51" i="3"/>
  <c r="AE33" i="3"/>
  <c r="AE18" i="3"/>
  <c r="AE76" i="3"/>
  <c r="AE41" i="3"/>
  <c r="AE75" i="3"/>
  <c r="AE40" i="3"/>
  <c r="AE15" i="3"/>
  <c r="AE10" i="3"/>
  <c r="AE35" i="3"/>
  <c r="AE20" i="3"/>
  <c r="AE55" i="3"/>
  <c r="AE30" i="3"/>
  <c r="AE56" i="3"/>
  <c r="AE31" i="3"/>
  <c r="AE53" i="3"/>
  <c r="AE28" i="3"/>
  <c r="AE74" i="3"/>
  <c r="AE39" i="3"/>
  <c r="AE16" i="3"/>
  <c r="AE36" i="3"/>
  <c r="AE21" i="3"/>
  <c r="AE116" i="3"/>
  <c r="AE61" i="3"/>
  <c r="AE95" i="3"/>
  <c r="AE50" i="3"/>
  <c r="AE114" i="3"/>
  <c r="AE59" i="3"/>
  <c r="AE54" i="3"/>
  <c r="AE29" i="3"/>
  <c r="AE14" i="3"/>
  <c r="AE25" i="3"/>
  <c r="AE73" i="3"/>
  <c r="AE38" i="3"/>
  <c r="AE115" i="3"/>
  <c r="AE60" i="3"/>
  <c r="AE94" i="3"/>
  <c r="AE49" i="3"/>
  <c r="AE34" i="3"/>
  <c r="AE19" i="3"/>
  <c r="AE113" i="3"/>
  <c r="AE58" i="3"/>
  <c r="AE93" i="3"/>
  <c r="AE48" i="3"/>
  <c r="AE26" i="3"/>
  <c r="T20" i="3"/>
  <c r="T170" i="3"/>
  <c r="V5" i="3"/>
  <c r="T110" i="3"/>
  <c r="V149" i="3"/>
  <c r="V80" i="3"/>
  <c r="T26" i="3"/>
  <c r="V113" i="3"/>
  <c r="T29" i="3"/>
  <c r="V173" i="3"/>
  <c r="V65" i="3"/>
  <c r="V56" i="3"/>
  <c r="V8" i="3"/>
  <c r="T71" i="3"/>
  <c r="T143" i="3"/>
  <c r="T74" i="3"/>
  <c r="V20" i="3"/>
  <c r="V53" i="3"/>
  <c r="V41" i="3"/>
  <c r="V11" i="3"/>
  <c r="V140" i="3"/>
  <c r="V164" i="3"/>
  <c r="V89" i="3"/>
  <c r="T35" i="3"/>
  <c r="V170" i="3"/>
  <c r="V50" i="3"/>
  <c r="V14" i="3"/>
  <c r="V44" i="3"/>
  <c r="T80" i="3"/>
  <c r="T50" i="3"/>
  <c r="T140" i="3"/>
  <c r="T5" i="3"/>
  <c r="T23" i="3"/>
  <c r="V23" i="3"/>
  <c r="V116" i="3"/>
  <c r="T179" i="3"/>
  <c r="V179" i="3"/>
  <c r="V158" i="3"/>
  <c r="T116" i="3"/>
  <c r="V176" i="3"/>
  <c r="V101" i="3"/>
  <c r="V143" i="3"/>
  <c r="T155" i="3"/>
  <c r="V155" i="3"/>
  <c r="T86" i="3"/>
  <c r="V86" i="3"/>
  <c r="T176" i="3"/>
  <c r="V83" i="3"/>
  <c r="V110" i="3"/>
  <c r="V35" i="3"/>
  <c r="V68" i="3"/>
  <c r="V71" i="3"/>
  <c r="T59" i="3"/>
  <c r="V59" i="3"/>
  <c r="V119" i="3"/>
  <c r="T161" i="3"/>
  <c r="V161" i="3"/>
  <c r="T119" i="3"/>
  <c r="T95" i="3"/>
  <c r="V95" i="3"/>
  <c r="V74" i="3"/>
  <c r="V38" i="3"/>
  <c r="T65" i="3"/>
  <c r="V26" i="3"/>
  <c r="T83" i="3"/>
  <c r="T38" i="3"/>
  <c r="T104" i="3"/>
  <c r="V104" i="3"/>
  <c r="V98" i="3"/>
  <c r="T146" i="3"/>
  <c r="V146" i="3"/>
  <c r="V29" i="3"/>
  <c r="AG17" i="3"/>
  <c r="AG15" i="3"/>
  <c r="AG14" i="3"/>
  <c r="U20" i="3"/>
  <c r="AG33" i="3"/>
  <c r="U110" i="3"/>
  <c r="Q158" i="3"/>
  <c r="Q83" i="3"/>
  <c r="Q74" i="3"/>
  <c r="U65" i="3"/>
  <c r="U35" i="3"/>
  <c r="AG13" i="3"/>
  <c r="Q80" i="3"/>
  <c r="Q44" i="3"/>
  <c r="U149" i="3"/>
  <c r="T44" i="3"/>
  <c r="AG51" i="3"/>
  <c r="Q164" i="3"/>
  <c r="T164" i="3"/>
  <c r="Q59" i="3"/>
  <c r="U164" i="3"/>
  <c r="U104" i="3"/>
  <c r="T14" i="3"/>
  <c r="U14" i="3"/>
  <c r="AG46" i="3"/>
  <c r="Q179" i="3"/>
  <c r="Q149" i="3"/>
  <c r="Q89" i="3"/>
  <c r="T149" i="3"/>
  <c r="T89" i="3"/>
  <c r="U44" i="3"/>
  <c r="Q104" i="3"/>
  <c r="U59" i="3"/>
  <c r="U179" i="3"/>
  <c r="AG43" i="3"/>
  <c r="T113" i="3"/>
  <c r="U173" i="3"/>
  <c r="AG31" i="3"/>
  <c r="Q56" i="3"/>
  <c r="T101" i="3"/>
  <c r="U161" i="3"/>
  <c r="AG44" i="3"/>
  <c r="T53" i="3"/>
  <c r="AG30" i="3"/>
  <c r="T8" i="3"/>
  <c r="T173" i="3"/>
  <c r="AG37" i="3"/>
  <c r="AG34" i="3"/>
  <c r="T68" i="3"/>
  <c r="U113" i="3"/>
  <c r="U23" i="3"/>
  <c r="AG25" i="3"/>
  <c r="Q11" i="3"/>
  <c r="T56" i="3"/>
  <c r="U101" i="3"/>
  <c r="AG41" i="3"/>
  <c r="Q98" i="3"/>
  <c r="T158" i="3"/>
  <c r="U53" i="3"/>
  <c r="AG27" i="3"/>
  <c r="U8" i="3"/>
  <c r="AG24" i="3"/>
  <c r="AG40" i="3"/>
  <c r="U68" i="3"/>
  <c r="Q143" i="3"/>
  <c r="T11" i="3"/>
  <c r="U56" i="3"/>
  <c r="T98" i="3"/>
  <c r="U86" i="3"/>
  <c r="AG28" i="3"/>
  <c r="U11" i="3"/>
  <c r="Q176" i="3"/>
  <c r="Q41" i="3"/>
  <c r="U146" i="3"/>
  <c r="U143" i="3"/>
  <c r="T41" i="3"/>
  <c r="U176" i="3"/>
  <c r="AG16" i="3"/>
  <c r="U50" i="3"/>
  <c r="AG22" i="3"/>
  <c r="AG19" i="3"/>
  <c r="U95" i="3"/>
  <c r="O9" i="4"/>
  <c r="AF3" i="4"/>
  <c r="S6" i="4"/>
  <c r="AI6" i="4"/>
  <c r="T9" i="4"/>
  <c r="R19" i="4"/>
  <c r="S22" i="4"/>
  <c r="AI22" i="4"/>
  <c r="T25" i="4"/>
  <c r="S19" i="4"/>
  <c r="AI19" i="4"/>
  <c r="AF7" i="4"/>
  <c r="AF4" i="4"/>
  <c r="O7" i="4"/>
  <c r="R10" i="4"/>
  <c r="AF20" i="4"/>
  <c r="O23" i="4"/>
  <c r="R7" i="4"/>
  <c r="O20" i="4"/>
  <c r="S7" i="4"/>
  <c r="S23" i="4"/>
  <c r="O4" i="4"/>
  <c r="S4" i="4"/>
  <c r="AF11" i="4"/>
  <c r="O14" i="4"/>
  <c r="S20" i="4"/>
  <c r="AF8" i="4"/>
  <c r="S14" i="4"/>
  <c r="AF21" i="4"/>
  <c r="S11" i="4"/>
  <c r="S24" i="4"/>
  <c r="AF12" i="4"/>
  <c r="AF6" i="4"/>
  <c r="O25" i="4"/>
  <c r="O12" i="4"/>
  <c r="S12" i="4"/>
  <c r="AF9" i="4"/>
  <c r="R12" i="4"/>
  <c r="S9" i="4"/>
  <c r="S25" i="4"/>
  <c r="AD3" i="3"/>
  <c r="AD4" i="3"/>
  <c r="AD5" i="3"/>
  <c r="AD6" i="3"/>
  <c r="AD7" i="3"/>
  <c r="AD8" i="3"/>
  <c r="AD9" i="3"/>
  <c r="AD10" i="3"/>
  <c r="AD11" i="3"/>
  <c r="AD12" i="3"/>
  <c r="AD2" i="3"/>
  <c r="AF3" i="3" l="1"/>
  <c r="AF4" i="3"/>
  <c r="AF5" i="3"/>
  <c r="AF6" i="3"/>
  <c r="AF7" i="3"/>
  <c r="AF8" i="3"/>
  <c r="AF9" i="3"/>
  <c r="AF10" i="3"/>
  <c r="AF11" i="3"/>
  <c r="AF12" i="3"/>
  <c r="AF2" i="3"/>
  <c r="U2" i="3"/>
  <c r="Q17" i="3"/>
  <c r="U32" i="3"/>
  <c r="Q47" i="3"/>
  <c r="Q62" i="3"/>
  <c r="U92" i="3"/>
  <c r="U107" i="3"/>
  <c r="U137" i="3"/>
  <c r="U167" i="3"/>
  <c r="AC167" i="3"/>
  <c r="AA167" i="3"/>
  <c r="X167" i="3"/>
  <c r="E167" i="3"/>
  <c r="AE167" i="3" s="1"/>
  <c r="AC152" i="3"/>
  <c r="AA152" i="3"/>
  <c r="X152" i="3"/>
  <c r="E152" i="3"/>
  <c r="AC137" i="3"/>
  <c r="AA137" i="3"/>
  <c r="X137" i="3"/>
  <c r="E137" i="3"/>
  <c r="AE137" i="3" s="1"/>
  <c r="AC107" i="3"/>
  <c r="AA107" i="3"/>
  <c r="X107" i="3"/>
  <c r="E107" i="3"/>
  <c r="AE107" i="3" s="1"/>
  <c r="AC92" i="3"/>
  <c r="AA92" i="3"/>
  <c r="X92" i="3"/>
  <c r="E92" i="3"/>
  <c r="AE182" i="3" s="1"/>
  <c r="AC77" i="3"/>
  <c r="AA77" i="3"/>
  <c r="X77" i="3"/>
  <c r="E77" i="3"/>
  <c r="AC62" i="3"/>
  <c r="AA62" i="3"/>
  <c r="X62" i="3"/>
  <c r="E62" i="3"/>
  <c r="AE122" i="3" s="1"/>
  <c r="AC47" i="3"/>
  <c r="AA47" i="3"/>
  <c r="X47" i="3"/>
  <c r="E47" i="3"/>
  <c r="AE5" i="3" s="1"/>
  <c r="AC32" i="3"/>
  <c r="AA32" i="3"/>
  <c r="X32" i="3"/>
  <c r="E32" i="3"/>
  <c r="AE4" i="3" s="1"/>
  <c r="AC17" i="3"/>
  <c r="AA17" i="3"/>
  <c r="X17" i="3"/>
  <c r="E17" i="3"/>
  <c r="AE3" i="3" s="1"/>
  <c r="AC2" i="3"/>
  <c r="AA2" i="3"/>
  <c r="X2" i="3"/>
  <c r="E2" i="3"/>
  <c r="AE2" i="3" s="1"/>
  <c r="AE152" i="3" l="1"/>
  <c r="AE77" i="3"/>
  <c r="AE11" i="3"/>
  <c r="AE272" i="3"/>
  <c r="AE102" i="3"/>
  <c r="AE302" i="3"/>
  <c r="AE13" i="3"/>
  <c r="AE332" i="3"/>
  <c r="AE9" i="3"/>
  <c r="AE212" i="3"/>
  <c r="AE42" i="3"/>
  <c r="AE6" i="3"/>
  <c r="AE62" i="3"/>
  <c r="AE8" i="3"/>
  <c r="AE52" i="3"/>
  <c r="AE27" i="3"/>
  <c r="AE92" i="3"/>
  <c r="AE47" i="3"/>
  <c r="AE12" i="3"/>
  <c r="AE7" i="3"/>
  <c r="AE22" i="3"/>
  <c r="AE112" i="3"/>
  <c r="AE57" i="3"/>
  <c r="AE32" i="3"/>
  <c r="AE17" i="3"/>
  <c r="AE72" i="3"/>
  <c r="AE37" i="3"/>
  <c r="V2" i="3"/>
  <c r="V62" i="3"/>
  <c r="V17" i="3"/>
  <c r="V77" i="3"/>
  <c r="V167" i="3"/>
  <c r="V32" i="3"/>
  <c r="V107" i="3"/>
  <c r="V92" i="3"/>
  <c r="V137" i="3"/>
  <c r="V47" i="3"/>
  <c r="T152" i="3"/>
  <c r="V152" i="3"/>
  <c r="AG2" i="3"/>
  <c r="AG3" i="3"/>
  <c r="Q2" i="3"/>
  <c r="Q32" i="3"/>
  <c r="T2" i="3"/>
  <c r="T92" i="3"/>
  <c r="T62" i="3"/>
  <c r="T32" i="3"/>
  <c r="Q92" i="3"/>
  <c r="U62" i="3"/>
  <c r="Q152" i="3"/>
  <c r="U152" i="3"/>
  <c r="Q107" i="3"/>
  <c r="Q167" i="3"/>
  <c r="T47" i="3"/>
  <c r="T107" i="3"/>
  <c r="T167" i="3"/>
  <c r="U47" i="3"/>
  <c r="Q137" i="3"/>
  <c r="T17" i="3"/>
  <c r="T77" i="3"/>
  <c r="U17" i="3"/>
  <c r="U77" i="3"/>
  <c r="Q77" i="3"/>
  <c r="T137" i="3"/>
  <c r="AG12" i="3"/>
  <c r="AG11" i="3"/>
  <c r="AG9" i="3"/>
  <c r="AG8" i="3"/>
  <c r="AG7" i="3"/>
  <c r="AG10" i="3"/>
  <c r="AG6" i="3"/>
  <c r="AG4" i="3"/>
  <c r="AG5" i="3"/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2" i="2"/>
  <c r="T3" i="2"/>
  <c r="U3" i="2" s="1"/>
  <c r="V3" i="2"/>
  <c r="W3" i="2"/>
  <c r="T4" i="2"/>
  <c r="U4" i="2" s="1"/>
  <c r="V4" i="2"/>
  <c r="W4" i="2"/>
  <c r="T5" i="2"/>
  <c r="U5" i="2"/>
  <c r="V5" i="2"/>
  <c r="W5" i="2"/>
  <c r="T6" i="2"/>
  <c r="U6" i="2" s="1"/>
  <c r="V6" i="2"/>
  <c r="W6" i="2"/>
  <c r="T7" i="2"/>
  <c r="U7" i="2" s="1"/>
  <c r="V7" i="2"/>
  <c r="W7" i="2"/>
  <c r="T8" i="2"/>
  <c r="U8" i="2" s="1"/>
  <c r="V8" i="2"/>
  <c r="W8" i="2"/>
  <c r="T9" i="2"/>
  <c r="U9" i="2"/>
  <c r="V9" i="2"/>
  <c r="W9" i="2"/>
  <c r="T10" i="2"/>
  <c r="U10" i="2"/>
  <c r="V10" i="2"/>
  <c r="W10" i="2"/>
  <c r="T11" i="2"/>
  <c r="U11" i="2" s="1"/>
  <c r="V11" i="2"/>
  <c r="W11" i="2"/>
  <c r="T12" i="2"/>
  <c r="U12" i="2"/>
  <c r="V12" i="2"/>
  <c r="W12" i="2"/>
  <c r="T13" i="2"/>
  <c r="U13" i="2" s="1"/>
  <c r="V13" i="2"/>
  <c r="W13" i="2"/>
  <c r="T14" i="2"/>
  <c r="U14" i="2" s="1"/>
  <c r="V14" i="2"/>
  <c r="W14" i="2"/>
  <c r="T15" i="2"/>
  <c r="U15" i="2" s="1"/>
  <c r="V15" i="2"/>
  <c r="W15" i="2"/>
  <c r="T16" i="2"/>
  <c r="U16" i="2" s="1"/>
  <c r="V16" i="2"/>
  <c r="W16" i="2"/>
  <c r="T17" i="2"/>
  <c r="U17" i="2" s="1"/>
  <c r="V17" i="2"/>
  <c r="W17" i="2"/>
  <c r="T18" i="2"/>
  <c r="U18" i="2" s="1"/>
  <c r="V18" i="2"/>
  <c r="W18" i="2"/>
  <c r="T19" i="2"/>
  <c r="U19" i="2"/>
  <c r="V19" i="2"/>
  <c r="W19" i="2"/>
  <c r="T20" i="2"/>
  <c r="U20" i="2" s="1"/>
  <c r="V20" i="2"/>
  <c r="W20" i="2"/>
  <c r="T21" i="2"/>
  <c r="U21" i="2" s="1"/>
  <c r="V21" i="2"/>
  <c r="W21" i="2"/>
  <c r="T22" i="2"/>
  <c r="U22" i="2" s="1"/>
  <c r="V22" i="2"/>
  <c r="W22" i="2"/>
  <c r="T23" i="2"/>
  <c r="U23" i="2" s="1"/>
  <c r="V23" i="2"/>
  <c r="W23" i="2"/>
  <c r="T24" i="2"/>
  <c r="U24" i="2" s="1"/>
  <c r="V24" i="2"/>
  <c r="W24" i="2"/>
  <c r="T25" i="2"/>
  <c r="U25" i="2" s="1"/>
  <c r="V25" i="2"/>
  <c r="W25" i="2"/>
  <c r="T26" i="2"/>
  <c r="U26" i="2" s="1"/>
  <c r="V26" i="2"/>
  <c r="W26" i="2"/>
  <c r="T27" i="2"/>
  <c r="U27" i="2" s="1"/>
  <c r="V27" i="2"/>
  <c r="W27" i="2"/>
  <c r="T28" i="2"/>
  <c r="U28" i="2"/>
  <c r="V28" i="2"/>
  <c r="W28" i="2"/>
  <c r="T29" i="2"/>
  <c r="U29" i="2" s="1"/>
  <c r="V29" i="2"/>
  <c r="W29" i="2"/>
  <c r="T30" i="2"/>
  <c r="U30" i="2" s="1"/>
  <c r="V30" i="2"/>
  <c r="W30" i="2"/>
  <c r="T31" i="2"/>
  <c r="U31" i="2" s="1"/>
  <c r="V31" i="2"/>
  <c r="W31" i="2"/>
  <c r="T32" i="2"/>
  <c r="U32" i="2"/>
  <c r="V32" i="2"/>
  <c r="W32" i="2"/>
  <c r="T33" i="2"/>
  <c r="U33" i="2" s="1"/>
  <c r="V33" i="2"/>
  <c r="W33" i="2"/>
  <c r="T34" i="2"/>
  <c r="U34" i="2" s="1"/>
  <c r="V34" i="2"/>
  <c r="W34" i="2"/>
  <c r="T35" i="2"/>
  <c r="U35" i="2" s="1"/>
  <c r="V35" i="2"/>
  <c r="W35" i="2"/>
  <c r="T36" i="2"/>
  <c r="U36" i="2" s="1"/>
  <c r="V36" i="2"/>
  <c r="W36" i="2"/>
  <c r="T37" i="2"/>
  <c r="U37" i="2"/>
  <c r="V37" i="2"/>
  <c r="W37" i="2"/>
  <c r="T38" i="2"/>
  <c r="U38" i="2" s="1"/>
  <c r="V38" i="2"/>
  <c r="W38" i="2"/>
  <c r="T39" i="2"/>
  <c r="U39" i="2"/>
  <c r="V39" i="2"/>
  <c r="W39" i="2"/>
  <c r="T40" i="2"/>
  <c r="U40" i="2" s="1"/>
  <c r="V40" i="2"/>
  <c r="W40" i="2"/>
  <c r="T41" i="2"/>
  <c r="U41" i="2" s="1"/>
  <c r="V41" i="2"/>
  <c r="W41" i="2"/>
  <c r="T42" i="2"/>
  <c r="U42" i="2" s="1"/>
  <c r="V42" i="2"/>
  <c r="W42" i="2"/>
  <c r="T43" i="2"/>
  <c r="U43" i="2" s="1"/>
  <c r="V43" i="2"/>
  <c r="W43" i="2"/>
  <c r="T44" i="2"/>
  <c r="U44" i="2"/>
  <c r="V44" i="2"/>
  <c r="W44" i="2"/>
  <c r="T45" i="2"/>
  <c r="U45" i="2" s="1"/>
  <c r="V45" i="2"/>
  <c r="W45" i="2"/>
  <c r="T46" i="2"/>
  <c r="U46" i="2" s="1"/>
  <c r="V46" i="2"/>
  <c r="W46" i="2"/>
  <c r="T47" i="2"/>
  <c r="U47" i="2" s="1"/>
  <c r="V47" i="2"/>
  <c r="W47" i="2"/>
  <c r="T48" i="2"/>
  <c r="U48" i="2"/>
  <c r="V48" i="2"/>
  <c r="W48" i="2"/>
  <c r="T49" i="2"/>
  <c r="U49" i="2"/>
  <c r="V49" i="2"/>
  <c r="W49" i="2"/>
  <c r="T50" i="2"/>
  <c r="U50" i="2" s="1"/>
  <c r="V50" i="2"/>
  <c r="W50" i="2"/>
  <c r="T51" i="2"/>
  <c r="U51" i="2" s="1"/>
  <c r="V51" i="2"/>
  <c r="W51" i="2"/>
  <c r="T52" i="2"/>
  <c r="U52" i="2" s="1"/>
  <c r="V52" i="2"/>
  <c r="W52" i="2"/>
  <c r="T53" i="2"/>
  <c r="U53" i="2"/>
  <c r="V53" i="2"/>
  <c r="W53" i="2"/>
  <c r="T54" i="2"/>
  <c r="U54" i="2" s="1"/>
  <c r="V54" i="2"/>
  <c r="W54" i="2"/>
  <c r="T55" i="2"/>
  <c r="U55" i="2"/>
  <c r="V55" i="2"/>
  <c r="W55" i="2"/>
  <c r="T56" i="2"/>
  <c r="U56" i="2"/>
  <c r="V56" i="2"/>
  <c r="W56" i="2"/>
  <c r="T57" i="2"/>
  <c r="U57" i="2" s="1"/>
  <c r="V57" i="2"/>
  <c r="W57" i="2"/>
  <c r="T58" i="2"/>
  <c r="U58" i="2" s="1"/>
  <c r="V58" i="2"/>
  <c r="W58" i="2"/>
  <c r="T59" i="2"/>
  <c r="U59" i="2" s="1"/>
  <c r="V59" i="2"/>
  <c r="W59" i="2"/>
  <c r="T60" i="2"/>
  <c r="U60" i="2" s="1"/>
  <c r="V60" i="2"/>
  <c r="W60" i="2"/>
  <c r="T61" i="2"/>
  <c r="U61" i="2" s="1"/>
  <c r="V61" i="2"/>
  <c r="W61" i="2"/>
  <c r="T62" i="2"/>
  <c r="U62" i="2"/>
  <c r="V62" i="2"/>
  <c r="W62" i="2"/>
  <c r="T63" i="2"/>
  <c r="U63" i="2" s="1"/>
  <c r="V63" i="2"/>
  <c r="W63" i="2"/>
  <c r="T64" i="2"/>
  <c r="U64" i="2" s="1"/>
  <c r="V64" i="2"/>
  <c r="W64" i="2"/>
  <c r="T65" i="2"/>
  <c r="U65" i="2"/>
  <c r="V65" i="2"/>
  <c r="W65" i="2"/>
  <c r="T66" i="2"/>
  <c r="U66" i="2"/>
  <c r="V66" i="2"/>
  <c r="W66" i="2"/>
  <c r="T67" i="2"/>
  <c r="U67" i="2" s="1"/>
  <c r="V67" i="2"/>
  <c r="W67" i="2"/>
  <c r="T68" i="2"/>
  <c r="U68" i="2" s="1"/>
  <c r="V68" i="2"/>
  <c r="W68" i="2"/>
  <c r="T69" i="2"/>
  <c r="U69" i="2" s="1"/>
  <c r="V69" i="2"/>
  <c r="W69" i="2"/>
  <c r="T70" i="2"/>
  <c r="U70" i="2" s="1"/>
  <c r="V70" i="2"/>
  <c r="W70" i="2"/>
  <c r="T71" i="2"/>
  <c r="U71" i="2" s="1"/>
  <c r="V71" i="2"/>
  <c r="W71" i="2"/>
  <c r="T72" i="2"/>
  <c r="U72" i="2"/>
  <c r="V72" i="2"/>
  <c r="W72" i="2"/>
  <c r="T73" i="2"/>
  <c r="U73" i="2"/>
  <c r="V73" i="2"/>
  <c r="W73" i="2"/>
  <c r="T74" i="2"/>
  <c r="U74" i="2" s="1"/>
  <c r="V74" i="2"/>
  <c r="W74" i="2"/>
  <c r="T75" i="2"/>
  <c r="U75" i="2" s="1"/>
  <c r="V75" i="2"/>
  <c r="W75" i="2"/>
  <c r="T76" i="2"/>
  <c r="U76" i="2" s="1"/>
  <c r="V76" i="2"/>
  <c r="W76" i="2"/>
  <c r="T77" i="2"/>
  <c r="U77" i="2" s="1"/>
  <c r="V77" i="2"/>
  <c r="W77" i="2"/>
  <c r="T78" i="2"/>
  <c r="U78" i="2"/>
  <c r="V78" i="2"/>
  <c r="W78" i="2"/>
  <c r="T79" i="2"/>
  <c r="U79" i="2" s="1"/>
  <c r="V79" i="2"/>
  <c r="W79" i="2"/>
  <c r="T80" i="2"/>
  <c r="U80" i="2" s="1"/>
  <c r="V80" i="2"/>
  <c r="W80" i="2"/>
  <c r="T81" i="2"/>
  <c r="U81" i="2" s="1"/>
  <c r="V81" i="2"/>
  <c r="W81" i="2"/>
  <c r="W2" i="2"/>
  <c r="V2" i="2"/>
  <c r="T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2" i="2"/>
  <c r="U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2" i="2"/>
  <c r="A3" i="2"/>
  <c r="AG3" i="2" s="1"/>
  <c r="A4" i="2"/>
  <c r="AG4" i="2" s="1"/>
  <c r="A5" i="2"/>
  <c r="AG5" i="2" s="1"/>
  <c r="A6" i="2"/>
  <c r="AG6" i="2" s="1"/>
  <c r="A7" i="2"/>
  <c r="AG7" i="2" s="1"/>
  <c r="A8" i="2"/>
  <c r="AG8" i="2" s="1"/>
  <c r="A9" i="2"/>
  <c r="AG9" i="2" s="1"/>
  <c r="A10" i="2"/>
  <c r="AG10" i="2" s="1"/>
  <c r="A11" i="2"/>
  <c r="AG11" i="2" s="1"/>
  <c r="A12" i="2"/>
  <c r="AG12" i="2" s="1"/>
  <c r="A13" i="2"/>
  <c r="AG13" i="2" s="1"/>
  <c r="A14" i="2"/>
  <c r="AG14" i="2" s="1"/>
  <c r="A15" i="2"/>
  <c r="AG15" i="2" s="1"/>
  <c r="A16" i="2"/>
  <c r="AG16" i="2" s="1"/>
  <c r="A17" i="2"/>
  <c r="AG17" i="2" s="1"/>
  <c r="A18" i="2"/>
  <c r="AG18" i="2" s="1"/>
  <c r="A19" i="2"/>
  <c r="AG19" i="2" s="1"/>
  <c r="A20" i="2"/>
  <c r="AG20" i="2" s="1"/>
  <c r="A21" i="2"/>
  <c r="AG21" i="2" s="1"/>
  <c r="A22" i="2"/>
  <c r="AG22" i="2" s="1"/>
  <c r="A23" i="2"/>
  <c r="AG23" i="2" s="1"/>
  <c r="A24" i="2"/>
  <c r="AG24" i="2" s="1"/>
  <c r="A25" i="2"/>
  <c r="AG25" i="2" s="1"/>
  <c r="A26" i="2"/>
  <c r="AG26" i="2" s="1"/>
  <c r="A27" i="2"/>
  <c r="AG27" i="2" s="1"/>
  <c r="A28" i="2"/>
  <c r="AG28" i="2" s="1"/>
  <c r="A29" i="2"/>
  <c r="AG29" i="2" s="1"/>
  <c r="A30" i="2"/>
  <c r="AG30" i="2" s="1"/>
  <c r="A31" i="2"/>
  <c r="AG31" i="2" s="1"/>
  <c r="A32" i="2"/>
  <c r="AG32" i="2" s="1"/>
  <c r="A33" i="2"/>
  <c r="AG33" i="2" s="1"/>
  <c r="A34" i="2"/>
  <c r="AG34" i="2" s="1"/>
  <c r="A35" i="2"/>
  <c r="AG35" i="2" s="1"/>
  <c r="A36" i="2"/>
  <c r="AG36" i="2" s="1"/>
  <c r="A37" i="2"/>
  <c r="AG37" i="2" s="1"/>
  <c r="A38" i="2"/>
  <c r="AG38" i="2" s="1"/>
  <c r="A39" i="2"/>
  <c r="AG39" i="2" s="1"/>
  <c r="A40" i="2"/>
  <c r="AG40" i="2" s="1"/>
  <c r="A41" i="2"/>
  <c r="AG41" i="2" s="1"/>
  <c r="A42" i="2"/>
  <c r="AG42" i="2" s="1"/>
  <c r="A43" i="2"/>
  <c r="AG43" i="2" s="1"/>
  <c r="A44" i="2"/>
  <c r="AG44" i="2" s="1"/>
  <c r="A45" i="2"/>
  <c r="AG45" i="2" s="1"/>
  <c r="A46" i="2"/>
  <c r="AG46" i="2" s="1"/>
  <c r="A47" i="2"/>
  <c r="AG47" i="2" s="1"/>
  <c r="A48" i="2"/>
  <c r="AG48" i="2" s="1"/>
  <c r="A49" i="2"/>
  <c r="AG49" i="2" s="1"/>
  <c r="A50" i="2"/>
  <c r="AG50" i="2" s="1"/>
  <c r="A51" i="2"/>
  <c r="AG51" i="2" s="1"/>
  <c r="A52" i="2"/>
  <c r="AG52" i="2" s="1"/>
  <c r="A53" i="2"/>
  <c r="AG53" i="2" s="1"/>
  <c r="A54" i="2"/>
  <c r="AG54" i="2" s="1"/>
  <c r="A55" i="2"/>
  <c r="AG55" i="2" s="1"/>
  <c r="A56" i="2"/>
  <c r="AG56" i="2" s="1"/>
  <c r="A57" i="2"/>
  <c r="AG57" i="2" s="1"/>
  <c r="A58" i="2"/>
  <c r="AG58" i="2" s="1"/>
  <c r="A59" i="2"/>
  <c r="AG59" i="2" s="1"/>
  <c r="A60" i="2"/>
  <c r="AG60" i="2" s="1"/>
  <c r="A61" i="2"/>
  <c r="AG61" i="2" s="1"/>
  <c r="A62" i="2"/>
  <c r="AG62" i="2" s="1"/>
  <c r="A63" i="2"/>
  <c r="AG63" i="2" s="1"/>
  <c r="A64" i="2"/>
  <c r="AG64" i="2" s="1"/>
  <c r="A65" i="2"/>
  <c r="AG65" i="2" s="1"/>
  <c r="A66" i="2"/>
  <c r="AG66" i="2" s="1"/>
  <c r="A67" i="2"/>
  <c r="AG67" i="2" s="1"/>
  <c r="A68" i="2"/>
  <c r="AG68" i="2" s="1"/>
  <c r="A69" i="2"/>
  <c r="AG69" i="2" s="1"/>
  <c r="A70" i="2"/>
  <c r="AG70" i="2" s="1"/>
  <c r="A71" i="2"/>
  <c r="AG71" i="2" s="1"/>
  <c r="A72" i="2"/>
  <c r="AG72" i="2" s="1"/>
  <c r="A73" i="2"/>
  <c r="AG73" i="2" s="1"/>
  <c r="A74" i="2"/>
  <c r="AG74" i="2" s="1"/>
  <c r="A75" i="2"/>
  <c r="AG75" i="2" s="1"/>
  <c r="A76" i="2"/>
  <c r="AG76" i="2" s="1"/>
  <c r="A77" i="2"/>
  <c r="AG77" i="2" s="1"/>
  <c r="A78" i="2"/>
  <c r="AG78" i="2" s="1"/>
  <c r="A79" i="2"/>
  <c r="AG79" i="2" s="1"/>
  <c r="A80" i="2"/>
  <c r="AG80" i="2" s="1"/>
  <c r="A81" i="2"/>
  <c r="AG81" i="2" s="1"/>
  <c r="A2" i="2"/>
  <c r="AG2" i="2" s="1"/>
  <c r="E3" i="2" l="1"/>
  <c r="S3" i="2" s="1"/>
  <c r="E4" i="2"/>
  <c r="S4" i="2" s="1"/>
  <c r="E5" i="2"/>
  <c r="S5" i="2" s="1"/>
  <c r="E22" i="2"/>
  <c r="S22" i="2" s="1"/>
  <c r="E23" i="2"/>
  <c r="S23" i="2" s="1"/>
  <c r="E24" i="2"/>
  <c r="S24" i="2" s="1"/>
  <c r="E25" i="2"/>
  <c r="S25" i="2" s="1"/>
  <c r="E42" i="2"/>
  <c r="S42" i="2" s="1"/>
  <c r="E43" i="2"/>
  <c r="S43" i="2" s="1"/>
  <c r="E44" i="2"/>
  <c r="S44" i="2" s="1"/>
  <c r="E45" i="2"/>
  <c r="S45" i="2" s="1"/>
  <c r="E62" i="2"/>
  <c r="S62" i="2" s="1"/>
  <c r="E63" i="2"/>
  <c r="S63" i="2" s="1"/>
  <c r="E64" i="2"/>
  <c r="S64" i="2" s="1"/>
  <c r="E65" i="2"/>
  <c r="S65" i="2" s="1"/>
  <c r="E6" i="2"/>
  <c r="S6" i="2" s="1"/>
  <c r="E7" i="2"/>
  <c r="S7" i="2" s="1"/>
  <c r="E8" i="2"/>
  <c r="S8" i="2" s="1"/>
  <c r="E9" i="2"/>
  <c r="S9" i="2" s="1"/>
  <c r="E26" i="2"/>
  <c r="S26" i="2" s="1"/>
  <c r="E27" i="2"/>
  <c r="S27" i="2" s="1"/>
  <c r="E28" i="2"/>
  <c r="S28" i="2" s="1"/>
  <c r="E29" i="2"/>
  <c r="S29" i="2" s="1"/>
  <c r="E46" i="2"/>
  <c r="S46" i="2" s="1"/>
  <c r="E47" i="2"/>
  <c r="S47" i="2" s="1"/>
  <c r="E48" i="2"/>
  <c r="S48" i="2" s="1"/>
  <c r="E49" i="2"/>
  <c r="S49" i="2" s="1"/>
  <c r="E66" i="2"/>
  <c r="S66" i="2" s="1"/>
  <c r="E67" i="2"/>
  <c r="S67" i="2" s="1"/>
  <c r="E68" i="2"/>
  <c r="S68" i="2" s="1"/>
  <c r="E69" i="2"/>
  <c r="S69" i="2" s="1"/>
  <c r="E10" i="2"/>
  <c r="S10" i="2" s="1"/>
  <c r="E11" i="2"/>
  <c r="S11" i="2" s="1"/>
  <c r="E12" i="2"/>
  <c r="S12" i="2" s="1"/>
  <c r="E13" i="2"/>
  <c r="S13" i="2" s="1"/>
  <c r="E30" i="2"/>
  <c r="S30" i="2" s="1"/>
  <c r="E31" i="2"/>
  <c r="S31" i="2" s="1"/>
  <c r="E32" i="2"/>
  <c r="S32" i="2" s="1"/>
  <c r="E33" i="2"/>
  <c r="S33" i="2" s="1"/>
  <c r="E50" i="2"/>
  <c r="S50" i="2" s="1"/>
  <c r="E51" i="2"/>
  <c r="S51" i="2" s="1"/>
  <c r="E52" i="2"/>
  <c r="S52" i="2" s="1"/>
  <c r="E53" i="2"/>
  <c r="S53" i="2" s="1"/>
  <c r="E70" i="2"/>
  <c r="S70" i="2" s="1"/>
  <c r="E71" i="2"/>
  <c r="S71" i="2" s="1"/>
  <c r="E72" i="2"/>
  <c r="S72" i="2" s="1"/>
  <c r="E73" i="2"/>
  <c r="S73" i="2" s="1"/>
  <c r="E14" i="2"/>
  <c r="S14" i="2" s="1"/>
  <c r="E15" i="2"/>
  <c r="S15" i="2" s="1"/>
  <c r="E16" i="2"/>
  <c r="S16" i="2" s="1"/>
  <c r="E17" i="2"/>
  <c r="S17" i="2" s="1"/>
  <c r="E34" i="2"/>
  <c r="S34" i="2" s="1"/>
  <c r="E35" i="2"/>
  <c r="S35" i="2" s="1"/>
  <c r="E36" i="2"/>
  <c r="S36" i="2" s="1"/>
  <c r="E37" i="2"/>
  <c r="S37" i="2" s="1"/>
  <c r="E54" i="2"/>
  <c r="S54" i="2" s="1"/>
  <c r="E55" i="2"/>
  <c r="S55" i="2" s="1"/>
  <c r="E56" i="2"/>
  <c r="S56" i="2" s="1"/>
  <c r="E57" i="2"/>
  <c r="S57" i="2" s="1"/>
  <c r="E74" i="2"/>
  <c r="S74" i="2" s="1"/>
  <c r="E75" i="2"/>
  <c r="S75" i="2" s="1"/>
  <c r="E76" i="2"/>
  <c r="S76" i="2" s="1"/>
  <c r="E77" i="2"/>
  <c r="S77" i="2" s="1"/>
  <c r="E18" i="2"/>
  <c r="S18" i="2" s="1"/>
  <c r="E19" i="2"/>
  <c r="S19" i="2" s="1"/>
  <c r="E20" i="2"/>
  <c r="S20" i="2" s="1"/>
  <c r="E21" i="2"/>
  <c r="S21" i="2" s="1"/>
  <c r="E38" i="2"/>
  <c r="S38" i="2" s="1"/>
  <c r="E39" i="2"/>
  <c r="S39" i="2" s="1"/>
  <c r="E40" i="2"/>
  <c r="S40" i="2" s="1"/>
  <c r="E41" i="2"/>
  <c r="S41" i="2" s="1"/>
  <c r="E58" i="2"/>
  <c r="S58" i="2" s="1"/>
  <c r="E59" i="2"/>
  <c r="S59" i="2" s="1"/>
  <c r="E60" i="2"/>
  <c r="S60" i="2" s="1"/>
  <c r="E61" i="2"/>
  <c r="S61" i="2" s="1"/>
  <c r="E78" i="2"/>
  <c r="S78" i="2" s="1"/>
  <c r="E79" i="2"/>
  <c r="S79" i="2" s="1"/>
  <c r="E80" i="2"/>
  <c r="S80" i="2" s="1"/>
  <c r="E81" i="2"/>
  <c r="S81" i="2" s="1"/>
  <c r="E2" i="2"/>
  <c r="S2" i="2" s="1"/>
  <c r="AD14" i="2" l="1"/>
  <c r="Q14" i="2"/>
  <c r="AD68" i="2"/>
  <c r="Q68" i="2"/>
  <c r="AD64" i="2"/>
  <c r="Q64" i="2"/>
  <c r="AD18" i="2"/>
  <c r="Q18" i="2"/>
  <c r="AD67" i="2"/>
  <c r="Q67" i="2"/>
  <c r="AD63" i="2"/>
  <c r="Q63" i="2"/>
  <c r="AD81" i="2"/>
  <c r="Q81" i="2"/>
  <c r="AD79" i="2"/>
  <c r="Q79" i="2"/>
  <c r="AD74" i="2"/>
  <c r="Q74" i="2"/>
  <c r="AD70" i="2"/>
  <c r="Q70" i="2"/>
  <c r="Q66" i="2"/>
  <c r="AD66" i="2"/>
  <c r="AD62" i="2"/>
  <c r="Q62" i="2"/>
  <c r="AD65" i="2"/>
  <c r="Q65" i="2"/>
  <c r="AD57" i="2"/>
  <c r="Q57" i="2"/>
  <c r="AD53" i="2"/>
  <c r="Q53" i="2"/>
  <c r="Q49" i="2"/>
  <c r="AD49" i="2"/>
  <c r="AD45" i="2"/>
  <c r="Q45" i="2"/>
  <c r="AD2" i="2"/>
  <c r="Q2" i="2"/>
  <c r="AD72" i="2"/>
  <c r="Q72" i="2"/>
  <c r="AD56" i="2"/>
  <c r="Q56" i="2"/>
  <c r="AD59" i="2"/>
  <c r="Q59" i="2"/>
  <c r="Q58" i="2"/>
  <c r="AD58" i="2"/>
  <c r="AD37" i="2"/>
  <c r="Q37" i="2"/>
  <c r="AD33" i="2"/>
  <c r="Q33" i="2"/>
  <c r="AD29" i="2"/>
  <c r="Q29" i="2"/>
  <c r="AD25" i="2"/>
  <c r="Q25" i="2"/>
  <c r="AD77" i="2"/>
  <c r="Q77" i="2"/>
  <c r="AD71" i="2"/>
  <c r="Q71" i="2"/>
  <c r="AD48" i="2"/>
  <c r="Q48" i="2"/>
  <c r="AD43" i="2"/>
  <c r="Q43" i="2"/>
  <c r="AD41" i="2"/>
  <c r="Q41" i="2"/>
  <c r="AD28" i="2"/>
  <c r="Q28" i="2"/>
  <c r="AD39" i="2"/>
  <c r="Q39" i="2"/>
  <c r="AD35" i="2"/>
  <c r="Q35" i="2"/>
  <c r="AD31" i="2"/>
  <c r="Q31" i="2"/>
  <c r="AD27" i="2"/>
  <c r="Q27" i="2"/>
  <c r="AD23" i="2"/>
  <c r="Q23" i="2"/>
  <c r="AD10" i="2"/>
  <c r="Q10" i="2"/>
  <c r="AD80" i="2"/>
  <c r="Q80" i="2"/>
  <c r="AD61" i="2"/>
  <c r="Q61" i="2"/>
  <c r="AD51" i="2"/>
  <c r="Q51" i="2"/>
  <c r="AD46" i="2"/>
  <c r="Q46" i="2"/>
  <c r="AD32" i="2"/>
  <c r="Q32" i="2"/>
  <c r="AD24" i="2"/>
  <c r="Q24" i="2"/>
  <c r="AD38" i="2"/>
  <c r="Q38" i="2"/>
  <c r="AD34" i="2"/>
  <c r="Q34" i="2"/>
  <c r="AD30" i="2"/>
  <c r="Q30" i="2"/>
  <c r="Q26" i="2"/>
  <c r="AD26" i="2"/>
  <c r="AD22" i="2"/>
  <c r="Q22" i="2"/>
  <c r="AD6" i="2"/>
  <c r="Q6" i="2"/>
  <c r="AD76" i="2"/>
  <c r="Q76" i="2"/>
  <c r="AD60" i="2"/>
  <c r="Q60" i="2"/>
  <c r="AD47" i="2"/>
  <c r="Q47" i="2"/>
  <c r="Q50" i="2"/>
  <c r="AD50" i="2"/>
  <c r="AD36" i="2"/>
  <c r="Q36" i="2"/>
  <c r="AD21" i="2"/>
  <c r="Q21" i="2"/>
  <c r="AD17" i="2"/>
  <c r="Q17" i="2"/>
  <c r="AD13" i="2"/>
  <c r="Q13" i="2"/>
  <c r="AD9" i="2"/>
  <c r="Q9" i="2"/>
  <c r="AD5" i="2"/>
  <c r="Q5" i="2"/>
  <c r="AD73" i="2"/>
  <c r="Q73" i="2"/>
  <c r="AD75" i="2"/>
  <c r="Q75" i="2"/>
  <c r="AD52" i="2"/>
  <c r="Q52" i="2"/>
  <c r="AD55" i="2"/>
  <c r="Q55" i="2"/>
  <c r="AD54" i="2"/>
  <c r="Q54" i="2"/>
  <c r="AD40" i="2"/>
  <c r="Q40" i="2"/>
  <c r="AD16" i="2"/>
  <c r="Q16" i="2"/>
  <c r="AD8" i="2"/>
  <c r="Q8" i="2"/>
  <c r="AD4" i="2"/>
  <c r="Q4" i="2"/>
  <c r="AD69" i="2"/>
  <c r="Q69" i="2"/>
  <c r="AD78" i="2"/>
  <c r="Q78" i="2"/>
  <c r="AD44" i="2"/>
  <c r="Q44" i="2"/>
  <c r="AD42" i="2"/>
  <c r="Q42" i="2"/>
  <c r="AD20" i="2"/>
  <c r="Q20" i="2"/>
  <c r="AD12" i="2"/>
  <c r="Q12" i="2"/>
  <c r="AD19" i="2"/>
  <c r="Q19" i="2"/>
  <c r="AD15" i="2"/>
  <c r="Q15" i="2"/>
  <c r="AD11" i="2"/>
  <c r="Q11" i="2"/>
  <c r="AD7" i="2"/>
  <c r="Q7" i="2"/>
  <c r="AD3" i="2"/>
  <c r="Q3" i="2"/>
  <c r="AC81" i="2"/>
  <c r="Z81" i="2"/>
  <c r="X81" i="2"/>
  <c r="R81" i="2"/>
  <c r="AC80" i="2"/>
  <c r="Z80" i="2"/>
  <c r="X80" i="2"/>
  <c r="R80" i="2"/>
  <c r="AC79" i="2"/>
  <c r="Z79" i="2"/>
  <c r="X79" i="2"/>
  <c r="R79" i="2"/>
  <c r="AC78" i="2"/>
  <c r="Z78" i="2"/>
  <c r="X78" i="2"/>
  <c r="R78" i="2"/>
  <c r="AC61" i="2"/>
  <c r="Z61" i="2"/>
  <c r="X61" i="2"/>
  <c r="N61" i="2"/>
  <c r="AC60" i="2"/>
  <c r="Z60" i="2"/>
  <c r="X60" i="2"/>
  <c r="R60" i="2"/>
  <c r="AC59" i="2"/>
  <c r="Z59" i="2"/>
  <c r="X59" i="2"/>
  <c r="R59" i="2"/>
  <c r="AC58" i="2"/>
  <c r="Z58" i="2"/>
  <c r="X58" i="2"/>
  <c r="R58" i="2"/>
  <c r="AC41" i="2"/>
  <c r="Z41" i="2"/>
  <c r="X41" i="2"/>
  <c r="N41" i="2"/>
  <c r="AC40" i="2"/>
  <c r="Z40" i="2"/>
  <c r="X40" i="2"/>
  <c r="R40" i="2"/>
  <c r="AC39" i="2"/>
  <c r="Z39" i="2"/>
  <c r="X39" i="2"/>
  <c r="R39" i="2"/>
  <c r="AC38" i="2"/>
  <c r="Z38" i="2"/>
  <c r="X38" i="2"/>
  <c r="R38" i="2"/>
  <c r="AC21" i="2"/>
  <c r="Z21" i="2"/>
  <c r="X21" i="2"/>
  <c r="N21" i="2"/>
  <c r="AC20" i="2"/>
  <c r="Z20" i="2"/>
  <c r="X20" i="2"/>
  <c r="R20" i="2"/>
  <c r="AC19" i="2"/>
  <c r="Z19" i="2"/>
  <c r="X19" i="2"/>
  <c r="R19" i="2"/>
  <c r="AC18" i="2"/>
  <c r="Z18" i="2"/>
  <c r="X18" i="2"/>
  <c r="R18" i="2"/>
  <c r="AC77" i="2"/>
  <c r="Z77" i="2"/>
  <c r="X77" i="2"/>
  <c r="R77" i="2"/>
  <c r="AC76" i="2"/>
  <c r="Z76" i="2"/>
  <c r="X76" i="2"/>
  <c r="R76" i="2"/>
  <c r="AC75" i="2"/>
  <c r="Z75" i="2"/>
  <c r="X75" i="2"/>
  <c r="R75" i="2"/>
  <c r="AC74" i="2"/>
  <c r="Z74" i="2"/>
  <c r="X74" i="2"/>
  <c r="R74" i="2"/>
  <c r="AC57" i="2"/>
  <c r="Z57" i="2"/>
  <c r="X57" i="2"/>
  <c r="N57" i="2"/>
  <c r="AC56" i="2"/>
  <c r="Z56" i="2"/>
  <c r="X56" i="2"/>
  <c r="N56" i="2"/>
  <c r="AC55" i="2"/>
  <c r="Z55" i="2"/>
  <c r="X55" i="2"/>
  <c r="R55" i="2"/>
  <c r="AC54" i="2"/>
  <c r="Z54" i="2"/>
  <c r="X54" i="2"/>
  <c r="R54" i="2"/>
  <c r="AC37" i="2"/>
  <c r="Z37" i="2"/>
  <c r="X37" i="2"/>
  <c r="N37" i="2"/>
  <c r="AC36" i="2"/>
  <c r="Z36" i="2"/>
  <c r="X36" i="2"/>
  <c r="R36" i="2"/>
  <c r="AC35" i="2"/>
  <c r="Z35" i="2"/>
  <c r="X35" i="2"/>
  <c r="R35" i="2"/>
  <c r="AC34" i="2"/>
  <c r="Z34" i="2"/>
  <c r="X34" i="2"/>
  <c r="R34" i="2"/>
  <c r="AC17" i="2"/>
  <c r="Z17" i="2"/>
  <c r="X17" i="2"/>
  <c r="N17" i="2"/>
  <c r="AC16" i="2"/>
  <c r="Z16" i="2"/>
  <c r="X16" i="2"/>
  <c r="N16" i="2"/>
  <c r="AC15" i="2"/>
  <c r="Z15" i="2"/>
  <c r="X15" i="2"/>
  <c r="N15" i="2"/>
  <c r="AC14" i="2"/>
  <c r="Z14" i="2"/>
  <c r="X14" i="2"/>
  <c r="N14" i="2"/>
  <c r="AC73" i="2"/>
  <c r="Z73" i="2"/>
  <c r="X73" i="2"/>
  <c r="N73" i="2"/>
  <c r="AC72" i="2"/>
  <c r="Z72" i="2"/>
  <c r="X72" i="2"/>
  <c r="R72" i="2"/>
  <c r="AC71" i="2"/>
  <c r="Z71" i="2"/>
  <c r="X71" i="2"/>
  <c r="R71" i="2"/>
  <c r="AC70" i="2"/>
  <c r="Z70" i="2"/>
  <c r="X70" i="2"/>
  <c r="R70" i="2"/>
  <c r="AC53" i="2"/>
  <c r="Z53" i="2"/>
  <c r="X53" i="2"/>
  <c r="N53" i="2"/>
  <c r="AC52" i="2"/>
  <c r="Z52" i="2"/>
  <c r="X52" i="2"/>
  <c r="R52" i="2"/>
  <c r="AC51" i="2"/>
  <c r="Z51" i="2"/>
  <c r="X51" i="2"/>
  <c r="R51" i="2"/>
  <c r="AC50" i="2"/>
  <c r="Z50" i="2"/>
  <c r="X50" i="2"/>
  <c r="N50" i="2"/>
  <c r="AC33" i="2"/>
  <c r="Z33" i="2"/>
  <c r="X33" i="2"/>
  <c r="N33" i="2"/>
  <c r="AC32" i="2"/>
  <c r="Z32" i="2"/>
  <c r="X32" i="2"/>
  <c r="R32" i="2"/>
  <c r="AC31" i="2"/>
  <c r="Z31" i="2"/>
  <c r="X31" i="2"/>
  <c r="N31" i="2"/>
  <c r="AC30" i="2"/>
  <c r="Z30" i="2"/>
  <c r="X30" i="2"/>
  <c r="R30" i="2"/>
  <c r="AF81" i="2"/>
  <c r="AF80" i="2"/>
  <c r="AF79" i="2"/>
  <c r="AF78" i="2"/>
  <c r="AF77" i="2"/>
  <c r="AF76" i="2"/>
  <c r="AF75" i="2"/>
  <c r="AF74" i="2"/>
  <c r="AF73" i="2"/>
  <c r="AC13" i="2"/>
  <c r="Z13" i="2"/>
  <c r="X13" i="2"/>
  <c r="N13" i="2"/>
  <c r="AF72" i="2"/>
  <c r="AC12" i="2"/>
  <c r="Z12" i="2"/>
  <c r="X12" i="2"/>
  <c r="R12" i="2"/>
  <c r="AF71" i="2"/>
  <c r="AC11" i="2"/>
  <c r="Z11" i="2"/>
  <c r="X11" i="2"/>
  <c r="R11" i="2"/>
  <c r="AF70" i="2"/>
  <c r="AC10" i="2"/>
  <c r="Z10" i="2"/>
  <c r="X10" i="2"/>
  <c r="N10" i="2"/>
  <c r="AF69" i="2"/>
  <c r="AC69" i="2"/>
  <c r="Z69" i="2"/>
  <c r="X69" i="2"/>
  <c r="N69" i="2"/>
  <c r="AF68" i="2"/>
  <c r="AC68" i="2"/>
  <c r="Z68" i="2"/>
  <c r="X68" i="2"/>
  <c r="N68" i="2"/>
  <c r="AF67" i="2"/>
  <c r="AC67" i="2"/>
  <c r="Z67" i="2"/>
  <c r="X67" i="2"/>
  <c r="R67" i="2"/>
  <c r="AF66" i="2"/>
  <c r="AC66" i="2"/>
  <c r="Z66" i="2"/>
  <c r="X66" i="2"/>
  <c r="R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C49" i="2"/>
  <c r="Z49" i="2"/>
  <c r="X49" i="2"/>
  <c r="N49" i="2"/>
  <c r="AF48" i="2"/>
  <c r="AC48" i="2"/>
  <c r="Z48" i="2"/>
  <c r="X48" i="2"/>
  <c r="N48" i="2"/>
  <c r="AF47" i="2"/>
  <c r="AC47" i="2"/>
  <c r="Z47" i="2"/>
  <c r="X47" i="2"/>
  <c r="R47" i="2"/>
  <c r="AF46" i="2"/>
  <c r="AC46" i="2"/>
  <c r="Z46" i="2"/>
  <c r="X46" i="2"/>
  <c r="R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C29" i="2"/>
  <c r="Z29" i="2"/>
  <c r="X29" i="2"/>
  <c r="N29" i="2"/>
  <c r="AF28" i="2"/>
  <c r="AC28" i="2"/>
  <c r="Z28" i="2"/>
  <c r="X28" i="2"/>
  <c r="R28" i="2"/>
  <c r="AF27" i="2"/>
  <c r="AC27" i="2"/>
  <c r="Z27" i="2"/>
  <c r="X27" i="2"/>
  <c r="N27" i="2"/>
  <c r="AF26" i="2"/>
  <c r="AC26" i="2"/>
  <c r="Z26" i="2"/>
  <c r="X26" i="2"/>
  <c r="R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C9" i="2"/>
  <c r="Z9" i="2"/>
  <c r="X9" i="2"/>
  <c r="N9" i="2"/>
  <c r="AF8" i="2"/>
  <c r="AC8" i="2"/>
  <c r="Z8" i="2"/>
  <c r="X8" i="2"/>
  <c r="R8" i="2"/>
  <c r="AF7" i="2"/>
  <c r="AC7" i="2"/>
  <c r="Z7" i="2"/>
  <c r="X7" i="2"/>
  <c r="R7" i="2"/>
  <c r="AF6" i="2"/>
  <c r="AC6" i="2"/>
  <c r="Z6" i="2"/>
  <c r="X6" i="2"/>
  <c r="N6" i="2"/>
  <c r="AF2" i="2"/>
  <c r="AF3" i="2"/>
  <c r="AF4" i="2"/>
  <c r="AF5" i="2"/>
  <c r="R15" i="2" l="1"/>
  <c r="R17" i="2"/>
  <c r="R21" i="2"/>
  <c r="N55" i="2"/>
  <c r="R57" i="2"/>
  <c r="R61" i="2"/>
  <c r="R10" i="2"/>
  <c r="R49" i="2"/>
  <c r="R50" i="2"/>
  <c r="R16" i="2"/>
  <c r="R56" i="2"/>
  <c r="R9" i="2"/>
  <c r="R68" i="2"/>
  <c r="N60" i="2"/>
  <c r="N78" i="2"/>
  <c r="N58" i="2"/>
  <c r="N39" i="2"/>
  <c r="N79" i="2"/>
  <c r="N38" i="2"/>
  <c r="N19" i="2"/>
  <c r="N59" i="2"/>
  <c r="N20" i="2"/>
  <c r="R41" i="2"/>
  <c r="N18" i="2"/>
  <c r="N40" i="2"/>
  <c r="N80" i="2"/>
  <c r="N81" i="2"/>
  <c r="N54" i="2"/>
  <c r="R14" i="2"/>
  <c r="N35" i="2"/>
  <c r="N75" i="2"/>
  <c r="N77" i="2"/>
  <c r="N34" i="2"/>
  <c r="R37" i="2"/>
  <c r="N74" i="2"/>
  <c r="N36" i="2"/>
  <c r="N76" i="2"/>
  <c r="N71" i="2"/>
  <c r="R13" i="2"/>
  <c r="R53" i="2"/>
  <c r="N30" i="2"/>
  <c r="R33" i="2"/>
  <c r="N70" i="2"/>
  <c r="R73" i="2"/>
  <c r="R31" i="2"/>
  <c r="N11" i="2"/>
  <c r="N51" i="2"/>
  <c r="N12" i="2"/>
  <c r="N52" i="2"/>
  <c r="N32" i="2"/>
  <c r="N72" i="2"/>
  <c r="R6" i="2"/>
  <c r="N67" i="2"/>
  <c r="N26" i="2"/>
  <c r="R29" i="2"/>
  <c r="N66" i="2"/>
  <c r="R69" i="2"/>
  <c r="N7" i="2"/>
  <c r="N47" i="2"/>
  <c r="N8" i="2"/>
  <c r="R27" i="2"/>
  <c r="R48" i="2"/>
  <c r="N46" i="2"/>
  <c r="N28" i="2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2" i="1"/>
  <c r="R63" i="2"/>
  <c r="R65" i="2"/>
  <c r="R23" i="2"/>
  <c r="R24" i="2"/>
  <c r="R25" i="2"/>
  <c r="R42" i="2"/>
  <c r="R43" i="2"/>
  <c r="R44" i="2"/>
  <c r="R45" i="2"/>
  <c r="R2" i="2"/>
  <c r="R3" i="2"/>
  <c r="R4" i="2"/>
  <c r="R5" i="2"/>
  <c r="R62" i="2"/>
  <c r="AC5" i="2"/>
  <c r="Z5" i="2"/>
  <c r="X5" i="2"/>
  <c r="AC4" i="2"/>
  <c r="Z4" i="2"/>
  <c r="X4" i="2"/>
  <c r="AC3" i="2"/>
  <c r="Z3" i="2"/>
  <c r="X3" i="2"/>
  <c r="AC2" i="2"/>
  <c r="Z2" i="2"/>
  <c r="X2" i="2"/>
  <c r="AC45" i="2"/>
  <c r="Z45" i="2"/>
  <c r="X45" i="2"/>
  <c r="AC44" i="2"/>
  <c r="Z44" i="2"/>
  <c r="X44" i="2"/>
  <c r="AC43" i="2"/>
  <c r="Z43" i="2"/>
  <c r="X43" i="2"/>
  <c r="AC42" i="2"/>
  <c r="Z42" i="2"/>
  <c r="X42" i="2"/>
  <c r="AC25" i="2"/>
  <c r="Z25" i="2"/>
  <c r="X25" i="2"/>
  <c r="AC24" i="2"/>
  <c r="Z24" i="2"/>
  <c r="X24" i="2"/>
  <c r="AC23" i="2"/>
  <c r="Z23" i="2"/>
  <c r="X23" i="2"/>
  <c r="AC22" i="2"/>
  <c r="Z22" i="2"/>
  <c r="X22" i="2"/>
  <c r="R22" i="2"/>
  <c r="AC65" i="2"/>
  <c r="Z65" i="2"/>
  <c r="X65" i="2"/>
  <c r="AC64" i="2"/>
  <c r="Z64" i="2"/>
  <c r="X64" i="2"/>
  <c r="R64" i="2"/>
  <c r="AC63" i="2"/>
  <c r="Z63" i="2"/>
  <c r="X63" i="2"/>
  <c r="AC62" i="2"/>
  <c r="Z62" i="2"/>
  <c r="X6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O18" i="1" s="1"/>
  <c r="A19" i="1"/>
  <c r="A20" i="1"/>
  <c r="A21" i="1"/>
  <c r="A22" i="1"/>
  <c r="A23" i="1"/>
  <c r="A24" i="1"/>
  <c r="A25" i="1"/>
  <c r="A26" i="1"/>
  <c r="A27" i="1"/>
  <c r="A28" i="1"/>
  <c r="O28" i="1" s="1"/>
  <c r="A29" i="1"/>
  <c r="A30" i="1"/>
  <c r="O30" i="1" s="1"/>
  <c r="A31" i="1"/>
  <c r="A32" i="1"/>
  <c r="A33" i="1"/>
  <c r="A34" i="1"/>
  <c r="L34" i="1" s="1"/>
  <c r="A35" i="1"/>
  <c r="A36" i="1"/>
  <c r="A37" i="1"/>
  <c r="A38" i="1"/>
  <c r="A39" i="1"/>
  <c r="A40" i="1"/>
  <c r="O40" i="1" s="1"/>
  <c r="A41" i="1"/>
  <c r="A42" i="1"/>
  <c r="L42" i="1" s="1"/>
  <c r="A43" i="1"/>
  <c r="A44" i="1"/>
  <c r="L44" i="1" s="1"/>
  <c r="A45" i="1"/>
  <c r="A46" i="1"/>
  <c r="A47" i="1"/>
  <c r="A48" i="1"/>
  <c r="A49" i="1"/>
  <c r="A50" i="1"/>
  <c r="O50" i="1" s="1"/>
  <c r="A51" i="1"/>
  <c r="A52" i="1"/>
  <c r="A53" i="1"/>
  <c r="A54" i="1"/>
  <c r="A55" i="1"/>
  <c r="A56" i="1"/>
  <c r="A57" i="1"/>
  <c r="A58" i="1"/>
  <c r="A59" i="1"/>
  <c r="A60" i="1"/>
  <c r="A61" i="1"/>
  <c r="A62" i="1"/>
  <c r="O62" i="1" s="1"/>
  <c r="A63" i="1"/>
  <c r="L63" i="1" s="1"/>
  <c r="A64" i="1"/>
  <c r="O64" i="1" s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O80" i="1" s="1"/>
  <c r="A81" i="1"/>
  <c r="A2" i="1"/>
  <c r="R81" i="1"/>
  <c r="P81" i="1"/>
  <c r="N81" i="1"/>
  <c r="R80" i="1"/>
  <c r="P80" i="1"/>
  <c r="N80" i="1"/>
  <c r="R79" i="1"/>
  <c r="P79" i="1"/>
  <c r="N79" i="1"/>
  <c r="R78" i="1"/>
  <c r="P78" i="1"/>
  <c r="N78" i="1"/>
  <c r="R77" i="1"/>
  <c r="P77" i="1"/>
  <c r="N77" i="1"/>
  <c r="R76" i="1"/>
  <c r="P76" i="1"/>
  <c r="N76" i="1"/>
  <c r="R75" i="1"/>
  <c r="P75" i="1"/>
  <c r="N75" i="1"/>
  <c r="R74" i="1"/>
  <c r="P74" i="1"/>
  <c r="N74" i="1"/>
  <c r="R73" i="1"/>
  <c r="P73" i="1"/>
  <c r="N73" i="1"/>
  <c r="R72" i="1"/>
  <c r="P72" i="1"/>
  <c r="N72" i="1"/>
  <c r="R71" i="1"/>
  <c r="P71" i="1"/>
  <c r="N71" i="1"/>
  <c r="R70" i="1"/>
  <c r="P70" i="1"/>
  <c r="N70" i="1"/>
  <c r="R69" i="1"/>
  <c r="P69" i="1"/>
  <c r="N69" i="1"/>
  <c r="R68" i="1"/>
  <c r="P68" i="1"/>
  <c r="N68" i="1"/>
  <c r="R67" i="1"/>
  <c r="P67" i="1"/>
  <c r="N67" i="1"/>
  <c r="R66" i="1"/>
  <c r="P66" i="1"/>
  <c r="N66" i="1"/>
  <c r="R65" i="1"/>
  <c r="P65" i="1"/>
  <c r="N65" i="1"/>
  <c r="R64" i="1"/>
  <c r="P64" i="1"/>
  <c r="N64" i="1"/>
  <c r="R63" i="1"/>
  <c r="P63" i="1"/>
  <c r="N63" i="1"/>
  <c r="R62" i="1"/>
  <c r="P62" i="1"/>
  <c r="N62" i="1"/>
  <c r="R61" i="1"/>
  <c r="P61" i="1"/>
  <c r="N61" i="1"/>
  <c r="R60" i="1"/>
  <c r="P60" i="1"/>
  <c r="N60" i="1"/>
  <c r="R59" i="1"/>
  <c r="P59" i="1"/>
  <c r="N59" i="1"/>
  <c r="R58" i="1"/>
  <c r="P58" i="1"/>
  <c r="N58" i="1"/>
  <c r="R57" i="1"/>
  <c r="P57" i="1"/>
  <c r="N57" i="1"/>
  <c r="R56" i="1"/>
  <c r="P56" i="1"/>
  <c r="N56" i="1"/>
  <c r="R55" i="1"/>
  <c r="P55" i="1"/>
  <c r="N55" i="1"/>
  <c r="R54" i="1"/>
  <c r="P54" i="1"/>
  <c r="N54" i="1"/>
  <c r="R53" i="1"/>
  <c r="P53" i="1"/>
  <c r="N53" i="1"/>
  <c r="R52" i="1"/>
  <c r="P52" i="1"/>
  <c r="N52" i="1"/>
  <c r="R51" i="1"/>
  <c r="P51" i="1"/>
  <c r="N51" i="1"/>
  <c r="R50" i="1"/>
  <c r="P50" i="1"/>
  <c r="N50" i="1"/>
  <c r="R49" i="1"/>
  <c r="P49" i="1"/>
  <c r="N49" i="1"/>
  <c r="R48" i="1"/>
  <c r="P48" i="1"/>
  <c r="N48" i="1"/>
  <c r="R47" i="1"/>
  <c r="P47" i="1"/>
  <c r="N47" i="1"/>
  <c r="R46" i="1"/>
  <c r="P46" i="1"/>
  <c r="N46" i="1"/>
  <c r="R45" i="1"/>
  <c r="P45" i="1"/>
  <c r="N45" i="1"/>
  <c r="R44" i="1"/>
  <c r="P44" i="1"/>
  <c r="N44" i="1"/>
  <c r="R43" i="1"/>
  <c r="P43" i="1"/>
  <c r="N43" i="1"/>
  <c r="R42" i="1"/>
  <c r="P42" i="1"/>
  <c r="N42" i="1"/>
  <c r="R41" i="1"/>
  <c r="P41" i="1"/>
  <c r="N41" i="1"/>
  <c r="R40" i="1"/>
  <c r="P40" i="1"/>
  <c r="N40" i="1"/>
  <c r="R39" i="1"/>
  <c r="P39" i="1"/>
  <c r="N39" i="1"/>
  <c r="R38" i="1"/>
  <c r="P38" i="1"/>
  <c r="N38" i="1"/>
  <c r="R37" i="1"/>
  <c r="P37" i="1"/>
  <c r="N37" i="1"/>
  <c r="R36" i="1"/>
  <c r="P36" i="1"/>
  <c r="N36" i="1"/>
  <c r="R35" i="1"/>
  <c r="P35" i="1"/>
  <c r="N35" i="1"/>
  <c r="R34" i="1"/>
  <c r="P34" i="1"/>
  <c r="N34" i="1"/>
  <c r="R33" i="1"/>
  <c r="P33" i="1"/>
  <c r="N33" i="1"/>
  <c r="R32" i="1"/>
  <c r="P32" i="1"/>
  <c r="N32" i="1"/>
  <c r="R31" i="1"/>
  <c r="P31" i="1"/>
  <c r="N31" i="1"/>
  <c r="R30" i="1"/>
  <c r="P30" i="1"/>
  <c r="N30" i="1"/>
  <c r="R29" i="1"/>
  <c r="P29" i="1"/>
  <c r="N29" i="1"/>
  <c r="R28" i="1"/>
  <c r="P28" i="1"/>
  <c r="N28" i="1"/>
  <c r="R27" i="1"/>
  <c r="P27" i="1"/>
  <c r="N27" i="1"/>
  <c r="R26" i="1"/>
  <c r="P26" i="1"/>
  <c r="N26" i="1"/>
  <c r="R25" i="1"/>
  <c r="P25" i="1"/>
  <c r="N25" i="1"/>
  <c r="R24" i="1"/>
  <c r="P24" i="1"/>
  <c r="N24" i="1"/>
  <c r="R23" i="1"/>
  <c r="P23" i="1"/>
  <c r="N23" i="1"/>
  <c r="R22" i="1"/>
  <c r="P22" i="1"/>
  <c r="N22" i="1"/>
  <c r="O22" i="1"/>
  <c r="R21" i="1"/>
  <c r="P21" i="1"/>
  <c r="N21" i="1"/>
  <c r="R20" i="1"/>
  <c r="P20" i="1"/>
  <c r="N20" i="1"/>
  <c r="R19" i="1"/>
  <c r="P19" i="1"/>
  <c r="N19" i="1"/>
  <c r="R18" i="1"/>
  <c r="P18" i="1"/>
  <c r="N18" i="1"/>
  <c r="N62" i="2" l="1"/>
  <c r="N64" i="2"/>
  <c r="N22" i="2"/>
  <c r="N24" i="2"/>
  <c r="N42" i="2"/>
  <c r="N44" i="2"/>
  <c r="N2" i="2"/>
  <c r="N4" i="2"/>
  <c r="N63" i="2"/>
  <c r="N65" i="2"/>
  <c r="N23" i="2"/>
  <c r="N25" i="2"/>
  <c r="N43" i="2"/>
  <c r="N45" i="2"/>
  <c r="N3" i="2"/>
  <c r="N5" i="2"/>
  <c r="L66" i="1"/>
  <c r="L68" i="1"/>
  <c r="L70" i="1"/>
  <c r="L72" i="1"/>
  <c r="L74" i="1"/>
  <c r="L76" i="1"/>
  <c r="L78" i="1"/>
  <c r="L80" i="1"/>
  <c r="O66" i="1"/>
  <c r="O68" i="1"/>
  <c r="O70" i="1"/>
  <c r="O72" i="1"/>
  <c r="O74" i="1"/>
  <c r="O76" i="1"/>
  <c r="O78" i="1"/>
  <c r="L67" i="1"/>
  <c r="L69" i="1"/>
  <c r="L71" i="1"/>
  <c r="L73" i="1"/>
  <c r="L75" i="1"/>
  <c r="L77" i="1"/>
  <c r="L79" i="1"/>
  <c r="L81" i="1"/>
  <c r="O67" i="1"/>
  <c r="O69" i="1"/>
  <c r="O71" i="1"/>
  <c r="O73" i="1"/>
  <c r="O75" i="1"/>
  <c r="O77" i="1"/>
  <c r="O79" i="1"/>
  <c r="O81" i="1"/>
  <c r="L54" i="1"/>
  <c r="L62" i="1"/>
  <c r="O52" i="1"/>
  <c r="O60" i="1"/>
  <c r="L52" i="1"/>
  <c r="L64" i="1"/>
  <c r="L51" i="1"/>
  <c r="L55" i="1"/>
  <c r="L57" i="1"/>
  <c r="L61" i="1"/>
  <c r="L65" i="1"/>
  <c r="O51" i="1"/>
  <c r="O53" i="1"/>
  <c r="O55" i="1"/>
  <c r="O57" i="1"/>
  <c r="O59" i="1"/>
  <c r="O61" i="1"/>
  <c r="O63" i="1"/>
  <c r="O65" i="1"/>
  <c r="L56" i="1"/>
  <c r="L58" i="1"/>
  <c r="O54" i="1"/>
  <c r="O58" i="1"/>
  <c r="L59" i="1"/>
  <c r="L50" i="1"/>
  <c r="L60" i="1"/>
  <c r="O56" i="1"/>
  <c r="L53" i="1"/>
  <c r="L40" i="1"/>
  <c r="O34" i="1"/>
  <c r="O38" i="1"/>
  <c r="L35" i="1"/>
  <c r="L37" i="1"/>
  <c r="L39" i="1"/>
  <c r="L41" i="1"/>
  <c r="L43" i="1"/>
  <c r="L45" i="1"/>
  <c r="L47" i="1"/>
  <c r="L49" i="1"/>
  <c r="L46" i="1"/>
  <c r="O42" i="1"/>
  <c r="L36" i="1"/>
  <c r="O36" i="1"/>
  <c r="O35" i="1"/>
  <c r="O37" i="1"/>
  <c r="O39" i="1"/>
  <c r="O41" i="1"/>
  <c r="O43" i="1"/>
  <c r="O45" i="1"/>
  <c r="O47" i="1"/>
  <c r="O49" i="1"/>
  <c r="O48" i="1"/>
  <c r="L38" i="1"/>
  <c r="O44" i="1"/>
  <c r="L48" i="1"/>
  <c r="O46" i="1"/>
  <c r="L18" i="1"/>
  <c r="L20" i="1"/>
  <c r="L22" i="1"/>
  <c r="L24" i="1"/>
  <c r="L26" i="1"/>
  <c r="L28" i="1"/>
  <c r="L30" i="1"/>
  <c r="L32" i="1"/>
  <c r="O20" i="1"/>
  <c r="O32" i="1"/>
  <c r="L19" i="1"/>
  <c r="L21" i="1"/>
  <c r="L23" i="1"/>
  <c r="L25" i="1"/>
  <c r="L27" i="1"/>
  <c r="L29" i="1"/>
  <c r="L31" i="1"/>
  <c r="L33" i="1"/>
  <c r="O19" i="1"/>
  <c r="O21" i="1"/>
  <c r="O23" i="1"/>
  <c r="O25" i="1"/>
  <c r="O27" i="1"/>
  <c r="O29" i="1"/>
  <c r="O31" i="1"/>
  <c r="O33" i="1"/>
  <c r="O26" i="1"/>
  <c r="O24" i="1"/>
  <c r="R17" i="1"/>
  <c r="P17" i="1"/>
  <c r="N17" i="1"/>
  <c r="L17" i="1"/>
  <c r="R16" i="1"/>
  <c r="P16" i="1"/>
  <c r="N16" i="1"/>
  <c r="R15" i="1"/>
  <c r="P15" i="1"/>
  <c r="N15" i="1"/>
  <c r="R14" i="1"/>
  <c r="P14" i="1"/>
  <c r="N14" i="1"/>
  <c r="R13" i="1"/>
  <c r="P13" i="1"/>
  <c r="N13" i="1"/>
  <c r="O13" i="1"/>
  <c r="R12" i="1"/>
  <c r="P12" i="1"/>
  <c r="N12" i="1"/>
  <c r="R11" i="1"/>
  <c r="P11" i="1"/>
  <c r="N11" i="1"/>
  <c r="R10" i="1"/>
  <c r="P10" i="1"/>
  <c r="N10" i="1"/>
  <c r="R9" i="1"/>
  <c r="P9" i="1"/>
  <c r="N9" i="1"/>
  <c r="L9" i="1"/>
  <c r="R8" i="1"/>
  <c r="P8" i="1"/>
  <c r="N8" i="1"/>
  <c r="R7" i="1"/>
  <c r="P7" i="1"/>
  <c r="N7" i="1"/>
  <c r="R6" i="1"/>
  <c r="P6" i="1"/>
  <c r="N6" i="1"/>
  <c r="R5" i="1"/>
  <c r="P5" i="1"/>
  <c r="N5" i="1"/>
  <c r="R4" i="1"/>
  <c r="P4" i="1"/>
  <c r="N4" i="1"/>
  <c r="R3" i="1"/>
  <c r="P3" i="1"/>
  <c r="N3" i="1"/>
  <c r="R2" i="1"/>
  <c r="P2" i="1"/>
  <c r="N2" i="1"/>
  <c r="L16" i="1" l="1"/>
  <c r="L14" i="1"/>
  <c r="L2" i="1"/>
  <c r="L4" i="1"/>
  <c r="L6" i="1"/>
  <c r="L8" i="1"/>
  <c r="L10" i="1"/>
  <c r="L12" i="1"/>
  <c r="O2" i="1"/>
  <c r="O4" i="1"/>
  <c r="O6" i="1"/>
  <c r="O8" i="1"/>
  <c r="O10" i="1"/>
  <c r="O12" i="1"/>
  <c r="O14" i="1"/>
  <c r="O16" i="1"/>
  <c r="L3" i="1"/>
  <c r="L7" i="1"/>
  <c r="L13" i="1"/>
  <c r="O5" i="1"/>
  <c r="O17" i="1"/>
  <c r="O15" i="1"/>
  <c r="L5" i="1"/>
  <c r="L11" i="1"/>
  <c r="L15" i="1"/>
  <c r="O3" i="1"/>
  <c r="O7" i="1"/>
  <c r="O9" i="1"/>
  <c r="O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E5ED01-3CDB-4E2C-9FAA-CC68965F9231}" keepAlive="1" name="Abfrage - beetle_data_avg_climate" description="Verbindung mit der Abfrage 'beetle_data_avg_climate' in der Arbeitsmappe." type="5" refreshedVersion="6" background="1" saveData="1">
    <dbPr connection="Provider=Microsoft.Mashup.OleDb.1;Data Source=$Workbook$;Location=beetle_data_avg_climate;Extended Properties=&quot;&quot;" command="SELECT * FROM [beetle_data_avg_climate]"/>
  </connection>
  <connection id="2" xr16:uid="{FF9D294E-4314-40FA-8731-EA464673C3FE}" keepAlive="1" name="Abfrage - data_barkbeetle_avg_climate" description="Verbindung mit der Abfrage 'data_barkbeetle_avg_climate' in der Arbeitsmappe." type="5" refreshedVersion="6" background="1" saveData="1">
    <dbPr connection="Provider=Microsoft.Mashup.OleDb.1;Data Source=$Workbook$;Location=data_barkbeetle_avg_climate;Extended Properties=&quot;&quot;" command="SELECT * FROM [data_barkbeetle_avg_climate]"/>
  </connection>
</connections>
</file>

<file path=xl/sharedStrings.xml><?xml version="1.0" encoding="utf-8"?>
<sst xmlns="http://schemas.openxmlformats.org/spreadsheetml/2006/main" count="8965" uniqueCount="718">
  <si>
    <t>run_id</t>
  </si>
  <si>
    <t>_replicate_run</t>
  </si>
  <si>
    <t>_climate_scenario</t>
  </si>
  <si>
    <t>_co2_concentration</t>
  </si>
  <si>
    <t>_climate_model</t>
  </si>
  <si>
    <t>_comment</t>
  </si>
  <si>
    <t>_disturbances</t>
  </si>
  <si>
    <t>project_file</t>
  </si>
  <si>
    <t>sim_years</t>
  </si>
  <si>
    <t>output_sqlite</t>
  </si>
  <si>
    <t>priority</t>
  </si>
  <si>
    <t>system.database.climate</t>
  </si>
  <si>
    <t>system.logging.logFile</t>
  </si>
  <si>
    <t>model.climate.co2concentration</t>
  </si>
  <si>
    <t>model.management.abe.agentDataFile</t>
  </si>
  <si>
    <t>modules.wind.enabled</t>
  </si>
  <si>
    <t>noMgmt</t>
  </si>
  <si>
    <t>historical</t>
  </si>
  <si>
    <t>ICHEC-EC-EARTH</t>
  </si>
  <si>
    <t>alpen</t>
  </si>
  <si>
    <t>false</t>
  </si>
  <si>
    <t>historical.xml</t>
  </si>
  <si>
    <t>rcp.xml</t>
  </si>
  <si>
    <t>lowStructure</t>
  </si>
  <si>
    <t>mediumStructure</t>
  </si>
  <si>
    <t>highStructure</t>
  </si>
  <si>
    <t>_Structure_type</t>
  </si>
  <si>
    <t>_Species_type</t>
  </si>
  <si>
    <t>IST</t>
  </si>
  <si>
    <t>PROD</t>
  </si>
  <si>
    <t>PNV</t>
  </si>
  <si>
    <t>PNV45</t>
  </si>
  <si>
    <t>NoSC</t>
  </si>
  <si>
    <t>modules.barkbeetle.enabled</t>
  </si>
  <si>
    <t>RCP26</t>
  </si>
  <si>
    <t>RCP45</t>
  </si>
  <si>
    <t>RCP85</t>
  </si>
  <si>
    <t>model.world.timeEventsFile</t>
  </si>
  <si>
    <t>_cluster_</t>
  </si>
  <si>
    <t>_replicate_</t>
  </si>
  <si>
    <t>ignore</t>
  </si>
  <si>
    <t>true</t>
  </si>
  <si>
    <t>modules.barkbeetle.referenceClimate.tableName</t>
  </si>
  <si>
    <t>_climate_encoded_</t>
  </si>
  <si>
    <t>output.barkbeetle</t>
  </si>
  <si>
    <t>output.wind</t>
  </si>
  <si>
    <t>model.world.standGrid.fileName</t>
  </si>
  <si>
    <t>model.initialization.file</t>
  </si>
  <si>
    <t>model.world.environmentFile</t>
  </si>
  <si>
    <t>model.world.environmentGrid</t>
  </si>
  <si>
    <t>model.initialization.saplingFile</t>
  </si>
  <si>
    <t>modules.wind.topoGridFile</t>
  </si>
  <si>
    <t>user.Scenario</t>
  </si>
  <si>
    <t>_scaled_wind_</t>
  </si>
  <si>
    <t>Scaled_</t>
  </si>
  <si>
    <t>modules.barkbeetle.backgroundInfestationProbability</t>
  </si>
  <si>
    <t>_Marcs_BB_values_</t>
  </si>
  <si>
    <t>150</t>
  </si>
  <si>
    <t>250</t>
  </si>
  <si>
    <t>100</t>
  </si>
  <si>
    <t>NCC-NorESM1-M</t>
  </si>
  <si>
    <t>_climate_model_number</t>
  </si>
  <si>
    <t>_climate_point_</t>
  </si>
  <si>
    <t>MPI-M-MPI-ESM-LR</t>
  </si>
  <si>
    <t>cluster_id</t>
  </si>
  <si>
    <t>climate_model</t>
  </si>
  <si>
    <t>sqlite_file</t>
  </si>
  <si>
    <t>barkbeetle.referenceClimate.tableName</t>
  </si>
  <si>
    <t>barkbeetle.referenceClimate.seasonalPrecipSum</t>
  </si>
  <si>
    <t>barkbeetle.referenceClimate.seasonalTemperatureAverage</t>
  </si>
  <si>
    <t>climate_db_MPI-M-MPI-ESM-LR_historical_v4.sqlite</t>
  </si>
  <si>
    <t>MPI-M-MPI-ESM-LR_point38526</t>
  </si>
  <si>
    <t>MPI-M-MPI-ESM-LR_point31016</t>
  </si>
  <si>
    <t>MPI-M-MPI-ESM-LR_point26511</t>
  </si>
  <si>
    <t>MPI-M-MPI-ESM-LR_point31054</t>
  </si>
  <si>
    <t>5.662,15.468,14.123,3.115</t>
  </si>
  <si>
    <t>MPI-M-MPI-ESM-LR_point29033</t>
  </si>
  <si>
    <t>5.705,15.518,13.984,3.044</t>
  </si>
  <si>
    <t>MPI-M-MPI-ESM-LR_point26530</t>
  </si>
  <si>
    <t>5.34,14.724,13.334,2.895</t>
  </si>
  <si>
    <t>MPI-M-MPI-ESM-LR_point34253</t>
  </si>
  <si>
    <t>MPI-M-MPI-ESM-LR_point37861</t>
  </si>
  <si>
    <t>4.411,14.362,13.055,2.234</t>
  </si>
  <si>
    <t>MPI-M-MPI-ESM-LR_point29711</t>
  </si>
  <si>
    <t>MPI-M-MPI-ESM-LR_point32670</t>
  </si>
  <si>
    <t>MPI-M-MPI-ESM-LR_point33292</t>
  </si>
  <si>
    <t>MPI-M-MPI-ESM-LR_point36494</t>
  </si>
  <si>
    <t>climate_db_NCC-NorESM1-M_historical_v4.sqlite</t>
  </si>
  <si>
    <t>NCC-NorESM1-M_point38526</t>
  </si>
  <si>
    <t>NCC-NorESM1-M_point31354</t>
  </si>
  <si>
    <t>NCC-NorESM1-M_point26511</t>
  </si>
  <si>
    <t>NCC-NorESM1-M_point29016</t>
  </si>
  <si>
    <t>NCC-NorESM1-M_point30070</t>
  </si>
  <si>
    <t>NCC-NorESM1-M_point26183</t>
  </si>
  <si>
    <t>5.301,14.601,12.91,3.002</t>
  </si>
  <si>
    <t>NCC-NorESM1-M_point34891</t>
  </si>
  <si>
    <t>NCC-NorESM1-M_point37861</t>
  </si>
  <si>
    <t>5.0,14.43,12.316,2.289</t>
  </si>
  <si>
    <t>NCC-NorESM1-M_point31713</t>
  </si>
  <si>
    <t>NCC-NorESM1-M_point32670</t>
  </si>
  <si>
    <t>5.926,14.596,12.565,3.517</t>
  </si>
  <si>
    <t>NCC-NorESM1-M_point33292</t>
  </si>
  <si>
    <t>NCC-NorESM1-M_point34873</t>
  </si>
  <si>
    <t>climate_db_ICHEC-EC-EARTH_historical_v4.sqlite</t>
  </si>
  <si>
    <t>ICHEC-EC-EARTH_point38526</t>
  </si>
  <si>
    <t>ICHEC-EC-EARTH_point31016</t>
  </si>
  <si>
    <t>ICHEC-EC-EARTH_point26511</t>
  </si>
  <si>
    <t>5.383,14.052,13.244,4.308</t>
  </si>
  <si>
    <t>ICHEC-EC-EARTH_point31053</t>
  </si>
  <si>
    <t>5.058,15.095,13.899,3.563</t>
  </si>
  <si>
    <t>ICHEC-EC-EARTH_point29731</t>
  </si>
  <si>
    <t>ICHEC-EC-EARTH_point26530</t>
  </si>
  <si>
    <t>4.851,14.504,13.343,3.19</t>
  </si>
  <si>
    <t>ICHEC-EC-EARTH_point34569</t>
  </si>
  <si>
    <t>ICHEC-EC-EARTH_point38183</t>
  </si>
  <si>
    <t>ICHEC-EC-EARTH_point29711</t>
  </si>
  <si>
    <t>ICHEC-EC-EARTH_point32670</t>
  </si>
  <si>
    <t>ICHEC-EC-EARTH_point33292</t>
  </si>
  <si>
    <t>ICHEC-EC-EARTH_point34874</t>
  </si>
  <si>
    <t>Spalte1</t>
  </si>
  <si>
    <t>Helper</t>
  </si>
  <si>
    <t>ICHEC-EC-EARTH-2</t>
  </si>
  <si>
    <t>ICHEC-EC-EARTH-3</t>
  </si>
  <si>
    <t>ICHEC-EC-EARTH-4</t>
  </si>
  <si>
    <t>ICHEC-EC-EARTH-5</t>
  </si>
  <si>
    <t>ICHEC-EC-EARTH-6</t>
  </si>
  <si>
    <t>ICHEC-EC-EARTH-7</t>
  </si>
  <si>
    <t>ICHEC-EC-EARTH-8</t>
  </si>
  <si>
    <t>ICHEC-EC-EARTH-10</t>
  </si>
  <si>
    <t>ICHEC-EC-EARTH-11</t>
  </si>
  <si>
    <t>ICHEC-EC-EARTH-12</t>
  </si>
  <si>
    <t>ICHEC-EC-EARTH-13</t>
  </si>
  <si>
    <t>ICHEC-EC-EARTH-14</t>
  </si>
  <si>
    <t>MPI-M-MPI-ESM-LR-2</t>
  </si>
  <si>
    <t>MPI-M-MPI-ESM-LR-3</t>
  </si>
  <si>
    <t>MPI-M-MPI-ESM-LR-4</t>
  </si>
  <si>
    <t>MPI-M-MPI-ESM-LR-5</t>
  </si>
  <si>
    <t>MPI-M-MPI-ESM-LR-6</t>
  </si>
  <si>
    <t>MPI-M-MPI-ESM-LR-7</t>
  </si>
  <si>
    <t>MPI-M-MPI-ESM-LR-8</t>
  </si>
  <si>
    <t>MPI-M-MPI-ESM-LR-10</t>
  </si>
  <si>
    <t>MPI-M-MPI-ESM-LR-11</t>
  </si>
  <si>
    <t>MPI-M-MPI-ESM-LR-12</t>
  </si>
  <si>
    <t>MPI-M-MPI-ESM-LR-13</t>
  </si>
  <si>
    <t>MPI-M-MPI-ESM-LR-14</t>
  </si>
  <si>
    <t>NCC-NorESM1-M-2</t>
  </si>
  <si>
    <t>NCC-NorESM1-M-3</t>
  </si>
  <si>
    <t>NCC-NorESM1-M-4</t>
  </si>
  <si>
    <t>NCC-NorESM1-M-5</t>
  </si>
  <si>
    <t>NCC-NorESM1-M-6</t>
  </si>
  <si>
    <t>NCC-NorESM1-M-7</t>
  </si>
  <si>
    <t>NCC-NorESM1-M-8</t>
  </si>
  <si>
    <t>NCC-NorESM1-M-10</t>
  </si>
  <si>
    <t>NCC-NorESM1-M-11</t>
  </si>
  <si>
    <t>NCC-NorESM1-M-12</t>
  </si>
  <si>
    <t>NCC-NorESM1-M-13</t>
  </si>
  <si>
    <t>NCC-NorESM1-M-14</t>
  </si>
  <si>
    <t>38526</t>
  </si>
  <si>
    <t>31016</t>
  </si>
  <si>
    <t>26511</t>
  </si>
  <si>
    <t>31053</t>
  </si>
  <si>
    <t>29731</t>
  </si>
  <si>
    <t>26530</t>
  </si>
  <si>
    <t>34569</t>
  </si>
  <si>
    <t>38183</t>
  </si>
  <si>
    <t>29711</t>
  </si>
  <si>
    <t>32670</t>
  </si>
  <si>
    <t>33292</t>
  </si>
  <si>
    <t>34874</t>
  </si>
  <si>
    <t>31054</t>
  </si>
  <si>
    <t>29033</t>
  </si>
  <si>
    <t>34253</t>
  </si>
  <si>
    <t>37861</t>
  </si>
  <si>
    <t>36494</t>
  </si>
  <si>
    <t>31354</t>
  </si>
  <si>
    <t>29016</t>
  </si>
  <si>
    <t>30070</t>
  </si>
  <si>
    <t>26183</t>
  </si>
  <si>
    <t>34891</t>
  </si>
  <si>
    <t>31713</t>
  </si>
  <si>
    <t>34873</t>
  </si>
  <si>
    <t>4,524;6,247;5,108;4,457</t>
  </si>
  <si>
    <t>1,217;13,202;12,284;1,256</t>
  </si>
  <si>
    <t>1,707;2,693;2,18;2,063</t>
  </si>
  <si>
    <t>6,706;15,3;14,339;5,648</t>
  </si>
  <si>
    <t>1,645;2,632;2,228;2,073</t>
  </si>
  <si>
    <t>5,383;14,052;13,244;4,308</t>
  </si>
  <si>
    <t>1,23;2,407;1,524;1,166</t>
  </si>
  <si>
    <t>5,058;15,095;13,899;3,563</t>
  </si>
  <si>
    <t>barkbeetle,referenceClimate,tableName</t>
  </si>
  <si>
    <t>barkbeetle,referenceClimate,seasonalPrecipSum</t>
  </si>
  <si>
    <t>barkbeetle,referenceClimate,seasonalTemperatureAverage</t>
  </si>
  <si>
    <t>1,184;2,248;1,515;1,285</t>
  </si>
  <si>
    <t>5,109;15,319;14,014;3,24</t>
  </si>
  <si>
    <t>1,236;2,261;1,649;1,486</t>
  </si>
  <si>
    <t>4,851;14,504;13,343;3,19</t>
  </si>
  <si>
    <t>1,663;2,807;2,108;1,915</t>
  </si>
  <si>
    <t>3,672;13,987;12,555;2,096</t>
  </si>
  <si>
    <t>2,003;4,09;2,781;1,901</t>
  </si>
  <si>
    <t>3,947;13,979;12,793;2,551</t>
  </si>
  <si>
    <t>2,593;3,397;2,924;3,161</t>
  </si>
  <si>
    <t>3,549;13,453;12,268;2,642</t>
  </si>
  <si>
    <t>1,938;3,016;2,425;2,197</t>
  </si>
  <si>
    <t>5,132;14,263;13,07;3,789</t>
  </si>
  <si>
    <t>1,723;2,384;1,934;2,044</t>
  </si>
  <si>
    <t>5,591;15,527;14,124;3,581</t>
  </si>
  <si>
    <t>1,861;2,996;2,202;2,089</t>
  </si>
  <si>
    <t>4,497;13,989;12,994;3,122</t>
  </si>
  <si>
    <t>5,335;5,57;4,533;4,795</t>
  </si>
  <si>
    <t>2,134;13,265;12,31;0,864</t>
  </si>
  <si>
    <t>1,891;2,509;2,207;1,956</t>
  </si>
  <si>
    <t>7,151;15,672;14,487;5,021</t>
  </si>
  <si>
    <t>1,699;2,505;2,368;1,994</t>
  </si>
  <si>
    <t>5,752;14,404;13,421;3,794</t>
  </si>
  <si>
    <t>1,218;2,286;1,618;1,198</t>
  </si>
  <si>
    <t>5,662;15,468;14,123;3,115</t>
  </si>
  <si>
    <t>1,249;2,135;1,613;1,3</t>
  </si>
  <si>
    <t>5,705;15,518;13,984;3,044</t>
  </si>
  <si>
    <t>1,258;2,127;1,824;1,408</t>
  </si>
  <si>
    <t>5,34;14,724;13,334;2,895</t>
  </si>
  <si>
    <t>1,869;2,398;2,168;2,113</t>
  </si>
  <si>
    <t>4,068;14,103;12,581;1,586</t>
  </si>
  <si>
    <t>2,499;3,507;2,839;2,23</t>
  </si>
  <si>
    <t>4,411;14,362;13,055;2,234</t>
  </si>
  <si>
    <t>2,526;3,311;3,144;3,087</t>
  </si>
  <si>
    <t>4,335;13,681;12,273;2,131</t>
  </si>
  <si>
    <t>2,074;2,974;2,469;2,069</t>
  </si>
  <si>
    <t>5,646;14,565;13,109;3,346</t>
  </si>
  <si>
    <t>1,821;2,267;2,094;1,919</t>
  </si>
  <si>
    <t>6,067;15,836;14,052;3,264</t>
  </si>
  <si>
    <t>1,956;2,691;2,264;1,896</t>
  </si>
  <si>
    <t>5,051;14,615;13,292;2,839</t>
  </si>
  <si>
    <t>5,596;5,468;4,088;5,21</t>
  </si>
  <si>
    <t>2,864;13,386;11,454;0,83</t>
  </si>
  <si>
    <t>2,107;2,254;1,805;2,273</t>
  </si>
  <si>
    <t>7,469;15,461;14,024;5,382</t>
  </si>
  <si>
    <t>1,976;2,394;2,034;2,147</t>
  </si>
  <si>
    <t>5,981;14,253;12,892;4,018</t>
  </si>
  <si>
    <t>1,354;2,046;1,444;1,3</t>
  </si>
  <si>
    <t>5,768;15,138;13,311;3,196</t>
  </si>
  <si>
    <t>1,504;2,16;1,455;1,395</t>
  </si>
  <si>
    <t>5,717;15,528;13,393;2,927</t>
  </si>
  <si>
    <t>1,523;1,967;1,509;1,631</t>
  </si>
  <si>
    <t>5,301;14,601;12,91;3,002</t>
  </si>
  <si>
    <t>2,279;2,736;1,884;2,262</t>
  </si>
  <si>
    <t>4,243;14,122;11,762;1,391</t>
  </si>
  <si>
    <t>2,846;3,317;2,334;2,538</t>
  </si>
  <si>
    <t>5,0;14,43;12,316;2,289</t>
  </si>
  <si>
    <t>2,802;2,987;2,246;3,054</t>
  </si>
  <si>
    <t>4,671;13,559;11,42;2,445</t>
  </si>
  <si>
    <t>2,455;2,669;1,934;2,434</t>
  </si>
  <si>
    <t>5,926;14,596;12,565;3,517</t>
  </si>
  <si>
    <t>2,18;2,022;1,557;2,3</t>
  </si>
  <si>
    <t>6,301;15,882;13,637;3,383</t>
  </si>
  <si>
    <t>2,384;2,668;1,836;2,528</t>
  </si>
  <si>
    <t>5,59;14,607;12,743;3,0</t>
  </si>
  <si>
    <t>'4,524;6,247;5,108;4,457'</t>
  </si>
  <si>
    <t>'1,217;13,202;12,284;1,256'</t>
  </si>
  <si>
    <t>'1,707;2,693;2,18;2,063'</t>
  </si>
  <si>
    <t>'6,706;15,3;14,339;5,648'</t>
  </si>
  <si>
    <t>'1,645;2,632;2,228;2,073'</t>
  </si>
  <si>
    <t>'5,383;14,052;13,244;4,308'</t>
  </si>
  <si>
    <t>'1,23;2,407;1,524;1,166'</t>
  </si>
  <si>
    <t>'5,058;15,095;13,899;3,563'</t>
  </si>
  <si>
    <t>'1,184;2,248;1,515;1,285'</t>
  </si>
  <si>
    <t>'5,109;15,319;14,014;3,24'</t>
  </si>
  <si>
    <t>'1,236;2,261;1,649;1,486'</t>
  </si>
  <si>
    <t>'4,851;14,504;13,343;3,19'</t>
  </si>
  <si>
    <t>'1,663;2,807;2,108;1,915'</t>
  </si>
  <si>
    <t>'3,672;13,987;12,555;2,096'</t>
  </si>
  <si>
    <t>'2,003;4,09;2,781;1,901'</t>
  </si>
  <si>
    <t>'3,947;13,979;12,793;2,551'</t>
  </si>
  <si>
    <t>'2,593;3,397;2,924;3,161'</t>
  </si>
  <si>
    <t>'3,549;13,453;12,268;2,642'</t>
  </si>
  <si>
    <t>'1,938;3,016;2,425;2,197'</t>
  </si>
  <si>
    <t>'5,132;14,263;13,07;3,789'</t>
  </si>
  <si>
    <t>'1,723;2,384;1,934;2,044'</t>
  </si>
  <si>
    <t>'5,591;15,527;14,124;3,581'</t>
  </si>
  <si>
    <t>'1,861;2,996;2,202;2,089'</t>
  </si>
  <si>
    <t>'4,497;13,989;12,994;3,122'</t>
  </si>
  <si>
    <t>'5,335;5,57;4,533;4,795'</t>
  </si>
  <si>
    <t>'2,134;13,265;12,31;0,864'</t>
  </si>
  <si>
    <t>'1,891;2,509;2,207;1,956'</t>
  </si>
  <si>
    <t>'7,151;15,672;14,487;5,021'</t>
  </si>
  <si>
    <t>'1,699;2,505;2,368;1,994'</t>
  </si>
  <si>
    <t>'5,752;14,404;13,421;3,794'</t>
  </si>
  <si>
    <t>'1,218;2,286;1,618;1,198'</t>
  </si>
  <si>
    <t>'5,662;15,468;14,123;3,115'</t>
  </si>
  <si>
    <t>'1,249;2,135;1,613;1,3'</t>
  </si>
  <si>
    <t>'5,705;15,518;13,984;3,044'</t>
  </si>
  <si>
    <t>'1,258;2,127;1,824;1,408'</t>
  </si>
  <si>
    <t>'5,34;14,724;13,334;2,895'</t>
  </si>
  <si>
    <t>'1,869;2,398;2,168;2,113'</t>
  </si>
  <si>
    <t>'4,068;14,103;12,581;1,586'</t>
  </si>
  <si>
    <t>'2,499;3,507;2,839;2,23'</t>
  </si>
  <si>
    <t>'4,411;14,362;13,055;2,234'</t>
  </si>
  <si>
    <t>'2,526;3,311;3,144;3,087'</t>
  </si>
  <si>
    <t>'4,335;13,681;12,273;2,131'</t>
  </si>
  <si>
    <t>'2,074;2,974;2,469;2,069'</t>
  </si>
  <si>
    <t>'5,646;14,565;13,109;3,346'</t>
  </si>
  <si>
    <t>'1,821;2,267;2,094;1,919'</t>
  </si>
  <si>
    <t>'6,067;15,836;14,052;3,264'</t>
  </si>
  <si>
    <t>'1,956;2,691;2,264;1,896'</t>
  </si>
  <si>
    <t>'5,051;14,615;13,292;2,839'</t>
  </si>
  <si>
    <t>'5,596;5,468;4,088;5,21'</t>
  </si>
  <si>
    <t>'2,864;13,386;11,454;0,83'</t>
  </si>
  <si>
    <t>'2,107;2,254;1,805;2,273'</t>
  </si>
  <si>
    <t>'7,469;15,461;14,024;5,382'</t>
  </si>
  <si>
    <t>'1,976;2,394;2,034;2,147'</t>
  </si>
  <si>
    <t>'5,981;14,253;12,892;4,018'</t>
  </si>
  <si>
    <t>'1,354;2,046;1,444;1,3'</t>
  </si>
  <si>
    <t>'5,768;15,138;13,311;3,196'</t>
  </si>
  <si>
    <t>'1,504;2,16;1,455;1,395'</t>
  </si>
  <si>
    <t>'5,717;15,528;13,393;2,927'</t>
  </si>
  <si>
    <t>'1,523;1,967;1,509;1,631'</t>
  </si>
  <si>
    <t>'5,301;14,601;12,91;3,002'</t>
  </si>
  <si>
    <t>'2,279;2,736;1,884;2,262'</t>
  </si>
  <si>
    <t>'4,243;14,122;11,762;1,391'</t>
  </si>
  <si>
    <t>'2,846;3,317;2,334;2,538'</t>
  </si>
  <si>
    <t>'5,0;14,43;12,316;2,289'</t>
  </si>
  <si>
    <t>'2,802;2,987;2,246;3,054'</t>
  </si>
  <si>
    <t>'4,671;13,559;11,42;2,445'</t>
  </si>
  <si>
    <t>'2,455;2,669;1,934;2,434'</t>
  </si>
  <si>
    <t>'5,926;14,596;12,565;3,517'</t>
  </si>
  <si>
    <t>'2,18;2,022;1,557;2,3'</t>
  </si>
  <si>
    <t>'6,301;15,882;13,637;3,383'</t>
  </si>
  <si>
    <t>'2,384;2,668;1,836;2,528'</t>
  </si>
  <si>
    <t>'5,59;14,607;12,743;3,0'</t>
  </si>
  <si>
    <t>30</t>
  </si>
  <si>
    <t>modules.barkbeetle.referenceClimate.seasonalPrecipSum</t>
  </si>
  <si>
    <t>modules.barkbeetle.referenceClimate.seasonalTemperatureAverage</t>
  </si>
  <si>
    <t>5,058;15,095;13,899;3,563'</t>
  </si>
  <si>
    <t>331.261,595.413,432.0,336.678</t>
  </si>
  <si>
    <t>2.231,12.764,11.783,1.872</t>
  </si>
  <si>
    <t>147.65,257.451,197.034,177.108</t>
  </si>
  <si>
    <t>6.665,15.367,14.337,5.521</t>
  </si>
  <si>
    <t>146.386,242.149,205.013,190.713</t>
  </si>
  <si>
    <t>109.426,221.437,140.212,107.239</t>
  </si>
  <si>
    <t>104.739,219.87,142.633,112.907</t>
  </si>
  <si>
    <t>5.164,15.353,14.032,3.373</t>
  </si>
  <si>
    <t>109.993,207.973,151.752,136.745</t>
  </si>
  <si>
    <t>148.159,248.625,195.949,177.715</t>
  </si>
  <si>
    <t>3.884,14.321,12.889,2.031</t>
  </si>
  <si>
    <t>204.382,340.224,281.12,193.631</t>
  </si>
  <si>
    <t>3.882,14.157,12.944,2.582</t>
  </si>
  <si>
    <t>202.834,346.92,248.627,215.568</t>
  </si>
  <si>
    <t>3.173,13.371,12.289,2.138</t>
  </si>
  <si>
    <t>173.481,273.028,214.691,201.829</t>
  </si>
  <si>
    <t>4.537,14.225,13.048,3.669</t>
  </si>
  <si>
    <t>126.278,240.717,154.211,129.03</t>
  </si>
  <si>
    <t>5.07,15.204,13.948,3.474</t>
  </si>
  <si>
    <t>155.003,295.38,202.403,186.13</t>
  </si>
  <si>
    <t>4.559,14.363,13.174,2.833</t>
  </si>
  <si>
    <t>387.152,469.505,379.655,371.694</t>
  </si>
  <si>
    <t>2.893,13.6,12.576,1.382</t>
  </si>
  <si>
    <t>164.52,233.463,198.496,173.051</t>
  </si>
  <si>
    <t>7.096,15.744,14.494,4.908</t>
  </si>
  <si>
    <t>152.609,230.693,214.342,177.649</t>
  </si>
  <si>
    <t>5.869,14.507,13.517,3.942</t>
  </si>
  <si>
    <t>MPI-M-MPI-ESM-LR_historical_point38524</t>
  </si>
  <si>
    <t>MPI-M-MPI-ESM-LR_historical_point31358</t>
  </si>
  <si>
    <t>MPI-M-MPI-ESM-LR_historical_point26506</t>
  </si>
  <si>
    <t>MPI-M-MPI-ESM-LR_historical_point31054</t>
  </si>
  <si>
    <t>108.436,210.348,148.811,110.227</t>
  </si>
  <si>
    <t>MPI-M-MPI-ESM-LR_historical_point29033</t>
  </si>
  <si>
    <t>111.17,196.442,148.425,119.574</t>
  </si>
  <si>
    <t>MPI-M-MPI-ESM-LR_historical_point26530</t>
  </si>
  <si>
    <t>111.959,195.679,167.787,129.562</t>
  </si>
  <si>
    <t>MPI-M-MPI-ESM-LR_historical_point34251</t>
  </si>
  <si>
    <t>163.658,233.842,200.17,178.983</t>
  </si>
  <si>
    <t>4.383,14.219,12.647,1.786</t>
  </si>
  <si>
    <t>MPI-M-MPI-ESM-LR_historical_point37861</t>
  </si>
  <si>
    <t>222.385,322.598,261.19,205.205</t>
  </si>
  <si>
    <t>MPI-M-MPI-ESM-LR_historical_point36166</t>
  </si>
  <si>
    <t>220.666,312.591,261.623,216.95</t>
  </si>
  <si>
    <t>3.901,13.649,12.225,1.701</t>
  </si>
  <si>
    <t>MPI-M-MPI-ESM-LR_historical_point29363</t>
  </si>
  <si>
    <t>173.183,263.502,225.206,199.045</t>
  </si>
  <si>
    <t>5.263,14.431,13.101,3.154</t>
  </si>
  <si>
    <t>MPI-M-MPI-ESM-LR_historical_point31059</t>
  </si>
  <si>
    <t>137.105,230.581,173.106,139.106</t>
  </si>
  <si>
    <t>5.515,15.162,13.883,3.086</t>
  </si>
  <si>
    <t>MPI-M-MPI-ESM-LR_historical_point33001</t>
  </si>
  <si>
    <t>169.104,242.235,211.499,183.743</t>
  </si>
  <si>
    <t>4.881,14.401,12.801,2.331</t>
  </si>
  <si>
    <t>NCC-NorESM1-M_historical_point38515</t>
  </si>
  <si>
    <t>418.879,521.329,352.114,403.959</t>
  </si>
  <si>
    <t>3.725,12.963,11.01,1.447</t>
  </si>
  <si>
    <t>NCC-NorESM1-M_historical_point31358</t>
  </si>
  <si>
    <t>182.855,228.05,166.805,193.279</t>
  </si>
  <si>
    <t>7.36,15.633,13.973,5.178</t>
  </si>
  <si>
    <t>NCC-NorESM1-M_historical_point26507</t>
  </si>
  <si>
    <t>172.973,212.945,182.364,191.566</t>
  </si>
  <si>
    <t>5.95,14.474,12.987,4.009</t>
  </si>
  <si>
    <t>NCC-NorESM1-M_historical_point31054</t>
  </si>
  <si>
    <t>131.591,202.788,131.497,117.086</t>
  </si>
  <si>
    <t>5.876,15.462,13.518,3.24</t>
  </si>
  <si>
    <t>NCC-NorESM1-M_historical_point30067</t>
  </si>
  <si>
    <t>129.83,178.643,127.518,128.2</t>
  </si>
  <si>
    <t>5.836,15.527,13.478,3.101</t>
  </si>
  <si>
    <t>NCC-NorESM1-M_historical_point26183</t>
  </si>
  <si>
    <t>135.51,180.995,138.827,150.018</t>
  </si>
  <si>
    <t>NCC-NorESM1-M_historical_point34569</t>
  </si>
  <si>
    <t>191.561,218.426,159.069,201.9</t>
  </si>
  <si>
    <t>4.483,14.362,12.045,1.702</t>
  </si>
  <si>
    <t>NCC-NorESM1-M_historical_point37861</t>
  </si>
  <si>
    <t>253.255,305.139,214.705,233.476</t>
  </si>
  <si>
    <t>NCC-NorESM1-M_historical_point38176</t>
  </si>
  <si>
    <t>253.858,280.31,192.943,256.68</t>
  </si>
  <si>
    <t>4.219,13.598,11.68,1.721</t>
  </si>
  <si>
    <t>NCC-NorESM1-M_historical_point32670</t>
  </si>
  <si>
    <t>218.457,245.583,177.949,223.895</t>
  </si>
  <si>
    <t>NCC-NorESM1-M_historical_point31058</t>
  </si>
  <si>
    <t>156.402,212.473,147.998,148.197</t>
  </si>
  <si>
    <t>5.749,15.405,13.422,3.119</t>
  </si>
  <si>
    <t>NCC-NorESM1-M_historical_point36843</t>
  </si>
  <si>
    <t>199.507,238.924,163.833,179.837</t>
  </si>
  <si>
    <t>5.221,14.616,12.505,2.431</t>
  </si>
  <si>
    <t>ICHEC-EC-EARTH_historical_point38515</t>
  </si>
  <si>
    <t>ICHEC-EC-EARTH_historical_point31358</t>
  </si>
  <si>
    <t>ICHEC-EC-EARTH_historical_point26511</t>
  </si>
  <si>
    <t>ICHEC-EC-EARTH_historical_point31053</t>
  </si>
  <si>
    <t>ICHEC-EC-EARTH_historical_point30069</t>
  </si>
  <si>
    <t>ICHEC-EC-EARTH_historical_point26530</t>
  </si>
  <si>
    <t>ICHEC-EC-EARTH_historical_point34887</t>
  </si>
  <si>
    <t>ICHEC-EC-EARTH_historical_point37861</t>
  </si>
  <si>
    <t>ICHEC-EC-EARTH_historical_point36166</t>
  </si>
  <si>
    <t>ICHEC-EC-EARTH_historical_point29363</t>
  </si>
  <si>
    <t>ICHEC-EC-EARTH_historical_point30720</t>
  </si>
  <si>
    <t>ICHEC-EC-EARTH_historical_point34246</t>
  </si>
  <si>
    <t>331.261,595.413,432.0,336.679</t>
  </si>
  <si>
    <t>2.231,12.764,11.783,1.873</t>
  </si>
  <si>
    <t>331.261,595.413,432.0,336.680</t>
  </si>
  <si>
    <t>2.231,12.764,11.783,1.874</t>
  </si>
  <si>
    <t>331.261,595.413,432.0,336.681</t>
  </si>
  <si>
    <t>2.231,12.764,11.783,1.875</t>
  </si>
  <si>
    <t>331.261,595.413,432.0,336.682</t>
  </si>
  <si>
    <t>2.231,12.764,11.783,1.876</t>
  </si>
  <si>
    <t>147.65,257.451,197.034,177.109</t>
  </si>
  <si>
    <t>6.665,15.367,14.337,5.522</t>
  </si>
  <si>
    <t>147.65,257.451,197.034,177.110</t>
  </si>
  <si>
    <t>6.665,15.367,14.337,5.523</t>
  </si>
  <si>
    <t>147.65,257.451,197.034,177.111</t>
  </si>
  <si>
    <t>6.665,15.367,14.337,5.524</t>
  </si>
  <si>
    <t>147.65,257.451,197.034,177.112</t>
  </si>
  <si>
    <t>6.665,15.367,14.337,5.525</t>
  </si>
  <si>
    <t>146.386,242.149,205.013,190.714</t>
  </si>
  <si>
    <t>5.383,14.052,13.244,4.309</t>
  </si>
  <si>
    <t>146.386,242.149,205.013,190.715</t>
  </si>
  <si>
    <t>5.383,14.052,13.244,4.310</t>
  </si>
  <si>
    <t>146.386,242.149,205.013,190.716</t>
  </si>
  <si>
    <t>5.383,14.052,13.244,4.311</t>
  </si>
  <si>
    <t>146.386,242.149,205.013,190.717</t>
  </si>
  <si>
    <t>5.383,14.052,13.244,4.312</t>
  </si>
  <si>
    <t>109.426,221.437,140.212,107.240</t>
  </si>
  <si>
    <t>5.058,15.095,13.899,3.564</t>
  </si>
  <si>
    <t>109.426,221.437,140.212,107.241</t>
  </si>
  <si>
    <t>5.058,15.095,13.899,3.565</t>
  </si>
  <si>
    <t>109.426,221.437,140.212,107.242</t>
  </si>
  <si>
    <t>5.058,15.095,13.899,3.566</t>
  </si>
  <si>
    <t>109.426,221.437,140.212,107.243</t>
  </si>
  <si>
    <t>5.058,15.095,13.899,3.567</t>
  </si>
  <si>
    <t>104.739,219.87,142.633,112.908</t>
  </si>
  <si>
    <t>5.164,15.353,14.032,3.374</t>
  </si>
  <si>
    <t>104.739,219.87,142.633,112.909</t>
  </si>
  <si>
    <t>5.164,15.353,14.032,3.375</t>
  </si>
  <si>
    <t>104.739,219.87,142.633,112.910</t>
  </si>
  <si>
    <t>5.164,15.353,14.032,3.376</t>
  </si>
  <si>
    <t>104.739,219.87,142.633,112.911</t>
  </si>
  <si>
    <t>5.164,15.353,14.032,3.377</t>
  </si>
  <si>
    <t>109.993,207.973,151.752,136.746</t>
  </si>
  <si>
    <t>4.851,14.504,13.343,3.20</t>
  </si>
  <si>
    <t>109.993,207.973,151.752,136.747</t>
  </si>
  <si>
    <t>4.851,14.504,13.343,3.21</t>
  </si>
  <si>
    <t>109.993,207.973,151.752,136.748</t>
  </si>
  <si>
    <t>4.851,14.504,13.343,3.22</t>
  </si>
  <si>
    <t>109.993,207.973,151.752,136.749</t>
  </si>
  <si>
    <t>4.851,14.504,13.343,3.23</t>
  </si>
  <si>
    <t>148.159,248.625,195.949,177.716</t>
  </si>
  <si>
    <t>3.884,14.321,12.889,2.032</t>
  </si>
  <si>
    <t>148.159,248.625,195.949,177.717</t>
  </si>
  <si>
    <t>3.884,14.321,12.889,2.033</t>
  </si>
  <si>
    <t>148.159,248.625,195.949,177.718</t>
  </si>
  <si>
    <t>3.884,14.321,12.889,2.034</t>
  </si>
  <si>
    <t>148.159,248.625,195.949,177.719</t>
  </si>
  <si>
    <t>3.884,14.321,12.889,2.035</t>
  </si>
  <si>
    <t>204.382,340.224,281.12,193.632</t>
  </si>
  <si>
    <t>3.882,14.157,12.944,2.583</t>
  </si>
  <si>
    <t>204.382,340.224,281.12,193.633</t>
  </si>
  <si>
    <t>3.882,14.157,12.944,2.584</t>
  </si>
  <si>
    <t>204.382,340.224,281.12,193.634</t>
  </si>
  <si>
    <t>3.882,14.157,12.944,2.585</t>
  </si>
  <si>
    <t>204.382,340.224,281.12,193.635</t>
  </si>
  <si>
    <t>3.882,14.157,12.944,2.586</t>
  </si>
  <si>
    <t>202.834,346.92,248.627,215.569</t>
  </si>
  <si>
    <t>3.173,13.371,12.289,2.139</t>
  </si>
  <si>
    <t>202.834,346.92,248.627,215.570</t>
  </si>
  <si>
    <t>3.173,13.371,12.289,2.140</t>
  </si>
  <si>
    <t>202.834,346.92,248.627,215.571</t>
  </si>
  <si>
    <t>3.173,13.371,12.289,2.141</t>
  </si>
  <si>
    <t>202.834,346.92,248.627,215.572</t>
  </si>
  <si>
    <t>3.173,13.371,12.289,2.142</t>
  </si>
  <si>
    <t>173.481,273.028,214.691,201.830</t>
  </si>
  <si>
    <t>4.537,14.225,13.048,3.670</t>
  </si>
  <si>
    <t>173.481,273.028,214.691,201.831</t>
  </si>
  <si>
    <t>4.537,14.225,13.048,3.671</t>
  </si>
  <si>
    <t>173.481,273.028,214.691,201.832</t>
  </si>
  <si>
    <t>4.537,14.225,13.048,3.672</t>
  </si>
  <si>
    <t>173.481,273.028,214.691,201.833</t>
  </si>
  <si>
    <t>4.537,14.225,13.048,3.673</t>
  </si>
  <si>
    <t>126.278,240.717,154.211,129.04</t>
  </si>
  <si>
    <t>5.07,15.204,13.948,3.475</t>
  </si>
  <si>
    <t>126.278,240.717,154.211,129.05</t>
  </si>
  <si>
    <t>5.07,15.204,13.948,3.476</t>
  </si>
  <si>
    <t>126.278,240.717,154.211,129.06</t>
  </si>
  <si>
    <t>5.07,15.204,13.948,3.477</t>
  </si>
  <si>
    <t>126.278,240.717,154.211,129.07</t>
  </si>
  <si>
    <t>5.07,15.204,13.948,3.478</t>
  </si>
  <si>
    <t>155.003,295.38,202.403,186.14</t>
  </si>
  <si>
    <t>4.559,14.363,13.174,2.834</t>
  </si>
  <si>
    <t>155.003,295.38,202.403,186.15</t>
  </si>
  <si>
    <t>4.559,14.363,13.174,2.835</t>
  </si>
  <si>
    <t>155.003,295.38,202.403,186.16</t>
  </si>
  <si>
    <t>4.559,14.363,13.174,2.836</t>
  </si>
  <si>
    <t>155.003,295.38,202.403,186.17</t>
  </si>
  <si>
    <t>4.559,14.363,13.174,2.837</t>
  </si>
  <si>
    <t>387.152,469.505,379.655,371.695</t>
  </si>
  <si>
    <t>2.893,13.6,12.576,1.383</t>
  </si>
  <si>
    <t>387.152,469.505,379.655,371.696</t>
  </si>
  <si>
    <t>2.893,13.6,12.576,1.384</t>
  </si>
  <si>
    <t>387.152,469.505,379.655,371.697</t>
  </si>
  <si>
    <t>2.893,13.6,12.576,1.385</t>
  </si>
  <si>
    <t>387.152,469.505,379.655,371.698</t>
  </si>
  <si>
    <t>2.893,13.6,12.576,1.386</t>
  </si>
  <si>
    <t>164.52,233.463,198.496,173.052</t>
  </si>
  <si>
    <t>7.096,15.744,14.494,4.909</t>
  </si>
  <si>
    <t>164.52,233.463,198.496,173.053</t>
  </si>
  <si>
    <t>7.096,15.744,14.494,4.910</t>
  </si>
  <si>
    <t>164.52,233.463,198.496,173.054</t>
  </si>
  <si>
    <t>7.096,15.744,14.494,4.911</t>
  </si>
  <si>
    <t>164.52,233.463,198.496,173.055</t>
  </si>
  <si>
    <t>7.096,15.744,14.494,4.912</t>
  </si>
  <si>
    <t>152.609,230.693,214.342,177.650</t>
  </si>
  <si>
    <t>5.869,14.507,13.517,3.943</t>
  </si>
  <si>
    <t>152.609,230.693,214.342,177.651</t>
  </si>
  <si>
    <t>5.869,14.507,13.517,3.944</t>
  </si>
  <si>
    <t>152.609,230.693,214.342,177.652</t>
  </si>
  <si>
    <t>5.869,14.507,13.517,3.945</t>
  </si>
  <si>
    <t>152.609,230.693,214.342,177.653</t>
  </si>
  <si>
    <t>5.869,14.507,13.517,3.946</t>
  </si>
  <si>
    <t>108.436,210.348,148.811,110.228</t>
  </si>
  <si>
    <t>5.662,15.468,14.123,3.116</t>
  </si>
  <si>
    <t>108.436,210.348,148.811,110.229</t>
  </si>
  <si>
    <t>5.662,15.468,14.123,3.117</t>
  </si>
  <si>
    <t>108.436,210.348,148.811,110.230</t>
  </si>
  <si>
    <t>5.662,15.468,14.123,3.118</t>
  </si>
  <si>
    <t>108.436,210.348,148.811,110.231</t>
  </si>
  <si>
    <t>5.662,15.468,14.123,3.119</t>
  </si>
  <si>
    <t>111.17,196.442,148.425,119.575</t>
  </si>
  <si>
    <t>5.705,15.518,13.984,3.045</t>
  </si>
  <si>
    <t>111.17,196.442,148.425,119.576</t>
  </si>
  <si>
    <t>5.705,15.518,13.984,3.046</t>
  </si>
  <si>
    <t>111.17,196.442,148.425,119.577</t>
  </si>
  <si>
    <t>5.705,15.518,13.984,3.047</t>
  </si>
  <si>
    <t>111.17,196.442,148.425,119.578</t>
  </si>
  <si>
    <t>5.705,15.518,13.984,3.048</t>
  </si>
  <si>
    <t>111.959,195.679,167.787,129.563</t>
  </si>
  <si>
    <t>5.34,14.724,13.334,2.896</t>
  </si>
  <si>
    <t>111.959,195.679,167.787,129.564</t>
  </si>
  <si>
    <t>5.34,14.724,13.334,2.897</t>
  </si>
  <si>
    <t>111.959,195.679,167.787,129.565</t>
  </si>
  <si>
    <t>5.34,14.724,13.334,2.898</t>
  </si>
  <si>
    <t>111.959,195.679,167.787,129.566</t>
  </si>
  <si>
    <t>5.34,14.724,13.334,2.899</t>
  </si>
  <si>
    <t>163.658,233.842,200.17,178.984</t>
  </si>
  <si>
    <t>4.383,14.219,12.647,1.787</t>
  </si>
  <si>
    <t>163.658,233.842,200.17,178.985</t>
  </si>
  <si>
    <t>4.383,14.219,12.647,1.788</t>
  </si>
  <si>
    <t>163.658,233.842,200.17,178.986</t>
  </si>
  <si>
    <t>4.383,14.219,12.647,1.789</t>
  </si>
  <si>
    <t>163.658,233.842,200.17,178.987</t>
  </si>
  <si>
    <t>4.383,14.219,12.647,1.790</t>
  </si>
  <si>
    <t>222.385,322.598,261.19,205.206</t>
  </si>
  <si>
    <t>4.411,14.362,13.055,2.235</t>
  </si>
  <si>
    <t>222.385,322.598,261.19,205.207</t>
  </si>
  <si>
    <t>4.411,14.362,13.055,2.236</t>
  </si>
  <si>
    <t>222.385,322.598,261.19,205.208</t>
  </si>
  <si>
    <t>4.411,14.362,13.055,2.237</t>
  </si>
  <si>
    <t>222.385,322.598,261.19,205.209</t>
  </si>
  <si>
    <t>4.411,14.362,13.055,2.238</t>
  </si>
  <si>
    <t>220.666,312.591,261.623,216.96</t>
  </si>
  <si>
    <t>3.901,13.649,12.225,1.702</t>
  </si>
  <si>
    <t>220.666,312.591,261.623,216.97</t>
  </si>
  <si>
    <t>3.901,13.649,12.225,1.703</t>
  </si>
  <si>
    <t>220.666,312.591,261.623,216.98</t>
  </si>
  <si>
    <t>3.901,13.649,12.225,1.704</t>
  </si>
  <si>
    <t>220.666,312.591,261.623,216.99</t>
  </si>
  <si>
    <t>3.901,13.649,12.225,1.705</t>
  </si>
  <si>
    <t>173.183,263.502,225.206,199.046</t>
  </si>
  <si>
    <t>5.263,14.431,13.101,3.155</t>
  </si>
  <si>
    <t>173.183,263.502,225.206,199.047</t>
  </si>
  <si>
    <t>5.263,14.431,13.101,3.156</t>
  </si>
  <si>
    <t>173.183,263.502,225.206,199.048</t>
  </si>
  <si>
    <t>5.263,14.431,13.101,3.157</t>
  </si>
  <si>
    <t>173.183,263.502,225.206,199.049</t>
  </si>
  <si>
    <t>5.263,14.431,13.101,3.158</t>
  </si>
  <si>
    <t>137.105,230.581,173.106,139.107</t>
  </si>
  <si>
    <t>5.515,15.162,13.883,3.087</t>
  </si>
  <si>
    <t>137.105,230.581,173.106,139.108</t>
  </si>
  <si>
    <t>5.515,15.162,13.883,3.088</t>
  </si>
  <si>
    <t>137.105,230.581,173.106,139.109</t>
  </si>
  <si>
    <t>5.515,15.162,13.883,3.089</t>
  </si>
  <si>
    <t>137.105,230.581,173.106,139.110</t>
  </si>
  <si>
    <t>5.515,15.162,13.883,3.090</t>
  </si>
  <si>
    <t>169.104,242.235,211.499,183.744</t>
  </si>
  <si>
    <t>4.881,14.401,12.801,2.332</t>
  </si>
  <si>
    <t>169.104,242.235,211.499,183.745</t>
  </si>
  <si>
    <t>4.881,14.401,12.801,2.333</t>
  </si>
  <si>
    <t>169.104,242.235,211.499,183.746</t>
  </si>
  <si>
    <t>4.881,14.401,12.801,2.334</t>
  </si>
  <si>
    <t>169.104,242.235,211.499,183.747</t>
  </si>
  <si>
    <t>4.881,14.401,12.801,2.335</t>
  </si>
  <si>
    <t>418.879,521.329,352.114,403.960</t>
  </si>
  <si>
    <t>3.725,12.963,11.01,1.448</t>
  </si>
  <si>
    <t>418.879,521.329,352.114,403.961</t>
  </si>
  <si>
    <t>3.725,12.963,11.01,1.449</t>
  </si>
  <si>
    <t>418.879,521.329,352.114,403.962</t>
  </si>
  <si>
    <t>3.725,12.963,11.01,1.450</t>
  </si>
  <si>
    <t>418.879,521.329,352.114,403.963</t>
  </si>
  <si>
    <t>3.725,12.963,11.01,1.451</t>
  </si>
  <si>
    <t>182.855,228.05,166.805,193.280</t>
  </si>
  <si>
    <t>7.36,15.633,13.973,5.179</t>
  </si>
  <si>
    <t>182.855,228.05,166.805,193.281</t>
  </si>
  <si>
    <t>7.36,15.633,13.973,5.180</t>
  </si>
  <si>
    <t>182.855,228.05,166.805,193.282</t>
  </si>
  <si>
    <t>7.36,15.633,13.973,5.181</t>
  </si>
  <si>
    <t>182.855,228.05,166.805,193.283</t>
  </si>
  <si>
    <t>7.36,15.633,13.973,5.182</t>
  </si>
  <si>
    <t>172.973,212.945,182.364,191.567</t>
  </si>
  <si>
    <t>5.95,14.474,12.987,4.010</t>
  </si>
  <si>
    <t>172.973,212.945,182.364,191.568</t>
  </si>
  <si>
    <t>5.95,14.474,12.987,4.011</t>
  </si>
  <si>
    <t>172.973,212.945,182.364,191.569</t>
  </si>
  <si>
    <t>5.95,14.474,12.987,4.012</t>
  </si>
  <si>
    <t>172.973,212.945,182.364,191.570</t>
  </si>
  <si>
    <t>5.95,14.474,12.987,4.013</t>
  </si>
  <si>
    <t>131.591,202.788,131.497,117.087</t>
  </si>
  <si>
    <t>5.876,15.462,13.518,3.25</t>
  </si>
  <si>
    <t>131.591,202.788,131.497,117.088</t>
  </si>
  <si>
    <t>5.876,15.462,13.518,3.26</t>
  </si>
  <si>
    <t>131.591,202.788,131.497,117.089</t>
  </si>
  <si>
    <t>5.876,15.462,13.518,3.27</t>
  </si>
  <si>
    <t>131.591,202.788,131.497,117.090</t>
  </si>
  <si>
    <t>5.876,15.462,13.518,3.28</t>
  </si>
  <si>
    <t>129.83,178.643,127.518,128.3</t>
  </si>
  <si>
    <t>5.836,15.527,13.478,3.102</t>
  </si>
  <si>
    <t>129.83,178.643,127.518,128.4</t>
  </si>
  <si>
    <t>5.836,15.527,13.478,3.103</t>
  </si>
  <si>
    <t>129.83,178.643,127.518,128.5</t>
  </si>
  <si>
    <t>5.836,15.527,13.478,3.104</t>
  </si>
  <si>
    <t>129.83,178.643,127.518,128.6</t>
  </si>
  <si>
    <t>5.836,15.527,13.478,3.105</t>
  </si>
  <si>
    <t>135.51,180.995,138.827,150.019</t>
  </si>
  <si>
    <t>5.301,14.601,12.91,3.003</t>
  </si>
  <si>
    <t>135.51,180.995,138.827,150.020</t>
  </si>
  <si>
    <t>5.301,14.601,12.91,3.004</t>
  </si>
  <si>
    <t>135.51,180.995,138.827,150.021</t>
  </si>
  <si>
    <t>5.301,14.601,12.91,3.005</t>
  </si>
  <si>
    <t>135.51,180.995,138.827,150.022</t>
  </si>
  <si>
    <t>5.301,14.601,12.91,3.006</t>
  </si>
  <si>
    <t>191.561,218.426,159.069,201.10</t>
  </si>
  <si>
    <t>4.483,14.362,12.045,1.703</t>
  </si>
  <si>
    <t>191.561,218.426,159.069,201.11</t>
  </si>
  <si>
    <t>4.483,14.362,12.045,1.704</t>
  </si>
  <si>
    <t>191.561,218.426,159.069,201.12</t>
  </si>
  <si>
    <t>4.483,14.362,12.045,1.705</t>
  </si>
  <si>
    <t>191.561,218.426,159.069,201.13</t>
  </si>
  <si>
    <t>4.483,14.362,12.045,1.706</t>
  </si>
  <si>
    <t>253.255,305.139,214.705,233.477</t>
  </si>
  <si>
    <t>5.0,14.43,12.316,2.290</t>
  </si>
  <si>
    <t>253.255,305.139,214.705,233.478</t>
  </si>
  <si>
    <t>5.0,14.43,12.316,2.291</t>
  </si>
  <si>
    <t>253.255,305.139,214.705,233.479</t>
  </si>
  <si>
    <t>5.0,14.43,12.316,2.292</t>
  </si>
  <si>
    <t>253.255,305.139,214.705,233.480</t>
  </si>
  <si>
    <t>5.0,14.43,12.316,2.293</t>
  </si>
  <si>
    <t>253.858,280.31,192.943,256.69</t>
  </si>
  <si>
    <t>4.219,13.598,11.68,1.722</t>
  </si>
  <si>
    <t>253.858,280.31,192.943,256.70</t>
  </si>
  <si>
    <t>4.219,13.598,11.68,1.723</t>
  </si>
  <si>
    <t>253.858,280.31,192.943,256.71</t>
  </si>
  <si>
    <t>4.219,13.598,11.68,1.724</t>
  </si>
  <si>
    <t>253.858,280.31,192.943,256.72</t>
  </si>
  <si>
    <t>4.219,13.598,11.68,1.725</t>
  </si>
  <si>
    <t>218.457,245.583,177.949,223.896</t>
  </si>
  <si>
    <t>5.926,14.596,12.565,3.518</t>
  </si>
  <si>
    <t>218.457,245.583,177.949,223.897</t>
  </si>
  <si>
    <t>5.926,14.596,12.565,3.519</t>
  </si>
  <si>
    <t>218.457,245.583,177.949,223.898</t>
  </si>
  <si>
    <t>5.926,14.596,12.565,3.520</t>
  </si>
  <si>
    <t>218.457,245.583,177.949,223.899</t>
  </si>
  <si>
    <t>5.926,14.596,12.565,3.521</t>
  </si>
  <si>
    <t>156.402,212.473,147.998,148.198</t>
  </si>
  <si>
    <t>5.749,15.405,13.422,3.120</t>
  </si>
  <si>
    <t>156.402,212.473,147.998,148.199</t>
  </si>
  <si>
    <t>5.749,15.405,13.422,3.121</t>
  </si>
  <si>
    <t>156.402,212.473,147.998,148.200</t>
  </si>
  <si>
    <t>5.749,15.405,13.422,3.122</t>
  </si>
  <si>
    <t>156.402,212.473,147.998,148.201</t>
  </si>
  <si>
    <t>5.749,15.405,13.422,3.123</t>
  </si>
  <si>
    <t>199.507,238.924,163.833,179.838</t>
  </si>
  <si>
    <t>5.221,14.616,12.505,2.432</t>
  </si>
  <si>
    <t>199.507,238.924,163.833,179.839</t>
  </si>
  <si>
    <t>5.221,14.616,12.505,2.433</t>
  </si>
  <si>
    <t>199.507,238.924,163.833,179.840</t>
  </si>
  <si>
    <t>5.221,14.616,12.505,2.434</t>
  </si>
  <si>
    <t>199.507,238.924,163.833,179.841</t>
  </si>
  <si>
    <t>5.221,14.616,12.505,2.435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</si>
</sst>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"/>
  </numFmts>
  <fonts count="5"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9"/>
      <color rgb="FF1F1F1F"/>
      <name val="&quot;Google Sans&quot;"/>
    </font>
    <font>
      <sz val="10"/>
      <color theme="1"/>
      <name val="Calibri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0" fillId="0" borderId="0" xfId="0" applyFont="1" applyAlignment="1"/>
    <xf numFmtId="0" fontId="3" fillId="2" borderId="0" xfId="0" applyFont="1" applyFill="1"/>
    <xf numFmtId="0" fontId="3" fillId="3" borderId="0" xfId="0" applyFont="1" applyFill="1" applyAlignment="1"/>
    <xf numFmtId="0" fontId="4" fillId="3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0" fillId="0" borderId="0" xfId="0" applyFont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3" fillId="5" borderId="0" xfId="0" applyFont="1" applyFill="1" applyAlignment="1"/>
    <xf numFmtId="49" fontId="3" fillId="2" borderId="0" xfId="0" applyNumberFormat="1" applyFont="1" applyFill="1" applyAlignment="1"/>
    <xf numFmtId="11" fontId="3" fillId="3" borderId="0" xfId="0" applyNumberFormat="1" applyFont="1" applyFill="1" applyAlignment="1"/>
    <xf numFmtId="164" fontId="3" fillId="3" borderId="0" xfId="0" applyNumberFormat="1" applyFont="1" applyFill="1" applyAlignment="1"/>
    <xf numFmtId="0" fontId="3" fillId="5" borderId="0" xfId="0" quotePrefix="1" applyFont="1" applyFill="1" applyAlignment="1"/>
    <xf numFmtId="49" fontId="3" fillId="5" borderId="0" xfId="0" applyNumberFormat="1" applyFont="1" applyFill="1" applyAlignment="1"/>
  </cellXfs>
  <cellStyles count="1">
    <cellStyle name="Standard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1C232"/>
          <bgColor rgb="FFF1C23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0000000000000"/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&quot;Google Sans&quot;"/>
        <scheme val="none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1C232"/>
          <bgColor rgb="FFF1C23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00000000000000"/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6AA84F"/>
          <bgColor rgb="FF6AA84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&quot;Google Sans&quot;"/>
        <scheme val="none"/>
      </font>
      <fill>
        <patternFill patternType="solid">
          <fgColor rgb="FFFF9900"/>
          <bgColor rgb="FFFF990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05297F9A-E71A-4BB4-8EAA-B9935478CCA6}" autoFormatId="16" applyNumberFormats="0" applyBorderFormats="0" applyFontFormats="0" applyPatternFormats="0" applyAlignmentFormats="0" applyWidthHeightFormats="0">
  <queryTableRefresh nextId="7">
    <queryTableFields count="6">
      <queryTableField id="1" name="cluster_id" tableColumnId="1"/>
      <queryTableField id="2" name="climate_model" tableColumnId="2"/>
      <queryTableField id="3" name="sqlite_file" tableColumnId="3"/>
      <queryTableField id="4" name="barkbeetle.referenceClimate.tableName" tableColumnId="4"/>
      <queryTableField id="5" name="barkbeetle.referenceClimate.seasonalPrecipSum" tableColumnId="5"/>
      <queryTableField id="6" name="barkbeetle.referenceClimate.seasonalTemperatureAverag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74E1412-C338-42EC-A52A-9DABF65663F2}" autoFormatId="16" applyNumberFormats="0" applyBorderFormats="0" applyFontFormats="0" applyPatternFormats="0" applyAlignmentFormats="0" applyWidthHeightFormats="0">
  <queryTableRefresh nextId="9">
    <queryTableFields count="7">
      <queryTableField id="1" name="cluster_id" tableColumnId="1"/>
      <queryTableField id="2" name="climate_model" tableColumnId="2"/>
      <queryTableField id="3" name="sqlite_file" tableColumnId="3"/>
      <queryTableField id="7" dataBound="0" tableColumnId="7"/>
      <queryTableField id="4" name="barkbeetle.referenceClimate.tableName" tableColumnId="4"/>
      <queryTableField id="5" name="barkbeetle.referenceClimate.seasonalPrecipSum" tableColumnId="5"/>
      <queryTableField id="6" name="barkbeetle.referenceClimate.seasonalTemperatureAverage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8A9684-062E-4E6D-8E10-6B58458B9A19}" name="Tabelle35" displayName="Tabelle35" ref="A1:AG181" totalsRowShown="0" headerRowDxfId="70" dataDxfId="69">
  <autoFilter ref="A1:AG181" xr:uid="{EE6E79BF-2ECE-44FA-9499-3E42C183D940}"/>
  <sortState ref="A2:AG181">
    <sortCondition ref="G1:G181"/>
  </sortState>
  <tableColumns count="33">
    <tableColumn id="1" xr3:uid="{91573CBD-732E-4D34-BFF9-E3E35B1BF781}" name="run_id" dataDxfId="68">
      <calculatedColumnFormula xml:space="preserve"> G2 &amp; "_" &amp; C2 &amp;"Cluster" &amp; J2 &amp; "_repl" &amp; L2</calculatedColumnFormula>
    </tableColumn>
    <tableColumn id="2" xr3:uid="{318EACB0-0340-4708-BF73-CD7195FFED4D}" name="_Structure_type" dataDxfId="67"/>
    <tableColumn id="3" xr3:uid="{0DA5A92E-81B2-471D-BD8F-80295E6BB6FF}" name="_scaled_wind_" dataDxfId="66"/>
    <tableColumn id="4" xr3:uid="{10A9F79D-AD01-4C6D-A2F5-341F6796F1C9}" name="_climate_scenario" dataDxfId="65"/>
    <tableColumn id="5" xr3:uid="{6A9148D6-9C81-4A18-8BB3-6013709405B7}" name="_climate_encoded_" dataDxfId="64">
      <calculatedColumnFormula>IF(D2="historical", "historical", IF(D2="RCP26", "rcp_2_6", IF(D2="RCP45", "rcp_4_5", "rcp_8_5")))</calculatedColumnFormula>
    </tableColumn>
    <tableColumn id="6" xr3:uid="{70529355-F172-438D-B682-1E12F0551409}" name="_co2_concentration" dataDxfId="63"/>
    <tableColumn id="7" xr3:uid="{C2F76696-7DF4-4D9B-ACED-4998D596F253}" name="_climate_model" dataDxfId="62"/>
    <tableColumn id="8" xr3:uid="{5E832ABD-A0CD-4959-97CE-46E719169CB2}" name="_climate_model_number" dataDxfId="61"/>
    <tableColumn id="9" xr3:uid="{EBAE6E7A-18C3-4D89-8524-404EB20896AD}" name="_Marcs_BB_values_" dataDxfId="60"/>
    <tableColumn id="10" xr3:uid="{E1C14E3C-C895-40C4-9384-F892F47E29B4}" name="_cluster_" dataDxfId="59"/>
    <tableColumn id="11" xr3:uid="{FB80349B-F23A-46D2-A1ED-285C0C1005CC}" name="_climate_point_" dataDxfId="58"/>
    <tableColumn id="12" xr3:uid="{E7A8F13D-BD88-486D-8D1A-851E7B662422}" name="_replicate_" dataDxfId="57"/>
    <tableColumn id="13" xr3:uid="{3A3D3297-8D1E-4C47-AB34-3B8657B0197E}" name="_disturbances" dataDxfId="56"/>
    <tableColumn id="14" xr3:uid="{E599D7ED-06F5-421B-AD66-D4E8B054CE8F}" name="project_file" dataDxfId="55"/>
    <tableColumn id="15" xr3:uid="{DE4694CC-D333-4B04-91D0-767A9EF041A7}" name="sim_years" dataDxfId="54"/>
    <tableColumn id="16" xr3:uid="{1F45E003-313F-4296-BA3F-87E4EA280B0D}" name="output_sqlite" dataDxfId="53">
      <calculatedColumnFormula>A2  &amp; ".sqlite"</calculatedColumnFormula>
    </tableColumn>
    <tableColumn id="17" xr3:uid="{0EA50174-792C-489E-AC9F-A9C7DF87CD70}" name="priority" dataDxfId="52">
      <calculatedColumnFormula>(L2-1)*3+H2</calculatedColumnFormula>
    </tableColumn>
    <tableColumn id="18" xr3:uid="{428EBF97-CB58-405A-BFE7-77B90AD1A27D}" name="system.database.climate" dataDxfId="51">
      <calculatedColumnFormula>"climate_db_" &amp; G2&amp; "_" &amp;  E2&amp; "_v4.sqlite"</calculatedColumnFormula>
    </tableColumn>
    <tableColumn id="19" xr3:uid="{21BEF77C-7F2B-4B81-8122-612493FB89E1}" name="system.logging.logFile" dataDxfId="50">
      <calculatedColumnFormula>"log/" &amp;A2  &amp; ".txt"</calculatedColumnFormula>
    </tableColumn>
    <tableColumn id="20" xr3:uid="{6CE1B957-2204-4DDF-96B2-7F763318A6DB}" name="model.world.environmentFile" dataDxfId="49">
      <calculatedColumnFormula>"init/env_file_CLUSTER" &amp; TEXT(J2, "00") &amp; "_REPL" &amp; L2 &amp; "_" &amp; G2 &amp; "_" &amp; E2 &amp; ".csv"</calculatedColumnFormula>
    </tableColumn>
    <tableColumn id="21" xr3:uid="{AB8F0B0B-5DF8-40A1-A228-C2EF5BB5DCF0}" name="model.world.environmentGrid" dataDxfId="48">
      <calculatedColumnFormula>"init/env_grid_CLUSTER" &amp; TEXT(J2, "00") &amp; "_REPL" &amp; L2 &amp; ".asc"</calculatedColumnFormula>
    </tableColumn>
    <tableColumn id="22" xr3:uid="{AC808F09-99FA-4A48-8B7F-B7CF04184487}" name="model.world.standGrid.fileName" dataDxfId="47">
      <calculatedColumnFormula>U2</calculatedColumnFormula>
    </tableColumn>
    <tableColumn id="23" xr3:uid="{C9EB4313-869B-4BAF-AAA5-C7C090C66A90}" name="model.initialization.file" dataDxfId="46">
      <calculatedColumnFormula>"trees_CLUSTER" &amp; TEXT(J2, "00")  &amp; ".csv"</calculatedColumnFormula>
    </tableColumn>
    <tableColumn id="24" xr3:uid="{DA1AF6F7-FB45-4C11-BD98-642DAF9DC445}" name="model.initialization.saplingFile" dataDxfId="45">
      <calculatedColumnFormula>"saplings_CLUSTER" &amp; TEXT(J2, "00")  &amp; ".csv"</calculatedColumnFormula>
    </tableColumn>
    <tableColumn id="25" xr3:uid="{E1833219-D23C-4265-A918-E7ECBC3E9C8C}" name="model.climate.co2concentration" dataDxfId="44">
      <calculatedColumnFormula>F2</calculatedColumnFormula>
    </tableColumn>
    <tableColumn id="26" xr3:uid="{520C8991-15D6-4AD7-9A44-950B5E80AA64}" name="model.management.abe.agentDataFile" dataDxfId="43">
      <calculatedColumnFormula>"abe/no_mgmt.csv"</calculatedColumnFormula>
    </tableColumn>
    <tableColumn id="27" xr3:uid="{7158986D-4500-4D3E-976C-23E3C00115D7}" name="modules.wind.topoGridFile" dataDxfId="42">
      <calculatedColumnFormula>"gis/WindModifier_cl" &amp; J2 &amp; ".asc"</calculatedColumnFormula>
    </tableColumn>
    <tableColumn id="28" xr3:uid="{32992CA1-767F-44EA-920F-49F85619A8DC}" name="modules.barkbeetle.backgroundInfestationProbability" dataDxfId="41">
      <calculatedColumnFormula>IF(C2="Scaled_", I2+0.0000000001,  0.000685)</calculatedColumnFormula>
    </tableColumn>
    <tableColumn id="29" xr3:uid="{44A15F2C-991C-45DC-96A1-D136C655A39A}" name="modules.barkbeetle.referenceClimate.tableName" dataDxfId="40">
      <calculatedColumnFormula>G2 &amp; "_" &amp; E2 &amp; "_point" &amp; K2</calculatedColumnFormula>
    </tableColumn>
    <tableColumn id="30" xr3:uid="{0902F019-676E-40D8-8412-6E56176FA44F}" name="model.world.timeEventsFile" dataDxfId="39">
      <calculatedColumnFormula>"wind_Events/" &amp; C2 &amp; "cl" &amp; J2 &amp; "_repl" &amp; L2 &amp; ".txt"</calculatedColumnFormula>
    </tableColumn>
    <tableColumn id="31" xr3:uid="{2586D726-E20A-4FD1-BD83-04A805B2BD75}" name="user.Scenario" dataDxfId="2">
      <calculatedColumnFormula>A2</calculatedColumnFormula>
    </tableColumn>
    <tableColumn id="32" xr3:uid="{B41E2B4E-EA8D-4A7A-B5D5-708B932557BD}" name="modules.barkbeetle.referenceClimate.seasonalPrecipSum" dataDxfId="1"/>
    <tableColumn id="33" xr3:uid="{421D0726-7139-4FCA-B0D0-99A0045638E3}" name="modules.barkbeetle.referenceClimate.seasonalTemperatureAverag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722BE-10F6-4ECE-8E27-1F6AD3BC0875}" name="Tabelle3" displayName="Tabelle3" ref="A1:AG181" totalsRowShown="0" headerRowDxfId="38" dataDxfId="37">
  <autoFilter ref="A1:AG181" xr:uid="{EE6E79BF-2ECE-44FA-9499-3E42C183D940}"/>
  <sortState ref="A2:AG181">
    <sortCondition ref="G1:G181"/>
  </sortState>
  <tableColumns count="33">
    <tableColumn id="1" xr3:uid="{CCE19DCE-EF85-4779-B2B8-EC13AFA1D51A}" name="run_id" dataDxfId="36">
      <calculatedColumnFormula xml:space="preserve"> G2 &amp; "_" &amp; C2 &amp;"Cluster" &amp; J2 &amp; "_repl" &amp; L2</calculatedColumnFormula>
    </tableColumn>
    <tableColumn id="2" xr3:uid="{C8619C0A-155D-4587-8E84-7BE3D6E1195A}" name="_Structure_type" dataDxfId="35"/>
    <tableColumn id="3" xr3:uid="{6C753A2A-B404-4A12-A137-AABDFC636E36}" name="_scaled_wind_" dataDxfId="34"/>
    <tableColumn id="4" xr3:uid="{53AFB188-BFC2-46F9-834F-508E7E86C1D0}" name="_climate_scenario" dataDxfId="33"/>
    <tableColumn id="5" xr3:uid="{89336AD2-9AC1-46FC-8BEC-504F667CA89C}" name="_climate_encoded_" dataDxfId="32">
      <calculatedColumnFormula>IF(D2="historical", "historical", IF(D2="RCP26", "rcp_2_6", IF(D2="RCP45", "rcp_4_5", "rcp_8_5")))</calculatedColumnFormula>
    </tableColumn>
    <tableColumn id="6" xr3:uid="{31718680-1118-4F65-92C1-A8FD4AA3B90A}" name="_co2_concentration" dataDxfId="31"/>
    <tableColumn id="7" xr3:uid="{633D9E38-8AF2-4051-A1FF-A5DE1CA78781}" name="_climate_model" dataDxfId="30"/>
    <tableColumn id="8" xr3:uid="{CE317088-09A6-46A7-9231-2A021E6E93CC}" name="_climate_model_number" dataDxfId="29"/>
    <tableColumn id="9" xr3:uid="{7F35B69C-7B51-4FAE-9BC1-C69F390065BD}" name="_Marcs_BB_values_" dataDxfId="28"/>
    <tableColumn id="10" xr3:uid="{BD07BA91-44BB-48DA-836C-F325427E7D48}" name="_cluster_" dataDxfId="27"/>
    <tableColumn id="11" xr3:uid="{4076F1FD-1D38-4AE5-AC93-5EE9120AD71C}" name="_climate_point_" dataDxfId="26"/>
    <tableColumn id="12" xr3:uid="{5778D1E0-4291-436D-8EDF-F32265F26E67}" name="_replicate_" dataDxfId="25"/>
    <tableColumn id="13" xr3:uid="{211F2BD8-1C4D-4235-89DA-F53C09D846F3}" name="_disturbances" dataDxfId="24"/>
    <tableColumn id="14" xr3:uid="{E2EBB245-B805-49EA-AB20-506D725844A8}" name="project_file" dataDxfId="23"/>
    <tableColumn id="15" xr3:uid="{1004C4C4-DA44-44FC-969E-41408007940A}" name="sim_years" dataDxfId="22"/>
    <tableColumn id="16" xr3:uid="{906A9724-CC01-44CA-AC40-2B9A7B69F9ED}" name="output_sqlite" dataDxfId="21">
      <calculatedColumnFormula>A2  &amp; ".sqlite"</calculatedColumnFormula>
    </tableColumn>
    <tableColumn id="17" xr3:uid="{B2B1F870-C2B3-482D-8EA1-501A8B0C9B40}" name="priority" dataDxfId="20">
      <calculatedColumnFormula>(L2-1)*3+H2</calculatedColumnFormula>
    </tableColumn>
    <tableColumn id="18" xr3:uid="{087D3EE3-011F-4250-95D1-CEB04B652BF6}" name="system.database.climate" dataDxfId="19">
      <calculatedColumnFormula>"climate_db_" &amp; G2&amp; "_" &amp;  E2&amp; "_v4.sqlite"</calculatedColumnFormula>
    </tableColumn>
    <tableColumn id="19" xr3:uid="{BC0031EA-14DE-4425-BFD4-016AE131B01F}" name="system.logging.logFile" dataDxfId="18">
      <calculatedColumnFormula>"log/" &amp;A2  &amp; ".txt"</calculatedColumnFormula>
    </tableColumn>
    <tableColumn id="20" xr3:uid="{F456129D-5CCD-459A-952A-110DE625AD73}" name="model.world.environmentFile" dataDxfId="17">
      <calculatedColumnFormula>"init/env_file_CLUSTER" &amp; TEXT(J2, "00") &amp; "_REPL" &amp; L2 &amp; "_" &amp; G2 &amp; "_" &amp; E2 &amp; ".csv"</calculatedColumnFormula>
    </tableColumn>
    <tableColumn id="21" xr3:uid="{5D647C18-0215-49EF-B09F-DD250B1D4A8A}" name="model.world.environmentGrid" dataDxfId="16">
      <calculatedColumnFormula>"init/env_grid_CLUSTER" &amp; TEXT(J2, "00") &amp; "_REPL" &amp; L2 &amp; ".asc"</calculatedColumnFormula>
    </tableColumn>
    <tableColumn id="22" xr3:uid="{74BBD340-2D46-40A0-A72D-042EE0A0C215}" name="model.world.standGrid.fileName" dataDxfId="15">
      <calculatedColumnFormula>U2</calculatedColumnFormula>
    </tableColumn>
    <tableColumn id="23" xr3:uid="{2280FBEE-9230-4F9E-BC8F-06FB52B8E983}" name="model.initialization.file" dataDxfId="14">
      <calculatedColumnFormula>"trees_CLUSTER" &amp; TEXT(J2, "00")  &amp; ".csv"</calculatedColumnFormula>
    </tableColumn>
    <tableColumn id="24" xr3:uid="{2E99A66E-4A25-423A-B2A1-519F2D53CD32}" name="model.initialization.saplingFile" dataDxfId="13">
      <calculatedColumnFormula>"saplings_CLUSTER" &amp; TEXT(J2, "00")  &amp; ".csv"</calculatedColumnFormula>
    </tableColumn>
    <tableColumn id="25" xr3:uid="{EA293971-5499-4963-93E2-69AADB2AB63D}" name="model.climate.co2concentration" dataDxfId="12">
      <calculatedColumnFormula>F2</calculatedColumnFormula>
    </tableColumn>
    <tableColumn id="26" xr3:uid="{7C163373-F4A2-4D43-B9B2-2AFFD1B210BC}" name="model.management.abe.agentDataFile" dataDxfId="11">
      <calculatedColumnFormula>"abe/no_mgmt.csv"</calculatedColumnFormula>
    </tableColumn>
    <tableColumn id="27" xr3:uid="{53E4336A-998B-496C-A957-E6DFF680A19F}" name="modules.wind.topoGridFile" dataDxfId="10">
      <calculatedColumnFormula>"gis/WindModifier_cl" &amp; J2 &amp; ".asc"</calculatedColumnFormula>
    </tableColumn>
    <tableColumn id="28" xr3:uid="{2EF2E055-475A-4330-918B-0801CF42AD09}" name="modules.barkbeetle.backgroundInfestationProbability" dataDxfId="9">
      <calculatedColumnFormula>IF(C2="Scaled_", I2+0.0000000001,  0.000685)</calculatedColumnFormula>
    </tableColumn>
    <tableColumn id="29" xr3:uid="{17473EBE-11C4-4C69-A3B9-A2C3331BD7B5}" name="modules.barkbeetle.referenceClimate.tableName" dataDxfId="8">
      <calculatedColumnFormula>G2 &amp; "_" &amp; E2 &amp; "_point" &amp; K2</calculatedColumnFormula>
    </tableColumn>
    <tableColumn id="30" xr3:uid="{9E5D513F-B4DB-492D-860F-4401258CD5AF}" name="model.world.timeEventsFile" dataDxfId="7">
      <calculatedColumnFormula>"wind_Events/" &amp; C2 &amp; "cl" &amp; J2 &amp; "_repl" &amp; L2 &amp; ".txt"</calculatedColumnFormula>
    </tableColumn>
    <tableColumn id="31" xr3:uid="{D2258C3F-36CF-4576-A416-D798D7AEC3A4}" name="user.Scenario" dataDxfId="6">
      <calculatedColumnFormula>A2</calculatedColumnFormula>
    </tableColumn>
    <tableColumn id="32" xr3:uid="{B77B358F-70D2-45D1-8E3E-A66EAB023BFB}" name="modules.barkbeetle.referenceClimate.seasonalPrecipSum" dataDxfId="5"/>
    <tableColumn id="33" xr3:uid="{C98B30B8-F805-427E-BE1B-CE60EE43235F}" name="modules.barkbeetle.referenceClimate.seasonalTemperatureAverag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C7CED7-4473-4840-B622-642BA6F5B524}" name="data_barkbeetle_avg_climate" displayName="data_barkbeetle_avg_climate" ref="A1:F37" tableType="queryTable" totalsRowShown="0">
  <autoFilter ref="A1:F37" xr:uid="{7129DC2A-069C-4671-B88B-03EB0673AD1A}"/>
  <sortState ref="A2:F37">
    <sortCondition ref="B1:B37"/>
  </sortState>
  <tableColumns count="6">
    <tableColumn id="1" xr3:uid="{E13C5F01-FFB4-4750-990C-9C5C1C65BF47}" uniqueName="1" name="cluster_id" queryTableFieldId="1"/>
    <tableColumn id="2" xr3:uid="{8437E67F-9191-476D-8AA7-989344440C3D}" uniqueName="2" name="climate_model" queryTableFieldId="2"/>
    <tableColumn id="3" xr3:uid="{33BA5369-9745-4385-9A6A-45585D57AE30}" uniqueName="3" name="sqlite_file" queryTableFieldId="3"/>
    <tableColumn id="4" xr3:uid="{E20B3CF6-1384-46A1-BA3C-47D409FD88FD}" uniqueName="4" name="barkbeetle.referenceClimate.tableName" queryTableFieldId="4"/>
    <tableColumn id="5" xr3:uid="{A7D6FF45-9147-4961-B62B-98235AFC1548}" uniqueName="5" name="barkbeetle.referenceClimate.seasonalPrecipSum" queryTableFieldId="5"/>
    <tableColumn id="6" xr3:uid="{04300105-9F29-4D73-90B6-10D05FF28AFE}" uniqueName="6" name="barkbeetle.referenceClimate.seasonalTemperatureAverag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95D61-B04E-4792-84E0-AEC951157655}" name="beetle_data_avg_climate" displayName="beetle_data_avg_climate" ref="A1:G37" tableType="queryTable" totalsRowShown="0">
  <autoFilter ref="A1:G37" xr:uid="{A90BCAA7-0793-407F-BE41-EDCA503B7E01}"/>
  <sortState ref="A2:G37">
    <sortCondition ref="B1:B37"/>
  </sortState>
  <tableColumns count="7">
    <tableColumn id="1" xr3:uid="{69AE4F44-8578-4EFA-AD51-7DAE08E1B3EB}" uniqueName="1" name="cluster_id" queryTableFieldId="1"/>
    <tableColumn id="2" xr3:uid="{0F46C5D7-713C-46B5-B028-485AB80C3E7A}" uniqueName="2" name="climate_model" queryTableFieldId="2"/>
    <tableColumn id="3" xr3:uid="{F6F785DB-A6B9-4519-A245-C50C9AE83674}" uniqueName="3" name="sqlite_file" queryTableFieldId="3"/>
    <tableColumn id="7" xr3:uid="{46D97D6A-7EC5-438A-9237-76F0A1ED5E23}" uniqueName="7" name="Helper" queryTableFieldId="7" dataDxfId="3">
      <calculatedColumnFormula>beetle_data_avg_climate[[#This Row],[climate_model]] &amp; "-" &amp;beetle_data_avg_climate[[#This Row],[cluster_id]]</calculatedColumnFormula>
    </tableColumn>
    <tableColumn id="4" xr3:uid="{F7C686E9-DA9D-45D7-9D9D-4188F94CA264}" uniqueName="4" name="barkbeetle.referenceClimate.tableName" queryTableFieldId="4"/>
    <tableColumn id="5" xr3:uid="{971D5A63-5E8C-4B3F-9865-796899714A87}" uniqueName="5" name="barkbeetle.referenceClimate.seasonalPrecipSum" queryTableFieldId="5"/>
    <tableColumn id="6" xr3:uid="{B9282BDA-BE47-4B38-AA01-0D1B179F8CF3}" uniqueName="6" name="barkbeetle.referenceClimate.seasonalTemperatureAverag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C165-C11E-458D-A31A-D6A236B582B0}">
  <sheetPr>
    <outlinePr summaryBelow="0" summaryRight="0"/>
  </sheetPr>
  <dimension ref="A1:AG181"/>
  <sheetViews>
    <sheetView tabSelected="1" topLeftCell="AD1" zoomScale="90" zoomScaleNormal="90" workbookViewId="0">
      <selection activeCell="AF12" sqref="AF12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4" width="17.44140625" style="13" customWidth="1"/>
    <col min="5" max="5" width="17.88671875" style="13" customWidth="1"/>
    <col min="6" max="6" width="19.88671875" style="13" customWidth="1"/>
    <col min="7" max="7" width="22.109375" style="13" customWidth="1"/>
    <col min="8" max="8" width="22.21875" style="13" customWidth="1"/>
    <col min="9" max="12" width="22.109375" style="13" customWidth="1"/>
    <col min="13" max="13" width="13.88671875" style="13" customWidth="1"/>
    <col min="14" max="14" width="13.44140625" style="13" customWidth="1"/>
    <col min="15" max="15" width="12.44140625" style="13" customWidth="1"/>
    <col min="16" max="16" width="48.33203125" style="13" customWidth="1"/>
    <col min="17" max="17" width="10" style="13" customWidth="1"/>
    <col min="18" max="18" width="45.5546875" style="13" customWidth="1"/>
    <col min="19" max="19" width="48.6640625" style="13" customWidth="1"/>
    <col min="20" max="20" width="54" style="13" customWidth="1"/>
    <col min="21" max="21" width="31.21875" style="13" customWidth="1"/>
    <col min="22" max="22" width="34.21875" style="13" customWidth="1"/>
    <col min="23" max="23" width="24.109375" style="13" customWidth="1"/>
    <col min="24" max="24" width="31.33203125" style="13" customWidth="1"/>
    <col min="25" max="25" width="30.6640625" style="13" customWidth="1"/>
    <col min="26" max="26" width="36" style="13" customWidth="1"/>
    <col min="27" max="27" width="29.109375" style="13" customWidth="1"/>
    <col min="28" max="28" width="49.5546875" style="13" customWidth="1"/>
    <col min="29" max="29" width="45.44140625" style="13" customWidth="1"/>
    <col min="30" max="30" width="28.33203125" style="13" bestFit="1" customWidth="1"/>
    <col min="31" max="31" width="42.33203125" style="13" bestFit="1" customWidth="1"/>
    <col min="32" max="32" width="53.33203125" style="13" customWidth="1"/>
    <col min="33" max="33" width="62.44140625" style="13" customWidth="1"/>
    <col min="34" max="16384" width="13.88671875" style="13"/>
  </cols>
  <sheetData>
    <row r="1" spans="1:33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61</v>
      </c>
      <c r="I1" s="2" t="s">
        <v>56</v>
      </c>
      <c r="J1" s="2" t="s">
        <v>38</v>
      </c>
      <c r="K1" s="2" t="s">
        <v>62</v>
      </c>
      <c r="L1" s="2" t="s">
        <v>39</v>
      </c>
      <c r="M1" s="2" t="s">
        <v>6</v>
      </c>
      <c r="N1" s="1" t="s">
        <v>7</v>
      </c>
      <c r="O1" s="1" t="s">
        <v>8</v>
      </c>
      <c r="P1" s="1" t="s">
        <v>9</v>
      </c>
      <c r="Q1" s="3" t="s">
        <v>10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51</v>
      </c>
      <c r="AB1" s="15" t="s">
        <v>55</v>
      </c>
      <c r="AC1" s="15" t="s">
        <v>42</v>
      </c>
      <c r="AD1" s="15" t="s">
        <v>37</v>
      </c>
      <c r="AE1" s="15" t="s">
        <v>52</v>
      </c>
      <c r="AF1" s="15" t="s">
        <v>329</v>
      </c>
      <c r="AG1" s="15" t="s">
        <v>330</v>
      </c>
    </row>
    <row r="2" spans="1:33" ht="13.8">
      <c r="A2" s="7" t="str">
        <f t="shared" ref="A2:A33" si="0" xml:space="preserve"> G2 &amp; "_" &amp; C2 &amp;"Cluster" &amp; J2 &amp; "_repl" &amp; L2</f>
        <v>ICHEC-EC-EARTH_Scaled_Cluster2_repl1</v>
      </c>
      <c r="B2" s="8" t="s">
        <v>16</v>
      </c>
      <c r="C2" s="8" t="s">
        <v>54</v>
      </c>
      <c r="D2" s="9" t="s">
        <v>17</v>
      </c>
      <c r="E2" s="9" t="str">
        <f t="shared" ref="E2:E33" si="1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</v>
      </c>
      <c r="I2" s="19">
        <v>6.8499999999999995E-4</v>
      </c>
      <c r="J2" s="8">
        <v>2</v>
      </c>
      <c r="K2" s="8" t="s">
        <v>157</v>
      </c>
      <c r="L2" s="8">
        <v>1</v>
      </c>
      <c r="M2" s="8">
        <v>1</v>
      </c>
      <c r="N2" s="10" t="s">
        <v>21</v>
      </c>
      <c r="O2" s="17" t="s">
        <v>328</v>
      </c>
      <c r="P2" s="10" t="str">
        <f t="shared" ref="P2:P33" si="2">A2  &amp; ".sqlite"</f>
        <v>ICHEC-EC-EARTH_Scaled_Cluster2_repl1.sqlite</v>
      </c>
      <c r="Q2" s="11">
        <f t="shared" ref="Q2:Q33" si="3">(L2-1)*3+H2</f>
        <v>1</v>
      </c>
      <c r="R2" s="16" t="str">
        <f t="shared" ref="R2:R33" si="4">"climate_db_" &amp; G2&amp; "_" &amp;  E2&amp; "_v4.sqlite"</f>
        <v>climate_db_ICHEC-EC-EARTH_historical_v4.sqlite</v>
      </c>
      <c r="S2" s="16" t="str">
        <f t="shared" ref="S2:S33" si="5">"log/" &amp;A2  &amp; ".txt"</f>
        <v>log/ICHEC-EC-EARTH_Scaled_Cluster2_repl1.txt</v>
      </c>
      <c r="T2" s="16" t="str">
        <f t="shared" ref="T2:T33" si="6">"init/env_file_CLUSTER" &amp; TEXT(J2, "00") &amp; "_REPL" &amp; L2 &amp; "_" &amp; G2 &amp; "_" &amp; E2 &amp; ".csv"</f>
        <v>init/env_file_CLUSTER02_REPL1_ICHEC-EC-EARTH_historical.csv</v>
      </c>
      <c r="U2" s="16" t="str">
        <f t="shared" ref="U2:U33" si="7">"init/env_grid_CLUSTER" &amp; TEXT(J2, "00") &amp; "_REPL" &amp; L2 &amp; ".asc"</f>
        <v>init/env_grid_CLUSTER02_REPL1.asc</v>
      </c>
      <c r="V2" s="16" t="str">
        <f t="shared" ref="V2:V33" si="8">U2</f>
        <v>init/env_grid_CLUSTER02_REPL1.asc</v>
      </c>
      <c r="W2" s="16" t="str">
        <f t="shared" ref="W2:W33" si="9">"trees_CLUSTER" &amp; TEXT(J2, "00")  &amp; ".csv"</f>
        <v>trees_CLUSTER02.csv</v>
      </c>
      <c r="X2" s="16" t="str">
        <f t="shared" ref="X2:X33" si="10">"saplings_CLUSTER" &amp; TEXT(J2, "00")  &amp; ".csv"</f>
        <v>saplings_CLUSTER02.csv</v>
      </c>
      <c r="Y2" s="16">
        <f t="shared" ref="Y2:Y33" si="11">F2</f>
        <v>350</v>
      </c>
      <c r="Z2" s="16" t="str">
        <f t="shared" ref="Z2:Z33" si="12">"abe/no_mgmt.csv"</f>
        <v>abe/no_mgmt.csv</v>
      </c>
      <c r="AA2" s="16" t="str">
        <f t="shared" ref="AA2:AA33" si="13">"gis/WindModifier_cl" &amp; J2 &amp; ".asc"</f>
        <v>gis/WindModifier_cl2.asc</v>
      </c>
      <c r="AB2" s="16">
        <f t="shared" ref="AB2:AB33" si="14">IF(C2="Scaled_", I2+0.0000000001,  0.000685)</f>
        <v>6.8500009999999999E-4</v>
      </c>
      <c r="AC2" s="16" t="str">
        <f t="shared" ref="AC2:AC33" si="15">G2 &amp; "_" &amp; E2 &amp; "_point" &amp; K2</f>
        <v>ICHEC-EC-EARTH_historical_point38526</v>
      </c>
      <c r="AD2" s="16" t="str">
        <f t="shared" ref="AD2:AD33" si="16">"wind_Events/" &amp; C2 &amp; "cl" &amp; J2 &amp; "_repl" &amp; L2 &amp; ".txt"</f>
        <v>wind_Events/Scaled_cl2_repl1.txt</v>
      </c>
      <c r="AE2" s="16" t="str">
        <f t="shared" ref="AE2:AE33" si="17">A2</f>
        <v>ICHEC-EC-EARTH_Scaled_Cluster2_repl1</v>
      </c>
      <c r="AF2" s="21" t="s">
        <v>332</v>
      </c>
      <c r="AG2" s="21" t="s">
        <v>333</v>
      </c>
    </row>
    <row r="3" spans="1:33" ht="13.8">
      <c r="A3" s="7" t="str">
        <f t="shared" si="0"/>
        <v>ICHEC-EC-EARTH_Scaled_Cluster2_repl2</v>
      </c>
      <c r="B3" s="8" t="s">
        <v>16</v>
      </c>
      <c r="C3" s="8" t="s">
        <v>54</v>
      </c>
      <c r="D3" s="9" t="s">
        <v>17</v>
      </c>
      <c r="E3" s="9" t="str">
        <f t="shared" si="1"/>
        <v>historical</v>
      </c>
      <c r="F3" s="8">
        <v>350</v>
      </c>
      <c r="G3" s="8" t="s">
        <v>18</v>
      </c>
      <c r="H3" s="8">
        <v>1</v>
      </c>
      <c r="I3" s="19">
        <v>6.8499999999999995E-4</v>
      </c>
      <c r="J3" s="8">
        <v>2</v>
      </c>
      <c r="K3" s="8" t="s">
        <v>157</v>
      </c>
      <c r="L3" s="8">
        <v>2</v>
      </c>
      <c r="M3" s="8">
        <v>1</v>
      </c>
      <c r="N3" s="10" t="s">
        <v>21</v>
      </c>
      <c r="O3" s="17" t="s">
        <v>328</v>
      </c>
      <c r="P3" s="10" t="str">
        <f t="shared" si="2"/>
        <v>ICHEC-EC-EARTH_Scaled_Cluster2_repl2.sqlite</v>
      </c>
      <c r="Q3" s="11">
        <f t="shared" si="3"/>
        <v>4</v>
      </c>
      <c r="R3" s="16" t="str">
        <f t="shared" si="4"/>
        <v>climate_db_ICHEC-EC-EARTH_historical_v4.sqlite</v>
      </c>
      <c r="S3" s="16" t="str">
        <f t="shared" si="5"/>
        <v>log/ICHEC-EC-EARTH_Scaled_Cluster2_repl2.txt</v>
      </c>
      <c r="T3" s="16" t="str">
        <f t="shared" si="6"/>
        <v>init/env_file_CLUSTER02_REPL2_ICHEC-EC-EARTH_historical.csv</v>
      </c>
      <c r="U3" s="16" t="str">
        <f t="shared" si="7"/>
        <v>init/env_grid_CLUSTER02_REPL2.asc</v>
      </c>
      <c r="V3" s="16" t="str">
        <f t="shared" si="8"/>
        <v>init/env_grid_CLUSTER02_REPL2.asc</v>
      </c>
      <c r="W3" s="16" t="str">
        <f t="shared" si="9"/>
        <v>trees_CLUSTER02.csv</v>
      </c>
      <c r="X3" s="16" t="str">
        <f t="shared" si="10"/>
        <v>saplings_CLUSTER02.csv</v>
      </c>
      <c r="Y3" s="16">
        <f t="shared" si="11"/>
        <v>350</v>
      </c>
      <c r="Z3" s="16" t="str">
        <f t="shared" si="12"/>
        <v>abe/no_mgmt.csv</v>
      </c>
      <c r="AA3" s="16" t="str">
        <f t="shared" si="13"/>
        <v>gis/WindModifier_cl2.asc</v>
      </c>
      <c r="AB3" s="16">
        <f t="shared" si="14"/>
        <v>6.8500009999999999E-4</v>
      </c>
      <c r="AC3" s="16" t="str">
        <f t="shared" si="15"/>
        <v>ICHEC-EC-EARTH_historical_point38526</v>
      </c>
      <c r="AD3" s="16" t="str">
        <f t="shared" si="16"/>
        <v>wind_Events/Scaled_cl2_repl2.txt</v>
      </c>
      <c r="AE3" s="16" t="str">
        <f t="shared" si="17"/>
        <v>ICHEC-EC-EARTH_Scaled_Cluster2_repl2</v>
      </c>
      <c r="AF3" s="21" t="s">
        <v>430</v>
      </c>
      <c r="AG3" s="21" t="s">
        <v>431</v>
      </c>
    </row>
    <row r="4" spans="1:33" ht="13.8">
      <c r="A4" s="7" t="str">
        <f t="shared" si="0"/>
        <v>ICHEC-EC-EARTH_Scaled_Cluster2_repl3</v>
      </c>
      <c r="B4" s="8" t="s">
        <v>16</v>
      </c>
      <c r="C4" s="8" t="s">
        <v>54</v>
      </c>
      <c r="D4" s="9" t="s">
        <v>17</v>
      </c>
      <c r="E4" s="9" t="str">
        <f t="shared" si="1"/>
        <v>historical</v>
      </c>
      <c r="F4" s="8">
        <v>350</v>
      </c>
      <c r="G4" s="8" t="s">
        <v>18</v>
      </c>
      <c r="H4" s="8">
        <v>1</v>
      </c>
      <c r="I4" s="19">
        <v>6.8499999999999995E-4</v>
      </c>
      <c r="J4" s="8">
        <v>2</v>
      </c>
      <c r="K4" s="8" t="s">
        <v>157</v>
      </c>
      <c r="L4" s="8">
        <v>3</v>
      </c>
      <c r="M4" s="8">
        <v>1</v>
      </c>
      <c r="N4" s="10" t="s">
        <v>21</v>
      </c>
      <c r="O4" s="17" t="s">
        <v>328</v>
      </c>
      <c r="P4" s="10" t="str">
        <f t="shared" si="2"/>
        <v>ICHEC-EC-EARTH_Scaled_Cluster2_repl3.sqlite</v>
      </c>
      <c r="Q4" s="11">
        <f t="shared" si="3"/>
        <v>7</v>
      </c>
      <c r="R4" s="16" t="str">
        <f t="shared" si="4"/>
        <v>climate_db_ICHEC-EC-EARTH_historical_v4.sqlite</v>
      </c>
      <c r="S4" s="16" t="str">
        <f t="shared" si="5"/>
        <v>log/ICHEC-EC-EARTH_Scaled_Cluster2_repl3.txt</v>
      </c>
      <c r="T4" s="16" t="str">
        <f t="shared" si="6"/>
        <v>init/env_file_CLUSTER02_REPL3_ICHEC-EC-EARTH_historical.csv</v>
      </c>
      <c r="U4" s="16" t="str">
        <f t="shared" si="7"/>
        <v>init/env_grid_CLUSTER02_REPL3.asc</v>
      </c>
      <c r="V4" s="16" t="str">
        <f t="shared" si="8"/>
        <v>init/env_grid_CLUSTER02_REPL3.asc</v>
      </c>
      <c r="W4" s="16" t="str">
        <f t="shared" si="9"/>
        <v>trees_CLUSTER02.csv</v>
      </c>
      <c r="X4" s="16" t="str">
        <f t="shared" si="10"/>
        <v>saplings_CLUSTER02.csv</v>
      </c>
      <c r="Y4" s="16">
        <f t="shared" si="11"/>
        <v>350</v>
      </c>
      <c r="Z4" s="16" t="str">
        <f t="shared" si="12"/>
        <v>abe/no_mgmt.csv</v>
      </c>
      <c r="AA4" s="16" t="str">
        <f t="shared" si="13"/>
        <v>gis/WindModifier_cl2.asc</v>
      </c>
      <c r="AB4" s="16">
        <f t="shared" si="14"/>
        <v>6.8500009999999999E-4</v>
      </c>
      <c r="AC4" s="16" t="str">
        <f t="shared" si="15"/>
        <v>ICHEC-EC-EARTH_historical_point38526</v>
      </c>
      <c r="AD4" s="16" t="str">
        <f t="shared" si="16"/>
        <v>wind_Events/Scaled_cl2_repl3.txt</v>
      </c>
      <c r="AE4" s="16" t="str">
        <f t="shared" si="17"/>
        <v>ICHEC-EC-EARTH_Scaled_Cluster2_repl3</v>
      </c>
      <c r="AF4" s="21" t="s">
        <v>432</v>
      </c>
      <c r="AG4" s="21" t="s">
        <v>433</v>
      </c>
    </row>
    <row r="5" spans="1:33" ht="13.8">
      <c r="A5" s="7" t="str">
        <f t="shared" si="0"/>
        <v>ICHEC-EC-EARTH_Scaled_Cluster2_repl4</v>
      </c>
      <c r="B5" s="8" t="s">
        <v>16</v>
      </c>
      <c r="C5" s="8" t="s">
        <v>54</v>
      </c>
      <c r="D5" s="9" t="s">
        <v>17</v>
      </c>
      <c r="E5" s="9" t="str">
        <f t="shared" si="1"/>
        <v>historical</v>
      </c>
      <c r="F5" s="8">
        <v>350</v>
      </c>
      <c r="G5" s="8" t="s">
        <v>18</v>
      </c>
      <c r="H5" s="8">
        <v>1</v>
      </c>
      <c r="I5" s="19">
        <v>6.8499999999999995E-4</v>
      </c>
      <c r="J5" s="8">
        <v>2</v>
      </c>
      <c r="K5" s="8" t="s">
        <v>157</v>
      </c>
      <c r="L5" s="8">
        <v>4</v>
      </c>
      <c r="M5" s="8">
        <v>1</v>
      </c>
      <c r="N5" s="10" t="s">
        <v>21</v>
      </c>
      <c r="O5" s="17" t="s">
        <v>328</v>
      </c>
      <c r="P5" s="10" t="str">
        <f t="shared" si="2"/>
        <v>ICHEC-EC-EARTH_Scaled_Cluster2_repl4.sqlite</v>
      </c>
      <c r="Q5" s="11">
        <f t="shared" si="3"/>
        <v>10</v>
      </c>
      <c r="R5" s="16" t="str">
        <f t="shared" si="4"/>
        <v>climate_db_ICHEC-EC-EARTH_historical_v4.sqlite</v>
      </c>
      <c r="S5" s="16" t="str">
        <f t="shared" si="5"/>
        <v>log/ICHEC-EC-EARTH_Scaled_Cluster2_repl4.txt</v>
      </c>
      <c r="T5" s="16" t="str">
        <f t="shared" si="6"/>
        <v>init/env_file_CLUSTER02_REPL4_ICHEC-EC-EARTH_historical.csv</v>
      </c>
      <c r="U5" s="16" t="str">
        <f t="shared" si="7"/>
        <v>init/env_grid_CLUSTER02_REPL4.asc</v>
      </c>
      <c r="V5" s="16" t="str">
        <f t="shared" si="8"/>
        <v>init/env_grid_CLUSTER02_REPL4.asc</v>
      </c>
      <c r="W5" s="16" t="str">
        <f t="shared" si="9"/>
        <v>trees_CLUSTER02.csv</v>
      </c>
      <c r="X5" s="16" t="str">
        <f t="shared" si="10"/>
        <v>saplings_CLUSTER02.csv</v>
      </c>
      <c r="Y5" s="16">
        <f t="shared" si="11"/>
        <v>350</v>
      </c>
      <c r="Z5" s="16" t="str">
        <f t="shared" si="12"/>
        <v>abe/no_mgmt.csv</v>
      </c>
      <c r="AA5" s="16" t="str">
        <f t="shared" si="13"/>
        <v>gis/WindModifier_cl2.asc</v>
      </c>
      <c r="AB5" s="16">
        <f t="shared" si="14"/>
        <v>6.8500009999999999E-4</v>
      </c>
      <c r="AC5" s="16" t="str">
        <f t="shared" si="15"/>
        <v>ICHEC-EC-EARTH_historical_point38526</v>
      </c>
      <c r="AD5" s="16" t="str">
        <f t="shared" si="16"/>
        <v>wind_Events/Scaled_cl2_repl4.txt</v>
      </c>
      <c r="AE5" s="16" t="str">
        <f t="shared" si="17"/>
        <v>ICHEC-EC-EARTH_Scaled_Cluster2_repl4</v>
      </c>
      <c r="AF5" s="21" t="s">
        <v>434</v>
      </c>
      <c r="AG5" s="21" t="s">
        <v>435</v>
      </c>
    </row>
    <row r="6" spans="1:33" ht="13.8">
      <c r="A6" s="7" t="str">
        <f t="shared" si="0"/>
        <v>ICHEC-EC-EARTH_Scaled_Cluster2_repl5</v>
      </c>
      <c r="B6" s="8" t="s">
        <v>16</v>
      </c>
      <c r="C6" s="8" t="s">
        <v>54</v>
      </c>
      <c r="D6" s="9" t="s">
        <v>17</v>
      </c>
      <c r="E6" s="9" t="str">
        <f t="shared" si="1"/>
        <v>historical</v>
      </c>
      <c r="F6" s="8">
        <v>350</v>
      </c>
      <c r="G6" s="8" t="s">
        <v>18</v>
      </c>
      <c r="H6" s="8">
        <v>1</v>
      </c>
      <c r="I6" s="19">
        <v>6.8499999999999995E-4</v>
      </c>
      <c r="J6" s="8">
        <v>2</v>
      </c>
      <c r="K6" s="8" t="s">
        <v>157</v>
      </c>
      <c r="L6" s="8">
        <v>5</v>
      </c>
      <c r="M6" s="8">
        <v>1</v>
      </c>
      <c r="N6" s="10" t="s">
        <v>21</v>
      </c>
      <c r="O6" s="17" t="s">
        <v>328</v>
      </c>
      <c r="P6" s="10" t="str">
        <f t="shared" si="2"/>
        <v>ICHEC-EC-EARTH_Scaled_Cluster2_repl5.sqlite</v>
      </c>
      <c r="Q6" s="11">
        <f t="shared" si="3"/>
        <v>13</v>
      </c>
      <c r="R6" s="16" t="str">
        <f t="shared" si="4"/>
        <v>climate_db_ICHEC-EC-EARTH_historical_v4.sqlite</v>
      </c>
      <c r="S6" s="16" t="str">
        <f t="shared" si="5"/>
        <v>log/ICHEC-EC-EARTH_Scaled_Cluster2_repl5.txt</v>
      </c>
      <c r="T6" s="16" t="str">
        <f t="shared" si="6"/>
        <v>init/env_file_CLUSTER02_REPL5_ICHEC-EC-EARTH_historical.csv</v>
      </c>
      <c r="U6" s="16" t="str">
        <f t="shared" si="7"/>
        <v>init/env_grid_CLUSTER02_REPL5.asc</v>
      </c>
      <c r="V6" s="16" t="str">
        <f t="shared" si="8"/>
        <v>init/env_grid_CLUSTER02_REPL5.asc</v>
      </c>
      <c r="W6" s="16" t="str">
        <f t="shared" si="9"/>
        <v>trees_CLUSTER02.csv</v>
      </c>
      <c r="X6" s="16" t="str">
        <f t="shared" si="10"/>
        <v>saplings_CLUSTER02.csv</v>
      </c>
      <c r="Y6" s="16">
        <f t="shared" si="11"/>
        <v>350</v>
      </c>
      <c r="Z6" s="16" t="str">
        <f t="shared" si="12"/>
        <v>abe/no_mgmt.csv</v>
      </c>
      <c r="AA6" s="16" t="str">
        <f t="shared" si="13"/>
        <v>gis/WindModifier_cl2.asc</v>
      </c>
      <c r="AB6" s="16">
        <f t="shared" si="14"/>
        <v>6.8500009999999999E-4</v>
      </c>
      <c r="AC6" s="16" t="str">
        <f t="shared" si="15"/>
        <v>ICHEC-EC-EARTH_historical_point38526</v>
      </c>
      <c r="AD6" s="16" t="str">
        <f t="shared" si="16"/>
        <v>wind_Events/Scaled_cl2_repl5.txt</v>
      </c>
      <c r="AE6" s="16" t="str">
        <f t="shared" si="17"/>
        <v>ICHEC-EC-EARTH_Scaled_Cluster2_repl5</v>
      </c>
      <c r="AF6" s="21" t="s">
        <v>436</v>
      </c>
      <c r="AG6" s="21" t="s">
        <v>437</v>
      </c>
    </row>
    <row r="7" spans="1:33" ht="13.8">
      <c r="A7" s="7" t="str">
        <f t="shared" si="0"/>
        <v>ICHEC-EC-EARTH_Scaled_Cluster3_repl1</v>
      </c>
      <c r="B7" s="8" t="s">
        <v>16</v>
      </c>
      <c r="C7" s="8" t="s">
        <v>54</v>
      </c>
      <c r="D7" s="9" t="s">
        <v>17</v>
      </c>
      <c r="E7" s="9" t="str">
        <f t="shared" si="1"/>
        <v>historical</v>
      </c>
      <c r="F7" s="8">
        <v>350</v>
      </c>
      <c r="G7" s="8" t="s">
        <v>18</v>
      </c>
      <c r="H7" s="8">
        <v>1</v>
      </c>
      <c r="I7" s="19">
        <v>6.8499999999999995E-4</v>
      </c>
      <c r="J7" s="8">
        <v>3</v>
      </c>
      <c r="K7" s="8" t="s">
        <v>158</v>
      </c>
      <c r="L7" s="8">
        <v>1</v>
      </c>
      <c r="M7" s="8">
        <v>1</v>
      </c>
      <c r="N7" s="10" t="s">
        <v>21</v>
      </c>
      <c r="O7" s="17" t="s">
        <v>328</v>
      </c>
      <c r="P7" s="10" t="str">
        <f t="shared" si="2"/>
        <v>ICHEC-EC-EARTH_Scaled_Cluster3_repl1.sqlite</v>
      </c>
      <c r="Q7" s="11">
        <f t="shared" si="3"/>
        <v>1</v>
      </c>
      <c r="R7" s="16" t="str">
        <f t="shared" si="4"/>
        <v>climate_db_ICHEC-EC-EARTH_historical_v4.sqlite</v>
      </c>
      <c r="S7" s="16" t="str">
        <f t="shared" si="5"/>
        <v>log/ICHEC-EC-EARTH_Scaled_Cluster3_repl1.txt</v>
      </c>
      <c r="T7" s="16" t="str">
        <f t="shared" si="6"/>
        <v>init/env_file_CLUSTER03_REPL1_ICHEC-EC-EARTH_historical.csv</v>
      </c>
      <c r="U7" s="16" t="str">
        <f t="shared" si="7"/>
        <v>init/env_grid_CLUSTER03_REPL1.asc</v>
      </c>
      <c r="V7" s="16" t="str">
        <f t="shared" si="8"/>
        <v>init/env_grid_CLUSTER03_REPL1.asc</v>
      </c>
      <c r="W7" s="16" t="str">
        <f t="shared" si="9"/>
        <v>trees_CLUSTER03.csv</v>
      </c>
      <c r="X7" s="16" t="str">
        <f t="shared" si="10"/>
        <v>saplings_CLUSTER03.csv</v>
      </c>
      <c r="Y7" s="16">
        <f t="shared" si="11"/>
        <v>350</v>
      </c>
      <c r="Z7" s="16" t="str">
        <f t="shared" si="12"/>
        <v>abe/no_mgmt.csv</v>
      </c>
      <c r="AA7" s="16" t="str">
        <f t="shared" si="13"/>
        <v>gis/WindModifier_cl3.asc</v>
      </c>
      <c r="AB7" s="16">
        <f t="shared" si="14"/>
        <v>6.8500009999999999E-4</v>
      </c>
      <c r="AC7" s="16" t="str">
        <f t="shared" si="15"/>
        <v>ICHEC-EC-EARTH_historical_point31016</v>
      </c>
      <c r="AD7" s="16" t="str">
        <f t="shared" si="16"/>
        <v>wind_Events/Scaled_cl3_repl1.txt</v>
      </c>
      <c r="AE7" s="16" t="str">
        <f t="shared" si="17"/>
        <v>ICHEC-EC-EARTH_Scaled_Cluster3_repl1</v>
      </c>
      <c r="AF7" s="21" t="s">
        <v>334</v>
      </c>
      <c r="AG7" s="21" t="s">
        <v>335</v>
      </c>
    </row>
    <row r="8" spans="1:33" ht="13.8">
      <c r="A8" s="7" t="str">
        <f t="shared" si="0"/>
        <v>ICHEC-EC-EARTH_Scaled_Cluster3_repl2</v>
      </c>
      <c r="B8" s="8" t="s">
        <v>16</v>
      </c>
      <c r="C8" s="8" t="s">
        <v>54</v>
      </c>
      <c r="D8" s="9" t="s">
        <v>17</v>
      </c>
      <c r="E8" s="9" t="str">
        <f t="shared" si="1"/>
        <v>historical</v>
      </c>
      <c r="F8" s="8">
        <v>350</v>
      </c>
      <c r="G8" s="8" t="s">
        <v>18</v>
      </c>
      <c r="H8" s="8">
        <v>1</v>
      </c>
      <c r="I8" s="19">
        <v>6.8499999999999995E-4</v>
      </c>
      <c r="J8" s="8">
        <v>3</v>
      </c>
      <c r="K8" s="8" t="s">
        <v>158</v>
      </c>
      <c r="L8" s="8">
        <v>2</v>
      </c>
      <c r="M8" s="8">
        <v>1</v>
      </c>
      <c r="N8" s="10" t="s">
        <v>21</v>
      </c>
      <c r="O8" s="17" t="s">
        <v>328</v>
      </c>
      <c r="P8" s="10" t="str">
        <f t="shared" si="2"/>
        <v>ICHEC-EC-EARTH_Scaled_Cluster3_repl2.sqlite</v>
      </c>
      <c r="Q8" s="11">
        <f t="shared" si="3"/>
        <v>4</v>
      </c>
      <c r="R8" s="16" t="str">
        <f t="shared" si="4"/>
        <v>climate_db_ICHEC-EC-EARTH_historical_v4.sqlite</v>
      </c>
      <c r="S8" s="16" t="str">
        <f t="shared" si="5"/>
        <v>log/ICHEC-EC-EARTH_Scaled_Cluster3_repl2.txt</v>
      </c>
      <c r="T8" s="16" t="str">
        <f t="shared" si="6"/>
        <v>init/env_file_CLUSTER03_REPL2_ICHEC-EC-EARTH_historical.csv</v>
      </c>
      <c r="U8" s="16" t="str">
        <f t="shared" si="7"/>
        <v>init/env_grid_CLUSTER03_REPL2.asc</v>
      </c>
      <c r="V8" s="16" t="str">
        <f t="shared" si="8"/>
        <v>init/env_grid_CLUSTER03_REPL2.asc</v>
      </c>
      <c r="W8" s="16" t="str">
        <f t="shared" si="9"/>
        <v>trees_CLUSTER03.csv</v>
      </c>
      <c r="X8" s="16" t="str">
        <f t="shared" si="10"/>
        <v>saplings_CLUSTER03.csv</v>
      </c>
      <c r="Y8" s="16">
        <f t="shared" si="11"/>
        <v>350</v>
      </c>
      <c r="Z8" s="16" t="str">
        <f t="shared" si="12"/>
        <v>abe/no_mgmt.csv</v>
      </c>
      <c r="AA8" s="16" t="str">
        <f t="shared" si="13"/>
        <v>gis/WindModifier_cl3.asc</v>
      </c>
      <c r="AB8" s="16">
        <f t="shared" si="14"/>
        <v>6.8500009999999999E-4</v>
      </c>
      <c r="AC8" s="16" t="str">
        <f t="shared" si="15"/>
        <v>ICHEC-EC-EARTH_historical_point31016</v>
      </c>
      <c r="AD8" s="16" t="str">
        <f t="shared" si="16"/>
        <v>wind_Events/Scaled_cl3_repl2.txt</v>
      </c>
      <c r="AE8" s="16" t="str">
        <f t="shared" si="17"/>
        <v>ICHEC-EC-EARTH_Scaled_Cluster3_repl2</v>
      </c>
      <c r="AF8" s="21" t="s">
        <v>438</v>
      </c>
      <c r="AG8" s="21" t="s">
        <v>439</v>
      </c>
    </row>
    <row r="9" spans="1:33" ht="13.8">
      <c r="A9" s="7" t="str">
        <f t="shared" si="0"/>
        <v>ICHEC-EC-EARTH_Scaled_Cluster3_repl3</v>
      </c>
      <c r="B9" s="8" t="s">
        <v>16</v>
      </c>
      <c r="C9" s="8" t="s">
        <v>54</v>
      </c>
      <c r="D9" s="9" t="s">
        <v>17</v>
      </c>
      <c r="E9" s="9" t="str">
        <f t="shared" si="1"/>
        <v>historical</v>
      </c>
      <c r="F9" s="8">
        <v>350</v>
      </c>
      <c r="G9" s="8" t="s">
        <v>18</v>
      </c>
      <c r="H9" s="8">
        <v>1</v>
      </c>
      <c r="I9" s="19">
        <v>6.8499999999999995E-4</v>
      </c>
      <c r="J9" s="8">
        <v>3</v>
      </c>
      <c r="K9" s="8" t="s">
        <v>158</v>
      </c>
      <c r="L9" s="8">
        <v>3</v>
      </c>
      <c r="M9" s="8">
        <v>1</v>
      </c>
      <c r="N9" s="10" t="s">
        <v>21</v>
      </c>
      <c r="O9" s="17" t="s">
        <v>328</v>
      </c>
      <c r="P9" s="10" t="str">
        <f t="shared" si="2"/>
        <v>ICHEC-EC-EARTH_Scaled_Cluster3_repl3.sqlite</v>
      </c>
      <c r="Q9" s="11">
        <f t="shared" si="3"/>
        <v>7</v>
      </c>
      <c r="R9" s="16" t="str">
        <f t="shared" si="4"/>
        <v>climate_db_ICHEC-EC-EARTH_historical_v4.sqlite</v>
      </c>
      <c r="S9" s="16" t="str">
        <f t="shared" si="5"/>
        <v>log/ICHEC-EC-EARTH_Scaled_Cluster3_repl3.txt</v>
      </c>
      <c r="T9" s="16" t="str">
        <f t="shared" si="6"/>
        <v>init/env_file_CLUSTER03_REPL3_ICHEC-EC-EARTH_historical.csv</v>
      </c>
      <c r="U9" s="16" t="str">
        <f t="shared" si="7"/>
        <v>init/env_grid_CLUSTER03_REPL3.asc</v>
      </c>
      <c r="V9" s="16" t="str">
        <f t="shared" si="8"/>
        <v>init/env_grid_CLUSTER03_REPL3.asc</v>
      </c>
      <c r="W9" s="16" t="str">
        <f t="shared" si="9"/>
        <v>trees_CLUSTER03.csv</v>
      </c>
      <c r="X9" s="16" t="str">
        <f t="shared" si="10"/>
        <v>saplings_CLUSTER03.csv</v>
      </c>
      <c r="Y9" s="16">
        <f t="shared" si="11"/>
        <v>350</v>
      </c>
      <c r="Z9" s="16" t="str">
        <f t="shared" si="12"/>
        <v>abe/no_mgmt.csv</v>
      </c>
      <c r="AA9" s="16" t="str">
        <f t="shared" si="13"/>
        <v>gis/WindModifier_cl3.asc</v>
      </c>
      <c r="AB9" s="16">
        <f t="shared" si="14"/>
        <v>6.8500009999999999E-4</v>
      </c>
      <c r="AC9" s="16" t="str">
        <f t="shared" si="15"/>
        <v>ICHEC-EC-EARTH_historical_point31016</v>
      </c>
      <c r="AD9" s="16" t="str">
        <f t="shared" si="16"/>
        <v>wind_Events/Scaled_cl3_repl3.txt</v>
      </c>
      <c r="AE9" s="16" t="str">
        <f t="shared" si="17"/>
        <v>ICHEC-EC-EARTH_Scaled_Cluster3_repl3</v>
      </c>
      <c r="AF9" s="21" t="s">
        <v>440</v>
      </c>
      <c r="AG9" s="21" t="s">
        <v>441</v>
      </c>
    </row>
    <row r="10" spans="1:33" ht="13.8">
      <c r="A10" s="7" t="str">
        <f t="shared" si="0"/>
        <v>ICHEC-EC-EARTH_Scaled_Cluster3_repl4</v>
      </c>
      <c r="B10" s="8" t="s">
        <v>16</v>
      </c>
      <c r="C10" s="8" t="s">
        <v>54</v>
      </c>
      <c r="D10" s="9" t="s">
        <v>17</v>
      </c>
      <c r="E10" s="9" t="str">
        <f t="shared" si="1"/>
        <v>historical</v>
      </c>
      <c r="F10" s="8">
        <v>350</v>
      </c>
      <c r="G10" s="8" t="s">
        <v>18</v>
      </c>
      <c r="H10" s="8">
        <v>1</v>
      </c>
      <c r="I10" s="19">
        <v>6.8499999999999995E-4</v>
      </c>
      <c r="J10" s="8">
        <v>3</v>
      </c>
      <c r="K10" s="8" t="s">
        <v>158</v>
      </c>
      <c r="L10" s="8">
        <v>4</v>
      </c>
      <c r="M10" s="8">
        <v>1</v>
      </c>
      <c r="N10" s="10" t="s">
        <v>21</v>
      </c>
      <c r="O10" s="17" t="s">
        <v>328</v>
      </c>
      <c r="P10" s="10" t="str">
        <f t="shared" si="2"/>
        <v>ICHEC-EC-EARTH_Scaled_Cluster3_repl4.sqlite</v>
      </c>
      <c r="Q10" s="11">
        <f t="shared" si="3"/>
        <v>10</v>
      </c>
      <c r="R10" s="16" t="str">
        <f t="shared" si="4"/>
        <v>climate_db_ICHEC-EC-EARTH_historical_v4.sqlite</v>
      </c>
      <c r="S10" s="16" t="str">
        <f t="shared" si="5"/>
        <v>log/ICHEC-EC-EARTH_Scaled_Cluster3_repl4.txt</v>
      </c>
      <c r="T10" s="16" t="str">
        <f t="shared" si="6"/>
        <v>init/env_file_CLUSTER03_REPL4_ICHEC-EC-EARTH_historical.csv</v>
      </c>
      <c r="U10" s="16" t="str">
        <f t="shared" si="7"/>
        <v>init/env_grid_CLUSTER03_REPL4.asc</v>
      </c>
      <c r="V10" s="16" t="str">
        <f t="shared" si="8"/>
        <v>init/env_grid_CLUSTER03_REPL4.asc</v>
      </c>
      <c r="W10" s="16" t="str">
        <f t="shared" si="9"/>
        <v>trees_CLUSTER03.csv</v>
      </c>
      <c r="X10" s="16" t="str">
        <f t="shared" si="10"/>
        <v>saplings_CLUSTER03.csv</v>
      </c>
      <c r="Y10" s="16">
        <f t="shared" si="11"/>
        <v>350</v>
      </c>
      <c r="Z10" s="16" t="str">
        <f t="shared" si="12"/>
        <v>abe/no_mgmt.csv</v>
      </c>
      <c r="AA10" s="16" t="str">
        <f t="shared" si="13"/>
        <v>gis/WindModifier_cl3.asc</v>
      </c>
      <c r="AB10" s="16">
        <f t="shared" si="14"/>
        <v>6.8500009999999999E-4</v>
      </c>
      <c r="AC10" s="16" t="str">
        <f t="shared" si="15"/>
        <v>ICHEC-EC-EARTH_historical_point31016</v>
      </c>
      <c r="AD10" s="16" t="str">
        <f t="shared" si="16"/>
        <v>wind_Events/Scaled_cl3_repl4.txt</v>
      </c>
      <c r="AE10" s="16" t="str">
        <f t="shared" si="17"/>
        <v>ICHEC-EC-EARTH_Scaled_Cluster3_repl4</v>
      </c>
      <c r="AF10" s="21" t="s">
        <v>442</v>
      </c>
      <c r="AG10" s="21" t="s">
        <v>443</v>
      </c>
    </row>
    <row r="11" spans="1:33" ht="13.8">
      <c r="A11" s="7" t="str">
        <f t="shared" si="0"/>
        <v>ICHEC-EC-EARTH_Scaled_Cluster3_repl5</v>
      </c>
      <c r="B11" s="8" t="s">
        <v>16</v>
      </c>
      <c r="C11" s="8" t="s">
        <v>54</v>
      </c>
      <c r="D11" s="9" t="s">
        <v>17</v>
      </c>
      <c r="E11" s="9" t="str">
        <f t="shared" si="1"/>
        <v>historical</v>
      </c>
      <c r="F11" s="8">
        <v>350</v>
      </c>
      <c r="G11" s="8" t="s">
        <v>18</v>
      </c>
      <c r="H11" s="8">
        <v>1</v>
      </c>
      <c r="I11" s="19">
        <v>6.8499999999999995E-4</v>
      </c>
      <c r="J11" s="8">
        <v>3</v>
      </c>
      <c r="K11" s="8" t="s">
        <v>158</v>
      </c>
      <c r="L11" s="8">
        <v>5</v>
      </c>
      <c r="M11" s="8">
        <v>1</v>
      </c>
      <c r="N11" s="10" t="s">
        <v>21</v>
      </c>
      <c r="O11" s="17" t="s">
        <v>328</v>
      </c>
      <c r="P11" s="10" t="str">
        <f t="shared" si="2"/>
        <v>ICHEC-EC-EARTH_Scaled_Cluster3_repl5.sqlite</v>
      </c>
      <c r="Q11" s="11">
        <f t="shared" si="3"/>
        <v>13</v>
      </c>
      <c r="R11" s="16" t="str">
        <f t="shared" si="4"/>
        <v>climate_db_ICHEC-EC-EARTH_historical_v4.sqlite</v>
      </c>
      <c r="S11" s="16" t="str">
        <f t="shared" si="5"/>
        <v>log/ICHEC-EC-EARTH_Scaled_Cluster3_repl5.txt</v>
      </c>
      <c r="T11" s="16" t="str">
        <f t="shared" si="6"/>
        <v>init/env_file_CLUSTER03_REPL5_ICHEC-EC-EARTH_historical.csv</v>
      </c>
      <c r="U11" s="16" t="str">
        <f t="shared" si="7"/>
        <v>init/env_grid_CLUSTER03_REPL5.asc</v>
      </c>
      <c r="V11" s="16" t="str">
        <f t="shared" si="8"/>
        <v>init/env_grid_CLUSTER03_REPL5.asc</v>
      </c>
      <c r="W11" s="16" t="str">
        <f t="shared" si="9"/>
        <v>trees_CLUSTER03.csv</v>
      </c>
      <c r="X11" s="16" t="str">
        <f t="shared" si="10"/>
        <v>saplings_CLUSTER03.csv</v>
      </c>
      <c r="Y11" s="16">
        <f t="shared" si="11"/>
        <v>350</v>
      </c>
      <c r="Z11" s="16" t="str">
        <f t="shared" si="12"/>
        <v>abe/no_mgmt.csv</v>
      </c>
      <c r="AA11" s="16" t="str">
        <f t="shared" si="13"/>
        <v>gis/WindModifier_cl3.asc</v>
      </c>
      <c r="AB11" s="16">
        <f t="shared" si="14"/>
        <v>6.8500009999999999E-4</v>
      </c>
      <c r="AC11" s="16" t="str">
        <f t="shared" si="15"/>
        <v>ICHEC-EC-EARTH_historical_point31016</v>
      </c>
      <c r="AD11" s="16" t="str">
        <f t="shared" si="16"/>
        <v>wind_Events/Scaled_cl3_repl5.txt</v>
      </c>
      <c r="AE11" s="16" t="str">
        <f t="shared" si="17"/>
        <v>ICHEC-EC-EARTH_Scaled_Cluster3_repl5</v>
      </c>
      <c r="AF11" s="21" t="s">
        <v>444</v>
      </c>
      <c r="AG11" s="21" t="s">
        <v>445</v>
      </c>
    </row>
    <row r="12" spans="1:33" ht="13.8">
      <c r="A12" s="7" t="str">
        <f t="shared" si="0"/>
        <v>ICHEC-EC-EARTH_Scaled_Cluster4_repl1</v>
      </c>
      <c r="B12" s="8" t="s">
        <v>16</v>
      </c>
      <c r="C12" s="8" t="s">
        <v>54</v>
      </c>
      <c r="D12" s="9" t="s">
        <v>17</v>
      </c>
      <c r="E12" s="9" t="str">
        <f t="shared" si="1"/>
        <v>historical</v>
      </c>
      <c r="F12" s="8">
        <v>350</v>
      </c>
      <c r="G12" s="8" t="s">
        <v>18</v>
      </c>
      <c r="H12" s="8">
        <v>1</v>
      </c>
      <c r="I12" s="19">
        <v>6.8499999999999995E-4</v>
      </c>
      <c r="J12" s="8">
        <v>4</v>
      </c>
      <c r="K12" s="8" t="s">
        <v>159</v>
      </c>
      <c r="L12" s="8">
        <v>1</v>
      </c>
      <c r="M12" s="8">
        <v>1</v>
      </c>
      <c r="N12" s="10" t="s">
        <v>21</v>
      </c>
      <c r="O12" s="17" t="s">
        <v>328</v>
      </c>
      <c r="P12" s="10" t="str">
        <f t="shared" si="2"/>
        <v>ICHEC-EC-EARTH_Scaled_Cluster4_repl1.sqlite</v>
      </c>
      <c r="Q12" s="11">
        <f t="shared" si="3"/>
        <v>1</v>
      </c>
      <c r="R12" s="16" t="str">
        <f t="shared" si="4"/>
        <v>climate_db_ICHEC-EC-EARTH_historical_v4.sqlite</v>
      </c>
      <c r="S12" s="16" t="str">
        <f t="shared" si="5"/>
        <v>log/ICHEC-EC-EARTH_Scaled_Cluster4_repl1.txt</v>
      </c>
      <c r="T12" s="16" t="str">
        <f t="shared" si="6"/>
        <v>init/env_file_CLUSTER04_REPL1_ICHEC-EC-EARTH_historical.csv</v>
      </c>
      <c r="U12" s="16" t="str">
        <f t="shared" si="7"/>
        <v>init/env_grid_CLUSTER04_REPL1.asc</v>
      </c>
      <c r="V12" s="16" t="str">
        <f t="shared" si="8"/>
        <v>init/env_grid_CLUSTER04_REPL1.asc</v>
      </c>
      <c r="W12" s="16" t="str">
        <f t="shared" si="9"/>
        <v>trees_CLUSTER04.csv</v>
      </c>
      <c r="X12" s="16" t="str">
        <f t="shared" si="10"/>
        <v>saplings_CLUSTER04.csv</v>
      </c>
      <c r="Y12" s="16">
        <f t="shared" si="11"/>
        <v>350</v>
      </c>
      <c r="Z12" s="16" t="str">
        <f t="shared" si="12"/>
        <v>abe/no_mgmt.csv</v>
      </c>
      <c r="AA12" s="16" t="str">
        <f t="shared" si="13"/>
        <v>gis/WindModifier_cl4.asc</v>
      </c>
      <c r="AB12" s="16">
        <f t="shared" si="14"/>
        <v>6.8500009999999999E-4</v>
      </c>
      <c r="AC12" s="16" t="str">
        <f t="shared" si="15"/>
        <v>ICHEC-EC-EARTH_historical_point26511</v>
      </c>
      <c r="AD12" s="16" t="str">
        <f t="shared" si="16"/>
        <v>wind_Events/Scaled_cl4_repl1.txt</v>
      </c>
      <c r="AE12" s="16" t="str">
        <f t="shared" si="17"/>
        <v>ICHEC-EC-EARTH_Scaled_Cluster4_repl1</v>
      </c>
      <c r="AF12" s="21" t="s">
        <v>336</v>
      </c>
      <c r="AG12" s="21" t="s">
        <v>107</v>
      </c>
    </row>
    <row r="13" spans="1:33" ht="13.8">
      <c r="A13" s="7" t="str">
        <f t="shared" si="0"/>
        <v>ICHEC-EC-EARTH_Scaled_Cluster4_repl2</v>
      </c>
      <c r="B13" s="8" t="s">
        <v>16</v>
      </c>
      <c r="C13" s="8" t="s">
        <v>54</v>
      </c>
      <c r="D13" s="9" t="s">
        <v>17</v>
      </c>
      <c r="E13" s="9" t="str">
        <f t="shared" si="1"/>
        <v>historical</v>
      </c>
      <c r="F13" s="8">
        <v>350</v>
      </c>
      <c r="G13" s="8" t="s">
        <v>18</v>
      </c>
      <c r="H13" s="8">
        <v>1</v>
      </c>
      <c r="I13" s="19">
        <v>6.8499999999999995E-4</v>
      </c>
      <c r="J13" s="8">
        <v>4</v>
      </c>
      <c r="K13" s="8" t="s">
        <v>159</v>
      </c>
      <c r="L13" s="8">
        <v>2</v>
      </c>
      <c r="M13" s="8">
        <v>1</v>
      </c>
      <c r="N13" s="10" t="s">
        <v>21</v>
      </c>
      <c r="O13" s="17" t="s">
        <v>328</v>
      </c>
      <c r="P13" s="10" t="str">
        <f t="shared" si="2"/>
        <v>ICHEC-EC-EARTH_Scaled_Cluster4_repl2.sqlite</v>
      </c>
      <c r="Q13" s="11">
        <f t="shared" si="3"/>
        <v>4</v>
      </c>
      <c r="R13" s="16" t="str">
        <f t="shared" si="4"/>
        <v>climate_db_ICHEC-EC-EARTH_historical_v4.sqlite</v>
      </c>
      <c r="S13" s="16" t="str">
        <f t="shared" si="5"/>
        <v>log/ICHEC-EC-EARTH_Scaled_Cluster4_repl2.txt</v>
      </c>
      <c r="T13" s="16" t="str">
        <f t="shared" si="6"/>
        <v>init/env_file_CLUSTER04_REPL2_ICHEC-EC-EARTH_historical.csv</v>
      </c>
      <c r="U13" s="16" t="str">
        <f t="shared" si="7"/>
        <v>init/env_grid_CLUSTER04_REPL2.asc</v>
      </c>
      <c r="V13" s="16" t="str">
        <f t="shared" si="8"/>
        <v>init/env_grid_CLUSTER04_REPL2.asc</v>
      </c>
      <c r="W13" s="16" t="str">
        <f t="shared" si="9"/>
        <v>trees_CLUSTER04.csv</v>
      </c>
      <c r="X13" s="16" t="str">
        <f t="shared" si="10"/>
        <v>saplings_CLUSTER04.csv</v>
      </c>
      <c r="Y13" s="16">
        <f t="shared" si="11"/>
        <v>350</v>
      </c>
      <c r="Z13" s="16" t="str">
        <f t="shared" si="12"/>
        <v>abe/no_mgmt.csv</v>
      </c>
      <c r="AA13" s="16" t="str">
        <f t="shared" si="13"/>
        <v>gis/WindModifier_cl4.asc</v>
      </c>
      <c r="AB13" s="16">
        <f t="shared" si="14"/>
        <v>6.8500009999999999E-4</v>
      </c>
      <c r="AC13" s="16" t="str">
        <f t="shared" si="15"/>
        <v>ICHEC-EC-EARTH_historical_point26511</v>
      </c>
      <c r="AD13" s="16" t="str">
        <f t="shared" si="16"/>
        <v>wind_Events/Scaled_cl4_repl2.txt</v>
      </c>
      <c r="AE13" s="16" t="str">
        <f t="shared" si="17"/>
        <v>ICHEC-EC-EARTH_Scaled_Cluster4_repl2</v>
      </c>
      <c r="AF13" s="21" t="s">
        <v>446</v>
      </c>
      <c r="AG13" s="21" t="s">
        <v>447</v>
      </c>
    </row>
    <row r="14" spans="1:33" ht="13.8">
      <c r="A14" s="7" t="str">
        <f t="shared" si="0"/>
        <v>ICHEC-EC-EARTH_Scaled_Cluster4_repl3</v>
      </c>
      <c r="B14" s="8" t="s">
        <v>16</v>
      </c>
      <c r="C14" s="8" t="s">
        <v>54</v>
      </c>
      <c r="D14" s="9" t="s">
        <v>17</v>
      </c>
      <c r="E14" s="9" t="str">
        <f t="shared" si="1"/>
        <v>historical</v>
      </c>
      <c r="F14" s="8">
        <v>350</v>
      </c>
      <c r="G14" s="8" t="s">
        <v>18</v>
      </c>
      <c r="H14" s="8">
        <v>1</v>
      </c>
      <c r="I14" s="19">
        <v>6.8499999999999995E-4</v>
      </c>
      <c r="J14" s="8">
        <v>4</v>
      </c>
      <c r="K14" s="8" t="s">
        <v>159</v>
      </c>
      <c r="L14" s="8">
        <v>3</v>
      </c>
      <c r="M14" s="8">
        <v>1</v>
      </c>
      <c r="N14" s="10" t="s">
        <v>21</v>
      </c>
      <c r="O14" s="17" t="s">
        <v>328</v>
      </c>
      <c r="P14" s="10" t="str">
        <f t="shared" si="2"/>
        <v>ICHEC-EC-EARTH_Scaled_Cluster4_repl3.sqlite</v>
      </c>
      <c r="Q14" s="11">
        <f t="shared" si="3"/>
        <v>7</v>
      </c>
      <c r="R14" s="16" t="str">
        <f t="shared" si="4"/>
        <v>climate_db_ICHEC-EC-EARTH_historical_v4.sqlite</v>
      </c>
      <c r="S14" s="16" t="str">
        <f t="shared" si="5"/>
        <v>log/ICHEC-EC-EARTH_Scaled_Cluster4_repl3.txt</v>
      </c>
      <c r="T14" s="16" t="str">
        <f t="shared" si="6"/>
        <v>init/env_file_CLUSTER04_REPL3_ICHEC-EC-EARTH_historical.csv</v>
      </c>
      <c r="U14" s="16" t="str">
        <f t="shared" si="7"/>
        <v>init/env_grid_CLUSTER04_REPL3.asc</v>
      </c>
      <c r="V14" s="16" t="str">
        <f t="shared" si="8"/>
        <v>init/env_grid_CLUSTER04_REPL3.asc</v>
      </c>
      <c r="W14" s="16" t="str">
        <f t="shared" si="9"/>
        <v>trees_CLUSTER04.csv</v>
      </c>
      <c r="X14" s="16" t="str">
        <f t="shared" si="10"/>
        <v>saplings_CLUSTER04.csv</v>
      </c>
      <c r="Y14" s="16">
        <f t="shared" si="11"/>
        <v>350</v>
      </c>
      <c r="Z14" s="16" t="str">
        <f t="shared" si="12"/>
        <v>abe/no_mgmt.csv</v>
      </c>
      <c r="AA14" s="16" t="str">
        <f t="shared" si="13"/>
        <v>gis/WindModifier_cl4.asc</v>
      </c>
      <c r="AB14" s="16">
        <f t="shared" si="14"/>
        <v>6.8500009999999999E-4</v>
      </c>
      <c r="AC14" s="16" t="str">
        <f t="shared" si="15"/>
        <v>ICHEC-EC-EARTH_historical_point26511</v>
      </c>
      <c r="AD14" s="16" t="str">
        <f t="shared" si="16"/>
        <v>wind_Events/Scaled_cl4_repl3.txt</v>
      </c>
      <c r="AE14" s="16" t="str">
        <f t="shared" si="17"/>
        <v>ICHEC-EC-EARTH_Scaled_Cluster4_repl3</v>
      </c>
      <c r="AF14" s="21" t="s">
        <v>448</v>
      </c>
      <c r="AG14" s="21" t="s">
        <v>449</v>
      </c>
    </row>
    <row r="15" spans="1:33" ht="13.8">
      <c r="A15" s="7" t="str">
        <f t="shared" si="0"/>
        <v>ICHEC-EC-EARTH_Scaled_Cluster4_repl4</v>
      </c>
      <c r="B15" s="8" t="s">
        <v>16</v>
      </c>
      <c r="C15" s="8" t="s">
        <v>54</v>
      </c>
      <c r="D15" s="9" t="s">
        <v>17</v>
      </c>
      <c r="E15" s="9" t="str">
        <f t="shared" si="1"/>
        <v>historical</v>
      </c>
      <c r="F15" s="8">
        <v>350</v>
      </c>
      <c r="G15" s="8" t="s">
        <v>18</v>
      </c>
      <c r="H15" s="8">
        <v>1</v>
      </c>
      <c r="I15" s="19">
        <v>6.8499999999999995E-4</v>
      </c>
      <c r="J15" s="8">
        <v>4</v>
      </c>
      <c r="K15" s="8" t="s">
        <v>159</v>
      </c>
      <c r="L15" s="8">
        <v>4</v>
      </c>
      <c r="M15" s="8">
        <v>1</v>
      </c>
      <c r="N15" s="10" t="s">
        <v>21</v>
      </c>
      <c r="O15" s="17" t="s">
        <v>328</v>
      </c>
      <c r="P15" s="10" t="str">
        <f t="shared" si="2"/>
        <v>ICHEC-EC-EARTH_Scaled_Cluster4_repl4.sqlite</v>
      </c>
      <c r="Q15" s="11">
        <f t="shared" si="3"/>
        <v>10</v>
      </c>
      <c r="R15" s="16" t="str">
        <f t="shared" si="4"/>
        <v>climate_db_ICHEC-EC-EARTH_historical_v4.sqlite</v>
      </c>
      <c r="S15" s="16" t="str">
        <f t="shared" si="5"/>
        <v>log/ICHEC-EC-EARTH_Scaled_Cluster4_repl4.txt</v>
      </c>
      <c r="T15" s="16" t="str">
        <f t="shared" si="6"/>
        <v>init/env_file_CLUSTER04_REPL4_ICHEC-EC-EARTH_historical.csv</v>
      </c>
      <c r="U15" s="16" t="str">
        <f t="shared" si="7"/>
        <v>init/env_grid_CLUSTER04_REPL4.asc</v>
      </c>
      <c r="V15" s="16" t="str">
        <f t="shared" si="8"/>
        <v>init/env_grid_CLUSTER04_REPL4.asc</v>
      </c>
      <c r="W15" s="16" t="str">
        <f t="shared" si="9"/>
        <v>trees_CLUSTER04.csv</v>
      </c>
      <c r="X15" s="16" t="str">
        <f t="shared" si="10"/>
        <v>saplings_CLUSTER04.csv</v>
      </c>
      <c r="Y15" s="16">
        <f t="shared" si="11"/>
        <v>350</v>
      </c>
      <c r="Z15" s="16" t="str">
        <f t="shared" si="12"/>
        <v>abe/no_mgmt.csv</v>
      </c>
      <c r="AA15" s="16" t="str">
        <f t="shared" si="13"/>
        <v>gis/WindModifier_cl4.asc</v>
      </c>
      <c r="AB15" s="16">
        <f t="shared" si="14"/>
        <v>6.8500009999999999E-4</v>
      </c>
      <c r="AC15" s="16" t="str">
        <f t="shared" si="15"/>
        <v>ICHEC-EC-EARTH_historical_point26511</v>
      </c>
      <c r="AD15" s="16" t="str">
        <f t="shared" si="16"/>
        <v>wind_Events/Scaled_cl4_repl4.txt</v>
      </c>
      <c r="AE15" s="16" t="str">
        <f t="shared" si="17"/>
        <v>ICHEC-EC-EARTH_Scaled_Cluster4_repl4</v>
      </c>
      <c r="AF15" s="21" t="s">
        <v>450</v>
      </c>
      <c r="AG15" s="21" t="s">
        <v>451</v>
      </c>
    </row>
    <row r="16" spans="1:33" ht="13.8">
      <c r="A16" s="7" t="str">
        <f t="shared" si="0"/>
        <v>ICHEC-EC-EARTH_Scaled_Cluster4_repl5</v>
      </c>
      <c r="B16" s="8" t="s">
        <v>16</v>
      </c>
      <c r="C16" s="8" t="s">
        <v>54</v>
      </c>
      <c r="D16" s="9" t="s">
        <v>17</v>
      </c>
      <c r="E16" s="9" t="str">
        <f t="shared" si="1"/>
        <v>historical</v>
      </c>
      <c r="F16" s="8">
        <v>350</v>
      </c>
      <c r="G16" s="8" t="s">
        <v>18</v>
      </c>
      <c r="H16" s="8">
        <v>1</v>
      </c>
      <c r="I16" s="19">
        <v>6.8499999999999995E-4</v>
      </c>
      <c r="J16" s="8">
        <v>4</v>
      </c>
      <c r="K16" s="8" t="s">
        <v>159</v>
      </c>
      <c r="L16" s="8">
        <v>5</v>
      </c>
      <c r="M16" s="8">
        <v>1</v>
      </c>
      <c r="N16" s="10" t="s">
        <v>21</v>
      </c>
      <c r="O16" s="17" t="s">
        <v>328</v>
      </c>
      <c r="P16" s="10" t="str">
        <f t="shared" si="2"/>
        <v>ICHEC-EC-EARTH_Scaled_Cluster4_repl5.sqlite</v>
      </c>
      <c r="Q16" s="11">
        <f t="shared" si="3"/>
        <v>13</v>
      </c>
      <c r="R16" s="16" t="str">
        <f t="shared" si="4"/>
        <v>climate_db_ICHEC-EC-EARTH_historical_v4.sqlite</v>
      </c>
      <c r="S16" s="16" t="str">
        <f t="shared" si="5"/>
        <v>log/ICHEC-EC-EARTH_Scaled_Cluster4_repl5.txt</v>
      </c>
      <c r="T16" s="16" t="str">
        <f t="shared" si="6"/>
        <v>init/env_file_CLUSTER04_REPL5_ICHEC-EC-EARTH_historical.csv</v>
      </c>
      <c r="U16" s="16" t="str">
        <f t="shared" si="7"/>
        <v>init/env_grid_CLUSTER04_REPL5.asc</v>
      </c>
      <c r="V16" s="16" t="str">
        <f t="shared" si="8"/>
        <v>init/env_grid_CLUSTER04_REPL5.asc</v>
      </c>
      <c r="W16" s="16" t="str">
        <f t="shared" si="9"/>
        <v>trees_CLUSTER04.csv</v>
      </c>
      <c r="X16" s="16" t="str">
        <f t="shared" si="10"/>
        <v>saplings_CLUSTER04.csv</v>
      </c>
      <c r="Y16" s="16">
        <f t="shared" si="11"/>
        <v>350</v>
      </c>
      <c r="Z16" s="16" t="str">
        <f t="shared" si="12"/>
        <v>abe/no_mgmt.csv</v>
      </c>
      <c r="AA16" s="16" t="str">
        <f t="shared" si="13"/>
        <v>gis/WindModifier_cl4.asc</v>
      </c>
      <c r="AB16" s="16">
        <f t="shared" si="14"/>
        <v>6.8500009999999999E-4</v>
      </c>
      <c r="AC16" s="16" t="str">
        <f t="shared" si="15"/>
        <v>ICHEC-EC-EARTH_historical_point26511</v>
      </c>
      <c r="AD16" s="16" t="str">
        <f t="shared" si="16"/>
        <v>wind_Events/Scaled_cl4_repl5.txt</v>
      </c>
      <c r="AE16" s="16" t="str">
        <f t="shared" si="17"/>
        <v>ICHEC-EC-EARTH_Scaled_Cluster4_repl5</v>
      </c>
      <c r="AF16" s="21" t="s">
        <v>452</v>
      </c>
      <c r="AG16" s="21" t="s">
        <v>453</v>
      </c>
    </row>
    <row r="17" spans="1:33" ht="13.8">
      <c r="A17" s="7" t="str">
        <f t="shared" si="0"/>
        <v>ICHEC-EC-EARTH_Scaled_Cluster5_repl1</v>
      </c>
      <c r="B17" s="8" t="s">
        <v>16</v>
      </c>
      <c r="C17" s="8" t="s">
        <v>54</v>
      </c>
      <c r="D17" s="9" t="s">
        <v>17</v>
      </c>
      <c r="E17" s="9" t="str">
        <f t="shared" si="1"/>
        <v>historical</v>
      </c>
      <c r="F17" s="8">
        <v>350</v>
      </c>
      <c r="G17" s="8" t="s">
        <v>18</v>
      </c>
      <c r="H17" s="8">
        <v>1</v>
      </c>
      <c r="I17" s="19">
        <v>6.8499999999999995E-4</v>
      </c>
      <c r="J17" s="8">
        <v>5</v>
      </c>
      <c r="K17" s="8" t="s">
        <v>160</v>
      </c>
      <c r="L17" s="8">
        <v>1</v>
      </c>
      <c r="M17" s="8">
        <v>1</v>
      </c>
      <c r="N17" s="10" t="s">
        <v>21</v>
      </c>
      <c r="O17" s="17" t="s">
        <v>328</v>
      </c>
      <c r="P17" s="10" t="str">
        <f t="shared" si="2"/>
        <v>ICHEC-EC-EARTH_Scaled_Cluster5_repl1.sqlite</v>
      </c>
      <c r="Q17" s="11">
        <f t="shared" si="3"/>
        <v>1</v>
      </c>
      <c r="R17" s="16" t="str">
        <f t="shared" si="4"/>
        <v>climate_db_ICHEC-EC-EARTH_historical_v4.sqlite</v>
      </c>
      <c r="S17" s="16" t="str">
        <f t="shared" si="5"/>
        <v>log/ICHEC-EC-EARTH_Scaled_Cluster5_repl1.txt</v>
      </c>
      <c r="T17" s="16" t="str">
        <f t="shared" si="6"/>
        <v>init/env_file_CLUSTER05_REPL1_ICHEC-EC-EARTH_historical.csv</v>
      </c>
      <c r="U17" s="16" t="str">
        <f t="shared" si="7"/>
        <v>init/env_grid_CLUSTER05_REPL1.asc</v>
      </c>
      <c r="V17" s="16" t="str">
        <f t="shared" si="8"/>
        <v>init/env_grid_CLUSTER05_REPL1.asc</v>
      </c>
      <c r="W17" s="16" t="str">
        <f t="shared" si="9"/>
        <v>trees_CLUSTER05.csv</v>
      </c>
      <c r="X17" s="16" t="str">
        <f t="shared" si="10"/>
        <v>saplings_CLUSTER05.csv</v>
      </c>
      <c r="Y17" s="16">
        <f t="shared" si="11"/>
        <v>350</v>
      </c>
      <c r="Z17" s="16" t="str">
        <f t="shared" si="12"/>
        <v>abe/no_mgmt.csv</v>
      </c>
      <c r="AA17" s="16" t="str">
        <f t="shared" si="13"/>
        <v>gis/WindModifier_cl5.asc</v>
      </c>
      <c r="AB17" s="16">
        <f t="shared" si="14"/>
        <v>6.8500009999999999E-4</v>
      </c>
      <c r="AC17" s="16" t="str">
        <f t="shared" si="15"/>
        <v>ICHEC-EC-EARTH_historical_point31053</v>
      </c>
      <c r="AD17" s="16" t="str">
        <f t="shared" si="16"/>
        <v>wind_Events/Scaled_cl5_repl1.txt</v>
      </c>
      <c r="AE17" s="16" t="str">
        <f t="shared" si="17"/>
        <v>ICHEC-EC-EARTH_Scaled_Cluster5_repl1</v>
      </c>
      <c r="AF17" s="21" t="s">
        <v>337</v>
      </c>
      <c r="AG17" s="21" t="s">
        <v>109</v>
      </c>
    </row>
    <row r="18" spans="1:33" ht="13.8">
      <c r="A18" s="7" t="str">
        <f t="shared" si="0"/>
        <v>ICHEC-EC-EARTH_Scaled_Cluster5_repl2</v>
      </c>
      <c r="B18" s="8" t="s">
        <v>16</v>
      </c>
      <c r="C18" s="8" t="s">
        <v>54</v>
      </c>
      <c r="D18" s="9" t="s">
        <v>17</v>
      </c>
      <c r="E18" s="9" t="str">
        <f t="shared" si="1"/>
        <v>historical</v>
      </c>
      <c r="F18" s="8">
        <v>350</v>
      </c>
      <c r="G18" s="8" t="s">
        <v>18</v>
      </c>
      <c r="H18" s="8">
        <v>1</v>
      </c>
      <c r="I18" s="19">
        <v>6.8499999999999995E-4</v>
      </c>
      <c r="J18" s="8">
        <v>5</v>
      </c>
      <c r="K18" s="8" t="s">
        <v>160</v>
      </c>
      <c r="L18" s="8">
        <v>2</v>
      </c>
      <c r="M18" s="8">
        <v>1</v>
      </c>
      <c r="N18" s="10" t="s">
        <v>21</v>
      </c>
      <c r="O18" s="17" t="s">
        <v>328</v>
      </c>
      <c r="P18" s="10" t="str">
        <f t="shared" si="2"/>
        <v>ICHEC-EC-EARTH_Scaled_Cluster5_repl2.sqlite</v>
      </c>
      <c r="Q18" s="11">
        <f t="shared" si="3"/>
        <v>4</v>
      </c>
      <c r="R18" s="16" t="str">
        <f t="shared" si="4"/>
        <v>climate_db_ICHEC-EC-EARTH_historical_v4.sqlite</v>
      </c>
      <c r="S18" s="16" t="str">
        <f t="shared" si="5"/>
        <v>log/ICHEC-EC-EARTH_Scaled_Cluster5_repl2.txt</v>
      </c>
      <c r="T18" s="16" t="str">
        <f t="shared" si="6"/>
        <v>init/env_file_CLUSTER05_REPL2_ICHEC-EC-EARTH_historical.csv</v>
      </c>
      <c r="U18" s="16" t="str">
        <f t="shared" si="7"/>
        <v>init/env_grid_CLUSTER05_REPL2.asc</v>
      </c>
      <c r="V18" s="16" t="str">
        <f t="shared" si="8"/>
        <v>init/env_grid_CLUSTER05_REPL2.asc</v>
      </c>
      <c r="W18" s="16" t="str">
        <f t="shared" si="9"/>
        <v>trees_CLUSTER05.csv</v>
      </c>
      <c r="X18" s="16" t="str">
        <f t="shared" si="10"/>
        <v>saplings_CLUSTER05.csv</v>
      </c>
      <c r="Y18" s="16">
        <f t="shared" si="11"/>
        <v>350</v>
      </c>
      <c r="Z18" s="16" t="str">
        <f t="shared" si="12"/>
        <v>abe/no_mgmt.csv</v>
      </c>
      <c r="AA18" s="16" t="str">
        <f t="shared" si="13"/>
        <v>gis/WindModifier_cl5.asc</v>
      </c>
      <c r="AB18" s="16">
        <f t="shared" si="14"/>
        <v>6.8500009999999999E-4</v>
      </c>
      <c r="AC18" s="16" t="str">
        <f t="shared" si="15"/>
        <v>ICHEC-EC-EARTH_historical_point31053</v>
      </c>
      <c r="AD18" s="16" t="str">
        <f t="shared" si="16"/>
        <v>wind_Events/Scaled_cl5_repl2.txt</v>
      </c>
      <c r="AE18" s="16" t="str">
        <f t="shared" si="17"/>
        <v>ICHEC-EC-EARTH_Scaled_Cluster5_repl2</v>
      </c>
      <c r="AF18" s="21" t="s">
        <v>454</v>
      </c>
      <c r="AG18" s="21" t="s">
        <v>455</v>
      </c>
    </row>
    <row r="19" spans="1:33" ht="13.8">
      <c r="A19" s="7" t="str">
        <f t="shared" si="0"/>
        <v>ICHEC-EC-EARTH_Scaled_Cluster5_repl3</v>
      </c>
      <c r="B19" s="8" t="s">
        <v>16</v>
      </c>
      <c r="C19" s="8" t="s">
        <v>54</v>
      </c>
      <c r="D19" s="9" t="s">
        <v>17</v>
      </c>
      <c r="E19" s="9" t="str">
        <f t="shared" si="1"/>
        <v>historical</v>
      </c>
      <c r="F19" s="8">
        <v>350</v>
      </c>
      <c r="G19" s="8" t="s">
        <v>18</v>
      </c>
      <c r="H19" s="8">
        <v>1</v>
      </c>
      <c r="I19" s="19">
        <v>6.8499999999999995E-4</v>
      </c>
      <c r="J19" s="8">
        <v>5</v>
      </c>
      <c r="K19" s="8" t="s">
        <v>160</v>
      </c>
      <c r="L19" s="8">
        <v>3</v>
      </c>
      <c r="M19" s="8">
        <v>1</v>
      </c>
      <c r="N19" s="10" t="s">
        <v>21</v>
      </c>
      <c r="O19" s="17" t="s">
        <v>328</v>
      </c>
      <c r="P19" s="10" t="str">
        <f t="shared" si="2"/>
        <v>ICHEC-EC-EARTH_Scaled_Cluster5_repl3.sqlite</v>
      </c>
      <c r="Q19" s="11">
        <f t="shared" si="3"/>
        <v>7</v>
      </c>
      <c r="R19" s="16" t="str">
        <f t="shared" si="4"/>
        <v>climate_db_ICHEC-EC-EARTH_historical_v4.sqlite</v>
      </c>
      <c r="S19" s="16" t="str">
        <f t="shared" si="5"/>
        <v>log/ICHEC-EC-EARTH_Scaled_Cluster5_repl3.txt</v>
      </c>
      <c r="T19" s="16" t="str">
        <f t="shared" si="6"/>
        <v>init/env_file_CLUSTER05_REPL3_ICHEC-EC-EARTH_historical.csv</v>
      </c>
      <c r="U19" s="16" t="str">
        <f t="shared" si="7"/>
        <v>init/env_grid_CLUSTER05_REPL3.asc</v>
      </c>
      <c r="V19" s="16" t="str">
        <f t="shared" si="8"/>
        <v>init/env_grid_CLUSTER05_REPL3.asc</v>
      </c>
      <c r="W19" s="16" t="str">
        <f t="shared" si="9"/>
        <v>trees_CLUSTER05.csv</v>
      </c>
      <c r="X19" s="16" t="str">
        <f t="shared" si="10"/>
        <v>saplings_CLUSTER05.csv</v>
      </c>
      <c r="Y19" s="16">
        <f t="shared" si="11"/>
        <v>350</v>
      </c>
      <c r="Z19" s="16" t="str">
        <f t="shared" si="12"/>
        <v>abe/no_mgmt.csv</v>
      </c>
      <c r="AA19" s="16" t="str">
        <f t="shared" si="13"/>
        <v>gis/WindModifier_cl5.asc</v>
      </c>
      <c r="AB19" s="16">
        <f t="shared" si="14"/>
        <v>6.8500009999999999E-4</v>
      </c>
      <c r="AC19" s="16" t="str">
        <f t="shared" si="15"/>
        <v>ICHEC-EC-EARTH_historical_point31053</v>
      </c>
      <c r="AD19" s="16" t="str">
        <f t="shared" si="16"/>
        <v>wind_Events/Scaled_cl5_repl3.txt</v>
      </c>
      <c r="AE19" s="16" t="str">
        <f t="shared" si="17"/>
        <v>ICHEC-EC-EARTH_Scaled_Cluster5_repl3</v>
      </c>
      <c r="AF19" s="21" t="s">
        <v>456</v>
      </c>
      <c r="AG19" s="21" t="s">
        <v>457</v>
      </c>
    </row>
    <row r="20" spans="1:33" ht="13.8">
      <c r="A20" s="7" t="str">
        <f t="shared" si="0"/>
        <v>ICHEC-EC-EARTH_Scaled_Cluster5_repl4</v>
      </c>
      <c r="B20" s="8" t="s">
        <v>16</v>
      </c>
      <c r="C20" s="8" t="s">
        <v>54</v>
      </c>
      <c r="D20" s="9" t="s">
        <v>17</v>
      </c>
      <c r="E20" s="9" t="str">
        <f t="shared" si="1"/>
        <v>historical</v>
      </c>
      <c r="F20" s="8">
        <v>350</v>
      </c>
      <c r="G20" s="8" t="s">
        <v>18</v>
      </c>
      <c r="H20" s="8">
        <v>1</v>
      </c>
      <c r="I20" s="19">
        <v>6.8499999999999995E-4</v>
      </c>
      <c r="J20" s="8">
        <v>5</v>
      </c>
      <c r="K20" s="8" t="s">
        <v>160</v>
      </c>
      <c r="L20" s="8">
        <v>4</v>
      </c>
      <c r="M20" s="8">
        <v>1</v>
      </c>
      <c r="N20" s="10" t="s">
        <v>21</v>
      </c>
      <c r="O20" s="17" t="s">
        <v>328</v>
      </c>
      <c r="P20" s="10" t="str">
        <f t="shared" si="2"/>
        <v>ICHEC-EC-EARTH_Scaled_Cluster5_repl4.sqlite</v>
      </c>
      <c r="Q20" s="11">
        <f t="shared" si="3"/>
        <v>10</v>
      </c>
      <c r="R20" s="16" t="str">
        <f t="shared" si="4"/>
        <v>climate_db_ICHEC-EC-EARTH_historical_v4.sqlite</v>
      </c>
      <c r="S20" s="16" t="str">
        <f t="shared" si="5"/>
        <v>log/ICHEC-EC-EARTH_Scaled_Cluster5_repl4.txt</v>
      </c>
      <c r="T20" s="16" t="str">
        <f t="shared" si="6"/>
        <v>init/env_file_CLUSTER05_REPL4_ICHEC-EC-EARTH_historical.csv</v>
      </c>
      <c r="U20" s="16" t="str">
        <f t="shared" si="7"/>
        <v>init/env_grid_CLUSTER05_REPL4.asc</v>
      </c>
      <c r="V20" s="16" t="str">
        <f t="shared" si="8"/>
        <v>init/env_grid_CLUSTER05_REPL4.asc</v>
      </c>
      <c r="W20" s="16" t="str">
        <f t="shared" si="9"/>
        <v>trees_CLUSTER05.csv</v>
      </c>
      <c r="X20" s="16" t="str">
        <f t="shared" si="10"/>
        <v>saplings_CLUSTER05.csv</v>
      </c>
      <c r="Y20" s="16">
        <f t="shared" si="11"/>
        <v>350</v>
      </c>
      <c r="Z20" s="16" t="str">
        <f t="shared" si="12"/>
        <v>abe/no_mgmt.csv</v>
      </c>
      <c r="AA20" s="16" t="str">
        <f t="shared" si="13"/>
        <v>gis/WindModifier_cl5.asc</v>
      </c>
      <c r="AB20" s="16">
        <f t="shared" si="14"/>
        <v>6.8500009999999999E-4</v>
      </c>
      <c r="AC20" s="16" t="str">
        <f t="shared" si="15"/>
        <v>ICHEC-EC-EARTH_historical_point31053</v>
      </c>
      <c r="AD20" s="16" t="str">
        <f t="shared" si="16"/>
        <v>wind_Events/Scaled_cl5_repl4.txt</v>
      </c>
      <c r="AE20" s="16" t="str">
        <f t="shared" si="17"/>
        <v>ICHEC-EC-EARTH_Scaled_Cluster5_repl4</v>
      </c>
      <c r="AF20" s="21" t="s">
        <v>458</v>
      </c>
      <c r="AG20" s="21" t="s">
        <v>459</v>
      </c>
    </row>
    <row r="21" spans="1:33" ht="13.8">
      <c r="A21" s="7" t="str">
        <f t="shared" si="0"/>
        <v>ICHEC-EC-EARTH_Scaled_Cluster5_repl5</v>
      </c>
      <c r="B21" s="8" t="s">
        <v>16</v>
      </c>
      <c r="C21" s="8" t="s">
        <v>54</v>
      </c>
      <c r="D21" s="9" t="s">
        <v>17</v>
      </c>
      <c r="E21" s="9" t="str">
        <f t="shared" si="1"/>
        <v>historical</v>
      </c>
      <c r="F21" s="8">
        <v>350</v>
      </c>
      <c r="G21" s="8" t="s">
        <v>18</v>
      </c>
      <c r="H21" s="8">
        <v>1</v>
      </c>
      <c r="I21" s="19">
        <v>6.8499999999999995E-4</v>
      </c>
      <c r="J21" s="8">
        <v>5</v>
      </c>
      <c r="K21" s="8" t="s">
        <v>160</v>
      </c>
      <c r="L21" s="8">
        <v>5</v>
      </c>
      <c r="M21" s="8">
        <v>1</v>
      </c>
      <c r="N21" s="10" t="s">
        <v>21</v>
      </c>
      <c r="O21" s="17" t="s">
        <v>328</v>
      </c>
      <c r="P21" s="10" t="str">
        <f t="shared" si="2"/>
        <v>ICHEC-EC-EARTH_Scaled_Cluster5_repl5.sqlite</v>
      </c>
      <c r="Q21" s="11">
        <f t="shared" si="3"/>
        <v>13</v>
      </c>
      <c r="R21" s="16" t="str">
        <f t="shared" si="4"/>
        <v>climate_db_ICHEC-EC-EARTH_historical_v4.sqlite</v>
      </c>
      <c r="S21" s="16" t="str">
        <f t="shared" si="5"/>
        <v>log/ICHEC-EC-EARTH_Scaled_Cluster5_repl5.txt</v>
      </c>
      <c r="T21" s="16" t="str">
        <f t="shared" si="6"/>
        <v>init/env_file_CLUSTER05_REPL5_ICHEC-EC-EARTH_historical.csv</v>
      </c>
      <c r="U21" s="16" t="str">
        <f t="shared" si="7"/>
        <v>init/env_grid_CLUSTER05_REPL5.asc</v>
      </c>
      <c r="V21" s="16" t="str">
        <f t="shared" si="8"/>
        <v>init/env_grid_CLUSTER05_REPL5.asc</v>
      </c>
      <c r="W21" s="16" t="str">
        <f t="shared" si="9"/>
        <v>trees_CLUSTER05.csv</v>
      </c>
      <c r="X21" s="16" t="str">
        <f t="shared" si="10"/>
        <v>saplings_CLUSTER05.csv</v>
      </c>
      <c r="Y21" s="16">
        <f t="shared" si="11"/>
        <v>350</v>
      </c>
      <c r="Z21" s="16" t="str">
        <f t="shared" si="12"/>
        <v>abe/no_mgmt.csv</v>
      </c>
      <c r="AA21" s="16" t="str">
        <f t="shared" si="13"/>
        <v>gis/WindModifier_cl5.asc</v>
      </c>
      <c r="AB21" s="16">
        <f t="shared" si="14"/>
        <v>6.8500009999999999E-4</v>
      </c>
      <c r="AC21" s="16" t="str">
        <f t="shared" si="15"/>
        <v>ICHEC-EC-EARTH_historical_point31053</v>
      </c>
      <c r="AD21" s="16" t="str">
        <f t="shared" si="16"/>
        <v>wind_Events/Scaled_cl5_repl5.txt</v>
      </c>
      <c r="AE21" s="16" t="str">
        <f t="shared" si="17"/>
        <v>ICHEC-EC-EARTH_Scaled_Cluster5_repl5</v>
      </c>
      <c r="AF21" s="21" t="s">
        <v>460</v>
      </c>
      <c r="AG21" s="21" t="s">
        <v>461</v>
      </c>
    </row>
    <row r="22" spans="1:33" ht="13.8">
      <c r="A22" s="7" t="str">
        <f t="shared" si="0"/>
        <v>ICHEC-EC-EARTH_Scaled_Cluster6_repl1</v>
      </c>
      <c r="B22" s="8" t="s">
        <v>16</v>
      </c>
      <c r="C22" s="8" t="s">
        <v>54</v>
      </c>
      <c r="D22" s="9" t="s">
        <v>17</v>
      </c>
      <c r="E22" s="9" t="str">
        <f t="shared" si="1"/>
        <v>historical</v>
      </c>
      <c r="F22" s="8">
        <v>350</v>
      </c>
      <c r="G22" s="8" t="s">
        <v>18</v>
      </c>
      <c r="H22" s="8">
        <v>1</v>
      </c>
      <c r="I22" s="19">
        <v>6.8499999999999995E-4</v>
      </c>
      <c r="J22" s="8">
        <v>6</v>
      </c>
      <c r="K22" s="8" t="s">
        <v>161</v>
      </c>
      <c r="L22" s="8">
        <v>1</v>
      </c>
      <c r="M22" s="8">
        <v>1</v>
      </c>
      <c r="N22" s="10" t="s">
        <v>21</v>
      </c>
      <c r="O22" s="17" t="s">
        <v>328</v>
      </c>
      <c r="P22" s="10" t="str">
        <f t="shared" si="2"/>
        <v>ICHEC-EC-EARTH_Scaled_Cluster6_repl1.sqlite</v>
      </c>
      <c r="Q22" s="11">
        <f t="shared" si="3"/>
        <v>1</v>
      </c>
      <c r="R22" s="16" t="str">
        <f t="shared" si="4"/>
        <v>climate_db_ICHEC-EC-EARTH_historical_v4.sqlite</v>
      </c>
      <c r="S22" s="16" t="str">
        <f t="shared" si="5"/>
        <v>log/ICHEC-EC-EARTH_Scaled_Cluster6_repl1.txt</v>
      </c>
      <c r="T22" s="16" t="str">
        <f t="shared" si="6"/>
        <v>init/env_file_CLUSTER06_REPL1_ICHEC-EC-EARTH_historical.csv</v>
      </c>
      <c r="U22" s="16" t="str">
        <f t="shared" si="7"/>
        <v>init/env_grid_CLUSTER06_REPL1.asc</v>
      </c>
      <c r="V22" s="16" t="str">
        <f t="shared" si="8"/>
        <v>init/env_grid_CLUSTER06_REPL1.asc</v>
      </c>
      <c r="W22" s="16" t="str">
        <f t="shared" si="9"/>
        <v>trees_CLUSTER06.csv</v>
      </c>
      <c r="X22" s="16" t="str">
        <f t="shared" si="10"/>
        <v>saplings_CLUSTER06.csv</v>
      </c>
      <c r="Y22" s="16">
        <f t="shared" si="11"/>
        <v>350</v>
      </c>
      <c r="Z22" s="16" t="str">
        <f t="shared" si="12"/>
        <v>abe/no_mgmt.csv</v>
      </c>
      <c r="AA22" s="16" t="str">
        <f t="shared" si="13"/>
        <v>gis/WindModifier_cl6.asc</v>
      </c>
      <c r="AB22" s="16">
        <f t="shared" si="14"/>
        <v>6.8500009999999999E-4</v>
      </c>
      <c r="AC22" s="16" t="str">
        <f t="shared" si="15"/>
        <v>ICHEC-EC-EARTH_historical_point29731</v>
      </c>
      <c r="AD22" s="16" t="str">
        <f t="shared" si="16"/>
        <v>wind_Events/Scaled_cl6_repl1.txt</v>
      </c>
      <c r="AE22" s="16" t="str">
        <f t="shared" si="17"/>
        <v>ICHEC-EC-EARTH_Scaled_Cluster6_repl1</v>
      </c>
      <c r="AF22" s="21" t="s">
        <v>338</v>
      </c>
      <c r="AG22" s="21" t="s">
        <v>339</v>
      </c>
    </row>
    <row r="23" spans="1:33" ht="13.8">
      <c r="A23" s="7" t="str">
        <f t="shared" si="0"/>
        <v>ICHEC-EC-EARTH_Scaled_Cluster6_repl2</v>
      </c>
      <c r="B23" s="8" t="s">
        <v>16</v>
      </c>
      <c r="C23" s="8" t="s">
        <v>54</v>
      </c>
      <c r="D23" s="9" t="s">
        <v>17</v>
      </c>
      <c r="E23" s="9" t="str">
        <f t="shared" si="1"/>
        <v>historical</v>
      </c>
      <c r="F23" s="8">
        <v>350</v>
      </c>
      <c r="G23" s="8" t="s">
        <v>18</v>
      </c>
      <c r="H23" s="8">
        <v>1</v>
      </c>
      <c r="I23" s="19">
        <v>6.8499999999999995E-4</v>
      </c>
      <c r="J23" s="8">
        <v>6</v>
      </c>
      <c r="K23" s="8" t="s">
        <v>161</v>
      </c>
      <c r="L23" s="8">
        <v>2</v>
      </c>
      <c r="M23" s="8">
        <v>1</v>
      </c>
      <c r="N23" s="10" t="s">
        <v>21</v>
      </c>
      <c r="O23" s="17" t="s">
        <v>328</v>
      </c>
      <c r="P23" s="10" t="str">
        <f t="shared" si="2"/>
        <v>ICHEC-EC-EARTH_Scaled_Cluster6_repl2.sqlite</v>
      </c>
      <c r="Q23" s="11">
        <f t="shared" si="3"/>
        <v>4</v>
      </c>
      <c r="R23" s="16" t="str">
        <f t="shared" si="4"/>
        <v>climate_db_ICHEC-EC-EARTH_historical_v4.sqlite</v>
      </c>
      <c r="S23" s="16" t="str">
        <f t="shared" si="5"/>
        <v>log/ICHEC-EC-EARTH_Scaled_Cluster6_repl2.txt</v>
      </c>
      <c r="T23" s="16" t="str">
        <f t="shared" si="6"/>
        <v>init/env_file_CLUSTER06_REPL2_ICHEC-EC-EARTH_historical.csv</v>
      </c>
      <c r="U23" s="16" t="str">
        <f t="shared" si="7"/>
        <v>init/env_grid_CLUSTER06_REPL2.asc</v>
      </c>
      <c r="V23" s="16" t="str">
        <f t="shared" si="8"/>
        <v>init/env_grid_CLUSTER06_REPL2.asc</v>
      </c>
      <c r="W23" s="16" t="str">
        <f t="shared" si="9"/>
        <v>trees_CLUSTER06.csv</v>
      </c>
      <c r="X23" s="16" t="str">
        <f t="shared" si="10"/>
        <v>saplings_CLUSTER06.csv</v>
      </c>
      <c r="Y23" s="16">
        <f t="shared" si="11"/>
        <v>350</v>
      </c>
      <c r="Z23" s="16" t="str">
        <f t="shared" si="12"/>
        <v>abe/no_mgmt.csv</v>
      </c>
      <c r="AA23" s="16" t="str">
        <f t="shared" si="13"/>
        <v>gis/WindModifier_cl6.asc</v>
      </c>
      <c r="AB23" s="16">
        <f t="shared" si="14"/>
        <v>6.8500009999999999E-4</v>
      </c>
      <c r="AC23" s="16" t="str">
        <f t="shared" si="15"/>
        <v>ICHEC-EC-EARTH_historical_point29731</v>
      </c>
      <c r="AD23" s="16" t="str">
        <f t="shared" si="16"/>
        <v>wind_Events/Scaled_cl6_repl2.txt</v>
      </c>
      <c r="AE23" s="16" t="str">
        <f t="shared" si="17"/>
        <v>ICHEC-EC-EARTH_Scaled_Cluster6_repl2</v>
      </c>
      <c r="AF23" s="21" t="s">
        <v>462</v>
      </c>
      <c r="AG23" s="21" t="s">
        <v>463</v>
      </c>
    </row>
    <row r="24" spans="1:33" ht="13.8">
      <c r="A24" s="7" t="str">
        <f t="shared" si="0"/>
        <v>ICHEC-EC-EARTH_Scaled_Cluster6_repl3</v>
      </c>
      <c r="B24" s="8" t="s">
        <v>16</v>
      </c>
      <c r="C24" s="8" t="s">
        <v>54</v>
      </c>
      <c r="D24" s="9" t="s">
        <v>17</v>
      </c>
      <c r="E24" s="9" t="str">
        <f t="shared" si="1"/>
        <v>historical</v>
      </c>
      <c r="F24" s="8">
        <v>350</v>
      </c>
      <c r="G24" s="8" t="s">
        <v>18</v>
      </c>
      <c r="H24" s="8">
        <v>1</v>
      </c>
      <c r="I24" s="19">
        <v>6.8499999999999995E-4</v>
      </c>
      <c r="J24" s="8">
        <v>6</v>
      </c>
      <c r="K24" s="8" t="s">
        <v>161</v>
      </c>
      <c r="L24" s="8">
        <v>3</v>
      </c>
      <c r="M24" s="8">
        <v>1</v>
      </c>
      <c r="N24" s="10" t="s">
        <v>21</v>
      </c>
      <c r="O24" s="17" t="s">
        <v>328</v>
      </c>
      <c r="P24" s="10" t="str">
        <f t="shared" si="2"/>
        <v>ICHEC-EC-EARTH_Scaled_Cluster6_repl3.sqlite</v>
      </c>
      <c r="Q24" s="11">
        <f t="shared" si="3"/>
        <v>7</v>
      </c>
      <c r="R24" s="16" t="str">
        <f t="shared" si="4"/>
        <v>climate_db_ICHEC-EC-EARTH_historical_v4.sqlite</v>
      </c>
      <c r="S24" s="16" t="str">
        <f t="shared" si="5"/>
        <v>log/ICHEC-EC-EARTH_Scaled_Cluster6_repl3.txt</v>
      </c>
      <c r="T24" s="16" t="str">
        <f t="shared" si="6"/>
        <v>init/env_file_CLUSTER06_REPL3_ICHEC-EC-EARTH_historical.csv</v>
      </c>
      <c r="U24" s="16" t="str">
        <f t="shared" si="7"/>
        <v>init/env_grid_CLUSTER06_REPL3.asc</v>
      </c>
      <c r="V24" s="16" t="str">
        <f t="shared" si="8"/>
        <v>init/env_grid_CLUSTER06_REPL3.asc</v>
      </c>
      <c r="W24" s="16" t="str">
        <f t="shared" si="9"/>
        <v>trees_CLUSTER06.csv</v>
      </c>
      <c r="X24" s="16" t="str">
        <f t="shared" si="10"/>
        <v>saplings_CLUSTER06.csv</v>
      </c>
      <c r="Y24" s="16">
        <f t="shared" si="11"/>
        <v>350</v>
      </c>
      <c r="Z24" s="16" t="str">
        <f t="shared" si="12"/>
        <v>abe/no_mgmt.csv</v>
      </c>
      <c r="AA24" s="16" t="str">
        <f t="shared" si="13"/>
        <v>gis/WindModifier_cl6.asc</v>
      </c>
      <c r="AB24" s="16">
        <f t="shared" si="14"/>
        <v>6.8500009999999999E-4</v>
      </c>
      <c r="AC24" s="16" t="str">
        <f t="shared" si="15"/>
        <v>ICHEC-EC-EARTH_historical_point29731</v>
      </c>
      <c r="AD24" s="16" t="str">
        <f t="shared" si="16"/>
        <v>wind_Events/Scaled_cl6_repl3.txt</v>
      </c>
      <c r="AE24" s="16" t="str">
        <f t="shared" si="17"/>
        <v>ICHEC-EC-EARTH_Scaled_Cluster6_repl3</v>
      </c>
      <c r="AF24" s="21" t="s">
        <v>464</v>
      </c>
      <c r="AG24" s="21" t="s">
        <v>465</v>
      </c>
    </row>
    <row r="25" spans="1:33" ht="13.8">
      <c r="A25" s="7" t="str">
        <f t="shared" si="0"/>
        <v>ICHEC-EC-EARTH_Scaled_Cluster6_repl4</v>
      </c>
      <c r="B25" s="8" t="s">
        <v>16</v>
      </c>
      <c r="C25" s="8" t="s">
        <v>54</v>
      </c>
      <c r="D25" s="9" t="s">
        <v>17</v>
      </c>
      <c r="E25" s="9" t="str">
        <f t="shared" si="1"/>
        <v>historical</v>
      </c>
      <c r="F25" s="8">
        <v>350</v>
      </c>
      <c r="G25" s="8" t="s">
        <v>18</v>
      </c>
      <c r="H25" s="8">
        <v>1</v>
      </c>
      <c r="I25" s="19">
        <v>6.8499999999999995E-4</v>
      </c>
      <c r="J25" s="8">
        <v>6</v>
      </c>
      <c r="K25" s="8" t="s">
        <v>161</v>
      </c>
      <c r="L25" s="8">
        <v>4</v>
      </c>
      <c r="M25" s="8">
        <v>1</v>
      </c>
      <c r="N25" s="10" t="s">
        <v>21</v>
      </c>
      <c r="O25" s="17" t="s">
        <v>328</v>
      </c>
      <c r="P25" s="10" t="str">
        <f t="shared" si="2"/>
        <v>ICHEC-EC-EARTH_Scaled_Cluster6_repl4.sqlite</v>
      </c>
      <c r="Q25" s="11">
        <f t="shared" si="3"/>
        <v>10</v>
      </c>
      <c r="R25" s="16" t="str">
        <f t="shared" si="4"/>
        <v>climate_db_ICHEC-EC-EARTH_historical_v4.sqlite</v>
      </c>
      <c r="S25" s="16" t="str">
        <f t="shared" si="5"/>
        <v>log/ICHEC-EC-EARTH_Scaled_Cluster6_repl4.txt</v>
      </c>
      <c r="T25" s="16" t="str">
        <f t="shared" si="6"/>
        <v>init/env_file_CLUSTER06_REPL4_ICHEC-EC-EARTH_historical.csv</v>
      </c>
      <c r="U25" s="16" t="str">
        <f t="shared" si="7"/>
        <v>init/env_grid_CLUSTER06_REPL4.asc</v>
      </c>
      <c r="V25" s="16" t="str">
        <f t="shared" si="8"/>
        <v>init/env_grid_CLUSTER06_REPL4.asc</v>
      </c>
      <c r="W25" s="16" t="str">
        <f t="shared" si="9"/>
        <v>trees_CLUSTER06.csv</v>
      </c>
      <c r="X25" s="16" t="str">
        <f t="shared" si="10"/>
        <v>saplings_CLUSTER06.csv</v>
      </c>
      <c r="Y25" s="16">
        <f t="shared" si="11"/>
        <v>350</v>
      </c>
      <c r="Z25" s="16" t="str">
        <f t="shared" si="12"/>
        <v>abe/no_mgmt.csv</v>
      </c>
      <c r="AA25" s="16" t="str">
        <f t="shared" si="13"/>
        <v>gis/WindModifier_cl6.asc</v>
      </c>
      <c r="AB25" s="16">
        <f t="shared" si="14"/>
        <v>6.8500009999999999E-4</v>
      </c>
      <c r="AC25" s="16" t="str">
        <f t="shared" si="15"/>
        <v>ICHEC-EC-EARTH_historical_point29731</v>
      </c>
      <c r="AD25" s="16" t="str">
        <f t="shared" si="16"/>
        <v>wind_Events/Scaled_cl6_repl4.txt</v>
      </c>
      <c r="AE25" s="16" t="str">
        <f t="shared" si="17"/>
        <v>ICHEC-EC-EARTH_Scaled_Cluster6_repl4</v>
      </c>
      <c r="AF25" s="21" t="s">
        <v>466</v>
      </c>
      <c r="AG25" s="21" t="s">
        <v>467</v>
      </c>
    </row>
    <row r="26" spans="1:33" ht="13.8">
      <c r="A26" s="7" t="str">
        <f t="shared" si="0"/>
        <v>ICHEC-EC-EARTH_Scaled_Cluster6_repl5</v>
      </c>
      <c r="B26" s="8" t="s">
        <v>16</v>
      </c>
      <c r="C26" s="8" t="s">
        <v>54</v>
      </c>
      <c r="D26" s="9" t="s">
        <v>17</v>
      </c>
      <c r="E26" s="9" t="str">
        <f t="shared" si="1"/>
        <v>historical</v>
      </c>
      <c r="F26" s="8">
        <v>350</v>
      </c>
      <c r="G26" s="8" t="s">
        <v>18</v>
      </c>
      <c r="H26" s="8">
        <v>1</v>
      </c>
      <c r="I26" s="19">
        <v>6.8499999999999995E-4</v>
      </c>
      <c r="J26" s="8">
        <v>6</v>
      </c>
      <c r="K26" s="8" t="s">
        <v>161</v>
      </c>
      <c r="L26" s="8">
        <v>5</v>
      </c>
      <c r="M26" s="8">
        <v>1</v>
      </c>
      <c r="N26" s="10" t="s">
        <v>21</v>
      </c>
      <c r="O26" s="17" t="s">
        <v>328</v>
      </c>
      <c r="P26" s="10" t="str">
        <f t="shared" si="2"/>
        <v>ICHEC-EC-EARTH_Scaled_Cluster6_repl5.sqlite</v>
      </c>
      <c r="Q26" s="11">
        <f t="shared" si="3"/>
        <v>13</v>
      </c>
      <c r="R26" s="16" t="str">
        <f t="shared" si="4"/>
        <v>climate_db_ICHEC-EC-EARTH_historical_v4.sqlite</v>
      </c>
      <c r="S26" s="16" t="str">
        <f t="shared" si="5"/>
        <v>log/ICHEC-EC-EARTH_Scaled_Cluster6_repl5.txt</v>
      </c>
      <c r="T26" s="16" t="str">
        <f t="shared" si="6"/>
        <v>init/env_file_CLUSTER06_REPL5_ICHEC-EC-EARTH_historical.csv</v>
      </c>
      <c r="U26" s="16" t="str">
        <f t="shared" si="7"/>
        <v>init/env_grid_CLUSTER06_REPL5.asc</v>
      </c>
      <c r="V26" s="16" t="str">
        <f t="shared" si="8"/>
        <v>init/env_grid_CLUSTER06_REPL5.asc</v>
      </c>
      <c r="W26" s="16" t="str">
        <f t="shared" si="9"/>
        <v>trees_CLUSTER06.csv</v>
      </c>
      <c r="X26" s="16" t="str">
        <f t="shared" si="10"/>
        <v>saplings_CLUSTER06.csv</v>
      </c>
      <c r="Y26" s="16">
        <f t="shared" si="11"/>
        <v>350</v>
      </c>
      <c r="Z26" s="16" t="str">
        <f t="shared" si="12"/>
        <v>abe/no_mgmt.csv</v>
      </c>
      <c r="AA26" s="16" t="str">
        <f t="shared" si="13"/>
        <v>gis/WindModifier_cl6.asc</v>
      </c>
      <c r="AB26" s="16">
        <f t="shared" si="14"/>
        <v>6.8500009999999999E-4</v>
      </c>
      <c r="AC26" s="16" t="str">
        <f t="shared" si="15"/>
        <v>ICHEC-EC-EARTH_historical_point29731</v>
      </c>
      <c r="AD26" s="16" t="str">
        <f t="shared" si="16"/>
        <v>wind_Events/Scaled_cl6_repl5.txt</v>
      </c>
      <c r="AE26" s="16" t="str">
        <f t="shared" si="17"/>
        <v>ICHEC-EC-EARTH_Scaled_Cluster6_repl5</v>
      </c>
      <c r="AF26" s="21" t="s">
        <v>468</v>
      </c>
      <c r="AG26" s="21" t="s">
        <v>469</v>
      </c>
    </row>
    <row r="27" spans="1:33" ht="13.8">
      <c r="A27" s="7" t="str">
        <f t="shared" si="0"/>
        <v>ICHEC-EC-EARTH_Scaled_Cluster7_repl1</v>
      </c>
      <c r="B27" s="8" t="s">
        <v>16</v>
      </c>
      <c r="C27" s="8" t="s">
        <v>54</v>
      </c>
      <c r="D27" s="9" t="s">
        <v>17</v>
      </c>
      <c r="E27" s="9" t="str">
        <f t="shared" si="1"/>
        <v>historical</v>
      </c>
      <c r="F27" s="8">
        <v>350</v>
      </c>
      <c r="G27" s="8" t="s">
        <v>18</v>
      </c>
      <c r="H27" s="8">
        <v>1</v>
      </c>
      <c r="I27" s="19">
        <v>6.8499999999999995E-4</v>
      </c>
      <c r="J27" s="8">
        <v>7</v>
      </c>
      <c r="K27" s="8" t="s">
        <v>162</v>
      </c>
      <c r="L27" s="8">
        <v>1</v>
      </c>
      <c r="M27" s="8">
        <v>1</v>
      </c>
      <c r="N27" s="10" t="s">
        <v>21</v>
      </c>
      <c r="O27" s="17" t="s">
        <v>328</v>
      </c>
      <c r="P27" s="10" t="str">
        <f t="shared" si="2"/>
        <v>ICHEC-EC-EARTH_Scaled_Cluster7_repl1.sqlite</v>
      </c>
      <c r="Q27" s="11">
        <f t="shared" si="3"/>
        <v>1</v>
      </c>
      <c r="R27" s="16" t="str">
        <f t="shared" si="4"/>
        <v>climate_db_ICHEC-EC-EARTH_historical_v4.sqlite</v>
      </c>
      <c r="S27" s="16" t="str">
        <f t="shared" si="5"/>
        <v>log/ICHEC-EC-EARTH_Scaled_Cluster7_repl1.txt</v>
      </c>
      <c r="T27" s="16" t="str">
        <f t="shared" si="6"/>
        <v>init/env_file_CLUSTER07_REPL1_ICHEC-EC-EARTH_historical.csv</v>
      </c>
      <c r="U27" s="16" t="str">
        <f t="shared" si="7"/>
        <v>init/env_grid_CLUSTER07_REPL1.asc</v>
      </c>
      <c r="V27" s="16" t="str">
        <f t="shared" si="8"/>
        <v>init/env_grid_CLUSTER07_REPL1.asc</v>
      </c>
      <c r="W27" s="16" t="str">
        <f t="shared" si="9"/>
        <v>trees_CLUSTER07.csv</v>
      </c>
      <c r="X27" s="16" t="str">
        <f t="shared" si="10"/>
        <v>saplings_CLUSTER07.csv</v>
      </c>
      <c r="Y27" s="16">
        <f t="shared" si="11"/>
        <v>350</v>
      </c>
      <c r="Z27" s="16" t="str">
        <f t="shared" si="12"/>
        <v>abe/no_mgmt.csv</v>
      </c>
      <c r="AA27" s="16" t="str">
        <f t="shared" si="13"/>
        <v>gis/WindModifier_cl7.asc</v>
      </c>
      <c r="AB27" s="16">
        <f t="shared" si="14"/>
        <v>6.8500009999999999E-4</v>
      </c>
      <c r="AC27" s="16" t="str">
        <f t="shared" si="15"/>
        <v>ICHEC-EC-EARTH_historical_point26530</v>
      </c>
      <c r="AD27" s="16" t="str">
        <f t="shared" si="16"/>
        <v>wind_Events/Scaled_cl7_repl1.txt</v>
      </c>
      <c r="AE27" s="16" t="str">
        <f t="shared" si="17"/>
        <v>ICHEC-EC-EARTH_Scaled_Cluster7_repl1</v>
      </c>
      <c r="AF27" s="21" t="s">
        <v>340</v>
      </c>
      <c r="AG27" s="21" t="s">
        <v>112</v>
      </c>
    </row>
    <row r="28" spans="1:33" ht="13.8">
      <c r="A28" s="7" t="str">
        <f t="shared" si="0"/>
        <v>ICHEC-EC-EARTH_Scaled_Cluster7_repl2</v>
      </c>
      <c r="B28" s="8" t="s">
        <v>16</v>
      </c>
      <c r="C28" s="8" t="s">
        <v>54</v>
      </c>
      <c r="D28" s="9" t="s">
        <v>17</v>
      </c>
      <c r="E28" s="9" t="str">
        <f t="shared" si="1"/>
        <v>historical</v>
      </c>
      <c r="F28" s="8">
        <v>350</v>
      </c>
      <c r="G28" s="8" t="s">
        <v>18</v>
      </c>
      <c r="H28" s="8">
        <v>1</v>
      </c>
      <c r="I28" s="19">
        <v>6.8499999999999995E-4</v>
      </c>
      <c r="J28" s="8">
        <v>7</v>
      </c>
      <c r="K28" s="8" t="s">
        <v>162</v>
      </c>
      <c r="L28" s="8">
        <v>2</v>
      </c>
      <c r="M28" s="8">
        <v>1</v>
      </c>
      <c r="N28" s="10" t="s">
        <v>21</v>
      </c>
      <c r="O28" s="17" t="s">
        <v>328</v>
      </c>
      <c r="P28" s="10" t="str">
        <f t="shared" si="2"/>
        <v>ICHEC-EC-EARTH_Scaled_Cluster7_repl2.sqlite</v>
      </c>
      <c r="Q28" s="11">
        <f t="shared" si="3"/>
        <v>4</v>
      </c>
      <c r="R28" s="16" t="str">
        <f t="shared" si="4"/>
        <v>climate_db_ICHEC-EC-EARTH_historical_v4.sqlite</v>
      </c>
      <c r="S28" s="16" t="str">
        <f t="shared" si="5"/>
        <v>log/ICHEC-EC-EARTH_Scaled_Cluster7_repl2.txt</v>
      </c>
      <c r="T28" s="16" t="str">
        <f t="shared" si="6"/>
        <v>init/env_file_CLUSTER07_REPL2_ICHEC-EC-EARTH_historical.csv</v>
      </c>
      <c r="U28" s="16" t="str">
        <f t="shared" si="7"/>
        <v>init/env_grid_CLUSTER07_REPL2.asc</v>
      </c>
      <c r="V28" s="16" t="str">
        <f t="shared" si="8"/>
        <v>init/env_grid_CLUSTER07_REPL2.asc</v>
      </c>
      <c r="W28" s="16" t="str">
        <f t="shared" si="9"/>
        <v>trees_CLUSTER07.csv</v>
      </c>
      <c r="X28" s="16" t="str">
        <f t="shared" si="10"/>
        <v>saplings_CLUSTER07.csv</v>
      </c>
      <c r="Y28" s="16">
        <f t="shared" si="11"/>
        <v>350</v>
      </c>
      <c r="Z28" s="16" t="str">
        <f t="shared" si="12"/>
        <v>abe/no_mgmt.csv</v>
      </c>
      <c r="AA28" s="16" t="str">
        <f t="shared" si="13"/>
        <v>gis/WindModifier_cl7.asc</v>
      </c>
      <c r="AB28" s="16">
        <f t="shared" si="14"/>
        <v>6.8500009999999999E-4</v>
      </c>
      <c r="AC28" s="16" t="str">
        <f t="shared" si="15"/>
        <v>ICHEC-EC-EARTH_historical_point26530</v>
      </c>
      <c r="AD28" s="16" t="str">
        <f t="shared" si="16"/>
        <v>wind_Events/Scaled_cl7_repl2.txt</v>
      </c>
      <c r="AE28" s="16" t="str">
        <f t="shared" si="17"/>
        <v>ICHEC-EC-EARTH_Scaled_Cluster7_repl2</v>
      </c>
      <c r="AF28" s="21" t="s">
        <v>470</v>
      </c>
      <c r="AG28" s="21" t="s">
        <v>471</v>
      </c>
    </row>
    <row r="29" spans="1:33" ht="13.8">
      <c r="A29" s="7" t="str">
        <f t="shared" si="0"/>
        <v>ICHEC-EC-EARTH_Scaled_Cluster7_repl3</v>
      </c>
      <c r="B29" s="8" t="s">
        <v>16</v>
      </c>
      <c r="C29" s="8" t="s">
        <v>54</v>
      </c>
      <c r="D29" s="9" t="s">
        <v>17</v>
      </c>
      <c r="E29" s="9" t="str">
        <f t="shared" si="1"/>
        <v>historical</v>
      </c>
      <c r="F29" s="8">
        <v>350</v>
      </c>
      <c r="G29" s="8" t="s">
        <v>18</v>
      </c>
      <c r="H29" s="8">
        <v>1</v>
      </c>
      <c r="I29" s="19">
        <v>6.8499999999999995E-4</v>
      </c>
      <c r="J29" s="8">
        <v>7</v>
      </c>
      <c r="K29" s="8" t="s">
        <v>162</v>
      </c>
      <c r="L29" s="8">
        <v>3</v>
      </c>
      <c r="M29" s="8">
        <v>1</v>
      </c>
      <c r="N29" s="10" t="s">
        <v>21</v>
      </c>
      <c r="O29" s="17" t="s">
        <v>328</v>
      </c>
      <c r="P29" s="10" t="str">
        <f t="shared" si="2"/>
        <v>ICHEC-EC-EARTH_Scaled_Cluster7_repl3.sqlite</v>
      </c>
      <c r="Q29" s="11">
        <f t="shared" si="3"/>
        <v>7</v>
      </c>
      <c r="R29" s="16" t="str">
        <f t="shared" si="4"/>
        <v>climate_db_ICHEC-EC-EARTH_historical_v4.sqlite</v>
      </c>
      <c r="S29" s="16" t="str">
        <f t="shared" si="5"/>
        <v>log/ICHEC-EC-EARTH_Scaled_Cluster7_repl3.txt</v>
      </c>
      <c r="T29" s="16" t="str">
        <f t="shared" si="6"/>
        <v>init/env_file_CLUSTER07_REPL3_ICHEC-EC-EARTH_historical.csv</v>
      </c>
      <c r="U29" s="16" t="str">
        <f t="shared" si="7"/>
        <v>init/env_grid_CLUSTER07_REPL3.asc</v>
      </c>
      <c r="V29" s="16" t="str">
        <f t="shared" si="8"/>
        <v>init/env_grid_CLUSTER07_REPL3.asc</v>
      </c>
      <c r="W29" s="16" t="str">
        <f t="shared" si="9"/>
        <v>trees_CLUSTER07.csv</v>
      </c>
      <c r="X29" s="16" t="str">
        <f t="shared" si="10"/>
        <v>saplings_CLUSTER07.csv</v>
      </c>
      <c r="Y29" s="16">
        <f t="shared" si="11"/>
        <v>350</v>
      </c>
      <c r="Z29" s="16" t="str">
        <f t="shared" si="12"/>
        <v>abe/no_mgmt.csv</v>
      </c>
      <c r="AA29" s="16" t="str">
        <f t="shared" si="13"/>
        <v>gis/WindModifier_cl7.asc</v>
      </c>
      <c r="AB29" s="16">
        <f t="shared" si="14"/>
        <v>6.8500009999999999E-4</v>
      </c>
      <c r="AC29" s="16" t="str">
        <f t="shared" si="15"/>
        <v>ICHEC-EC-EARTH_historical_point26530</v>
      </c>
      <c r="AD29" s="16" t="str">
        <f t="shared" si="16"/>
        <v>wind_Events/Scaled_cl7_repl3.txt</v>
      </c>
      <c r="AE29" s="16" t="str">
        <f t="shared" si="17"/>
        <v>ICHEC-EC-EARTH_Scaled_Cluster7_repl3</v>
      </c>
      <c r="AF29" s="21" t="s">
        <v>472</v>
      </c>
      <c r="AG29" s="21" t="s">
        <v>473</v>
      </c>
    </row>
    <row r="30" spans="1:33" ht="13.8">
      <c r="A30" s="7" t="str">
        <f t="shared" si="0"/>
        <v>ICHEC-EC-EARTH_Scaled_Cluster7_repl4</v>
      </c>
      <c r="B30" s="8" t="s">
        <v>16</v>
      </c>
      <c r="C30" s="8" t="s">
        <v>54</v>
      </c>
      <c r="D30" s="9" t="s">
        <v>17</v>
      </c>
      <c r="E30" s="9" t="str">
        <f t="shared" si="1"/>
        <v>historical</v>
      </c>
      <c r="F30" s="8">
        <v>350</v>
      </c>
      <c r="G30" s="8" t="s">
        <v>18</v>
      </c>
      <c r="H30" s="8">
        <v>1</v>
      </c>
      <c r="I30" s="19">
        <v>6.8499999999999995E-4</v>
      </c>
      <c r="J30" s="8">
        <v>7</v>
      </c>
      <c r="K30" s="8" t="s">
        <v>162</v>
      </c>
      <c r="L30" s="8">
        <v>4</v>
      </c>
      <c r="M30" s="8">
        <v>1</v>
      </c>
      <c r="N30" s="10" t="s">
        <v>21</v>
      </c>
      <c r="O30" s="17" t="s">
        <v>328</v>
      </c>
      <c r="P30" s="10" t="str">
        <f t="shared" si="2"/>
        <v>ICHEC-EC-EARTH_Scaled_Cluster7_repl4.sqlite</v>
      </c>
      <c r="Q30" s="11">
        <f t="shared" si="3"/>
        <v>10</v>
      </c>
      <c r="R30" s="16" t="str">
        <f t="shared" si="4"/>
        <v>climate_db_ICHEC-EC-EARTH_historical_v4.sqlite</v>
      </c>
      <c r="S30" s="16" t="str">
        <f t="shared" si="5"/>
        <v>log/ICHEC-EC-EARTH_Scaled_Cluster7_repl4.txt</v>
      </c>
      <c r="T30" s="16" t="str">
        <f t="shared" si="6"/>
        <v>init/env_file_CLUSTER07_REPL4_ICHEC-EC-EARTH_historical.csv</v>
      </c>
      <c r="U30" s="16" t="str">
        <f t="shared" si="7"/>
        <v>init/env_grid_CLUSTER07_REPL4.asc</v>
      </c>
      <c r="V30" s="16" t="str">
        <f t="shared" si="8"/>
        <v>init/env_grid_CLUSTER07_REPL4.asc</v>
      </c>
      <c r="W30" s="16" t="str">
        <f t="shared" si="9"/>
        <v>trees_CLUSTER07.csv</v>
      </c>
      <c r="X30" s="16" t="str">
        <f t="shared" si="10"/>
        <v>saplings_CLUSTER07.csv</v>
      </c>
      <c r="Y30" s="16">
        <f t="shared" si="11"/>
        <v>350</v>
      </c>
      <c r="Z30" s="16" t="str">
        <f t="shared" si="12"/>
        <v>abe/no_mgmt.csv</v>
      </c>
      <c r="AA30" s="16" t="str">
        <f t="shared" si="13"/>
        <v>gis/WindModifier_cl7.asc</v>
      </c>
      <c r="AB30" s="16">
        <f t="shared" si="14"/>
        <v>6.8500009999999999E-4</v>
      </c>
      <c r="AC30" s="16" t="str">
        <f t="shared" si="15"/>
        <v>ICHEC-EC-EARTH_historical_point26530</v>
      </c>
      <c r="AD30" s="16" t="str">
        <f t="shared" si="16"/>
        <v>wind_Events/Scaled_cl7_repl4.txt</v>
      </c>
      <c r="AE30" s="16" t="str">
        <f t="shared" si="17"/>
        <v>ICHEC-EC-EARTH_Scaled_Cluster7_repl4</v>
      </c>
      <c r="AF30" s="21" t="s">
        <v>474</v>
      </c>
      <c r="AG30" s="21" t="s">
        <v>475</v>
      </c>
    </row>
    <row r="31" spans="1:33" ht="13.8">
      <c r="A31" s="7" t="str">
        <f t="shared" si="0"/>
        <v>ICHEC-EC-EARTH_Scaled_Cluster7_repl5</v>
      </c>
      <c r="B31" s="8" t="s">
        <v>16</v>
      </c>
      <c r="C31" s="8" t="s">
        <v>54</v>
      </c>
      <c r="D31" s="9" t="s">
        <v>17</v>
      </c>
      <c r="E31" s="9" t="str">
        <f t="shared" si="1"/>
        <v>historical</v>
      </c>
      <c r="F31" s="8">
        <v>350</v>
      </c>
      <c r="G31" s="8" t="s">
        <v>18</v>
      </c>
      <c r="H31" s="8">
        <v>1</v>
      </c>
      <c r="I31" s="19">
        <v>6.8499999999999995E-4</v>
      </c>
      <c r="J31" s="8">
        <v>7</v>
      </c>
      <c r="K31" s="8" t="s">
        <v>162</v>
      </c>
      <c r="L31" s="8">
        <v>5</v>
      </c>
      <c r="M31" s="8">
        <v>1</v>
      </c>
      <c r="N31" s="10" t="s">
        <v>21</v>
      </c>
      <c r="O31" s="17" t="s">
        <v>328</v>
      </c>
      <c r="P31" s="10" t="str">
        <f t="shared" si="2"/>
        <v>ICHEC-EC-EARTH_Scaled_Cluster7_repl5.sqlite</v>
      </c>
      <c r="Q31" s="11">
        <f t="shared" si="3"/>
        <v>13</v>
      </c>
      <c r="R31" s="16" t="str">
        <f t="shared" si="4"/>
        <v>climate_db_ICHEC-EC-EARTH_historical_v4.sqlite</v>
      </c>
      <c r="S31" s="16" t="str">
        <f t="shared" si="5"/>
        <v>log/ICHEC-EC-EARTH_Scaled_Cluster7_repl5.txt</v>
      </c>
      <c r="T31" s="16" t="str">
        <f t="shared" si="6"/>
        <v>init/env_file_CLUSTER07_REPL5_ICHEC-EC-EARTH_historical.csv</v>
      </c>
      <c r="U31" s="16" t="str">
        <f t="shared" si="7"/>
        <v>init/env_grid_CLUSTER07_REPL5.asc</v>
      </c>
      <c r="V31" s="16" t="str">
        <f t="shared" si="8"/>
        <v>init/env_grid_CLUSTER07_REPL5.asc</v>
      </c>
      <c r="W31" s="16" t="str">
        <f t="shared" si="9"/>
        <v>trees_CLUSTER07.csv</v>
      </c>
      <c r="X31" s="16" t="str">
        <f t="shared" si="10"/>
        <v>saplings_CLUSTER07.csv</v>
      </c>
      <c r="Y31" s="16">
        <f t="shared" si="11"/>
        <v>350</v>
      </c>
      <c r="Z31" s="16" t="str">
        <f t="shared" si="12"/>
        <v>abe/no_mgmt.csv</v>
      </c>
      <c r="AA31" s="16" t="str">
        <f t="shared" si="13"/>
        <v>gis/WindModifier_cl7.asc</v>
      </c>
      <c r="AB31" s="16">
        <f t="shared" si="14"/>
        <v>6.8500009999999999E-4</v>
      </c>
      <c r="AC31" s="16" t="str">
        <f t="shared" si="15"/>
        <v>ICHEC-EC-EARTH_historical_point26530</v>
      </c>
      <c r="AD31" s="16" t="str">
        <f t="shared" si="16"/>
        <v>wind_Events/Scaled_cl7_repl5.txt</v>
      </c>
      <c r="AE31" s="16" t="str">
        <f t="shared" si="17"/>
        <v>ICHEC-EC-EARTH_Scaled_Cluster7_repl5</v>
      </c>
      <c r="AF31" s="21" t="s">
        <v>476</v>
      </c>
      <c r="AG31" s="21" t="s">
        <v>477</v>
      </c>
    </row>
    <row r="32" spans="1:33" ht="13.8">
      <c r="A32" s="7" t="str">
        <f t="shared" si="0"/>
        <v>ICHEC-EC-EARTH_Scaled_Cluster8_repl1</v>
      </c>
      <c r="B32" s="8" t="s">
        <v>16</v>
      </c>
      <c r="C32" s="8" t="s">
        <v>54</v>
      </c>
      <c r="D32" s="9" t="s">
        <v>17</v>
      </c>
      <c r="E32" s="9" t="str">
        <f t="shared" si="1"/>
        <v>historical</v>
      </c>
      <c r="F32" s="8">
        <v>350</v>
      </c>
      <c r="G32" s="8" t="s">
        <v>18</v>
      </c>
      <c r="H32" s="8">
        <v>1</v>
      </c>
      <c r="I32" s="19">
        <v>6.8499999999999995E-4</v>
      </c>
      <c r="J32" s="8">
        <v>8</v>
      </c>
      <c r="K32" s="8" t="s">
        <v>163</v>
      </c>
      <c r="L32" s="8">
        <v>1</v>
      </c>
      <c r="M32" s="8">
        <v>1</v>
      </c>
      <c r="N32" s="10" t="s">
        <v>21</v>
      </c>
      <c r="O32" s="17" t="s">
        <v>328</v>
      </c>
      <c r="P32" s="10" t="str">
        <f t="shared" si="2"/>
        <v>ICHEC-EC-EARTH_Scaled_Cluster8_repl1.sqlite</v>
      </c>
      <c r="Q32" s="11">
        <f t="shared" si="3"/>
        <v>1</v>
      </c>
      <c r="R32" s="16" t="str">
        <f t="shared" si="4"/>
        <v>climate_db_ICHEC-EC-EARTH_historical_v4.sqlite</v>
      </c>
      <c r="S32" s="16" t="str">
        <f t="shared" si="5"/>
        <v>log/ICHEC-EC-EARTH_Scaled_Cluster8_repl1.txt</v>
      </c>
      <c r="T32" s="16" t="str">
        <f t="shared" si="6"/>
        <v>init/env_file_CLUSTER08_REPL1_ICHEC-EC-EARTH_historical.csv</v>
      </c>
      <c r="U32" s="16" t="str">
        <f t="shared" si="7"/>
        <v>init/env_grid_CLUSTER08_REPL1.asc</v>
      </c>
      <c r="V32" s="16" t="str">
        <f t="shared" si="8"/>
        <v>init/env_grid_CLUSTER08_REPL1.asc</v>
      </c>
      <c r="W32" s="16" t="str">
        <f t="shared" si="9"/>
        <v>trees_CLUSTER08.csv</v>
      </c>
      <c r="X32" s="16" t="str">
        <f t="shared" si="10"/>
        <v>saplings_CLUSTER08.csv</v>
      </c>
      <c r="Y32" s="16">
        <f t="shared" si="11"/>
        <v>350</v>
      </c>
      <c r="Z32" s="16" t="str">
        <f t="shared" si="12"/>
        <v>abe/no_mgmt.csv</v>
      </c>
      <c r="AA32" s="16" t="str">
        <f t="shared" si="13"/>
        <v>gis/WindModifier_cl8.asc</v>
      </c>
      <c r="AB32" s="16">
        <f t="shared" si="14"/>
        <v>6.8500009999999999E-4</v>
      </c>
      <c r="AC32" s="16" t="str">
        <f t="shared" si="15"/>
        <v>ICHEC-EC-EARTH_historical_point34569</v>
      </c>
      <c r="AD32" s="16" t="str">
        <f t="shared" si="16"/>
        <v>wind_Events/Scaled_cl8_repl1.txt</v>
      </c>
      <c r="AE32" s="16" t="str">
        <f t="shared" si="17"/>
        <v>ICHEC-EC-EARTH_Scaled_Cluster8_repl1</v>
      </c>
      <c r="AF32" s="21" t="s">
        <v>341</v>
      </c>
      <c r="AG32" s="21" t="s">
        <v>342</v>
      </c>
    </row>
    <row r="33" spans="1:33" ht="13.8">
      <c r="A33" s="7" t="str">
        <f t="shared" si="0"/>
        <v>ICHEC-EC-EARTH_Scaled_Cluster8_repl2</v>
      </c>
      <c r="B33" s="8" t="s">
        <v>16</v>
      </c>
      <c r="C33" s="8" t="s">
        <v>54</v>
      </c>
      <c r="D33" s="9" t="s">
        <v>17</v>
      </c>
      <c r="E33" s="9" t="str">
        <f t="shared" si="1"/>
        <v>historical</v>
      </c>
      <c r="F33" s="8">
        <v>350</v>
      </c>
      <c r="G33" s="8" t="s">
        <v>18</v>
      </c>
      <c r="H33" s="8">
        <v>1</v>
      </c>
      <c r="I33" s="19">
        <v>6.8499999999999995E-4</v>
      </c>
      <c r="J33" s="8">
        <v>8</v>
      </c>
      <c r="K33" s="8" t="s">
        <v>163</v>
      </c>
      <c r="L33" s="8">
        <v>2</v>
      </c>
      <c r="M33" s="8">
        <v>1</v>
      </c>
      <c r="N33" s="10" t="s">
        <v>21</v>
      </c>
      <c r="O33" s="17" t="s">
        <v>328</v>
      </c>
      <c r="P33" s="10" t="str">
        <f t="shared" si="2"/>
        <v>ICHEC-EC-EARTH_Scaled_Cluster8_repl2.sqlite</v>
      </c>
      <c r="Q33" s="11">
        <f t="shared" si="3"/>
        <v>4</v>
      </c>
      <c r="R33" s="16" t="str">
        <f t="shared" si="4"/>
        <v>climate_db_ICHEC-EC-EARTH_historical_v4.sqlite</v>
      </c>
      <c r="S33" s="16" t="str">
        <f t="shared" si="5"/>
        <v>log/ICHEC-EC-EARTH_Scaled_Cluster8_repl2.txt</v>
      </c>
      <c r="T33" s="16" t="str">
        <f t="shared" si="6"/>
        <v>init/env_file_CLUSTER08_REPL2_ICHEC-EC-EARTH_historical.csv</v>
      </c>
      <c r="U33" s="16" t="str">
        <f t="shared" si="7"/>
        <v>init/env_grid_CLUSTER08_REPL2.asc</v>
      </c>
      <c r="V33" s="16" t="str">
        <f t="shared" si="8"/>
        <v>init/env_grid_CLUSTER08_REPL2.asc</v>
      </c>
      <c r="W33" s="16" t="str">
        <f t="shared" si="9"/>
        <v>trees_CLUSTER08.csv</v>
      </c>
      <c r="X33" s="16" t="str">
        <f t="shared" si="10"/>
        <v>saplings_CLUSTER08.csv</v>
      </c>
      <c r="Y33" s="16">
        <f t="shared" si="11"/>
        <v>350</v>
      </c>
      <c r="Z33" s="16" t="str">
        <f t="shared" si="12"/>
        <v>abe/no_mgmt.csv</v>
      </c>
      <c r="AA33" s="16" t="str">
        <f t="shared" si="13"/>
        <v>gis/WindModifier_cl8.asc</v>
      </c>
      <c r="AB33" s="16">
        <f t="shared" si="14"/>
        <v>6.8500009999999999E-4</v>
      </c>
      <c r="AC33" s="16" t="str">
        <f t="shared" si="15"/>
        <v>ICHEC-EC-EARTH_historical_point34569</v>
      </c>
      <c r="AD33" s="16" t="str">
        <f t="shared" si="16"/>
        <v>wind_Events/Scaled_cl8_repl2.txt</v>
      </c>
      <c r="AE33" s="16" t="str">
        <f t="shared" si="17"/>
        <v>ICHEC-EC-EARTH_Scaled_Cluster8_repl2</v>
      </c>
      <c r="AF33" s="21" t="s">
        <v>478</v>
      </c>
      <c r="AG33" s="21" t="s">
        <v>479</v>
      </c>
    </row>
    <row r="34" spans="1:33" ht="13.8">
      <c r="A34" s="7" t="str">
        <f t="shared" ref="A34:A65" si="18" xml:space="preserve"> G34 &amp; "_" &amp; C34 &amp;"Cluster" &amp; J34 &amp; "_repl" &amp; L34</f>
        <v>ICHEC-EC-EARTH_Scaled_Cluster8_repl3</v>
      </c>
      <c r="B34" s="8" t="s">
        <v>16</v>
      </c>
      <c r="C34" s="8" t="s">
        <v>54</v>
      </c>
      <c r="D34" s="9" t="s">
        <v>17</v>
      </c>
      <c r="E34" s="9" t="str">
        <f t="shared" ref="E34:E65" si="19">IF(D34="historical", "historical", IF(D34="RCP26", "rcp_2_6", IF(D34="RCP45", "rcp_4_5", "rcp_8_5")))</f>
        <v>historical</v>
      </c>
      <c r="F34" s="8">
        <v>350</v>
      </c>
      <c r="G34" s="8" t="s">
        <v>18</v>
      </c>
      <c r="H34" s="8">
        <v>1</v>
      </c>
      <c r="I34" s="19">
        <v>6.8499999999999995E-4</v>
      </c>
      <c r="J34" s="8">
        <v>8</v>
      </c>
      <c r="K34" s="8" t="s">
        <v>163</v>
      </c>
      <c r="L34" s="8">
        <v>3</v>
      </c>
      <c r="M34" s="8">
        <v>1</v>
      </c>
      <c r="N34" s="10" t="s">
        <v>21</v>
      </c>
      <c r="O34" s="17" t="s">
        <v>328</v>
      </c>
      <c r="P34" s="10" t="str">
        <f t="shared" ref="P34:P65" si="20">A34  &amp; ".sqlite"</f>
        <v>ICHEC-EC-EARTH_Scaled_Cluster8_repl3.sqlite</v>
      </c>
      <c r="Q34" s="11">
        <f t="shared" ref="Q34:Q65" si="21">(L34-1)*3+H34</f>
        <v>7</v>
      </c>
      <c r="R34" s="16" t="str">
        <f t="shared" ref="R34:R65" si="22">"climate_db_" &amp; G34&amp; "_" &amp;  E34&amp; "_v4.sqlite"</f>
        <v>climate_db_ICHEC-EC-EARTH_historical_v4.sqlite</v>
      </c>
      <c r="S34" s="16" t="str">
        <f t="shared" ref="S34:S65" si="23">"log/" &amp;A34  &amp; ".txt"</f>
        <v>log/ICHEC-EC-EARTH_Scaled_Cluster8_repl3.txt</v>
      </c>
      <c r="T34" s="16" t="str">
        <f t="shared" ref="T34:T65" si="24">"init/env_file_CLUSTER" &amp; TEXT(J34, "00") &amp; "_REPL" &amp; L34 &amp; "_" &amp; G34 &amp; "_" &amp; E34 &amp; ".csv"</f>
        <v>init/env_file_CLUSTER08_REPL3_ICHEC-EC-EARTH_historical.csv</v>
      </c>
      <c r="U34" s="16" t="str">
        <f t="shared" ref="U34:U65" si="25">"init/env_grid_CLUSTER" &amp; TEXT(J34, "00") &amp; "_REPL" &amp; L34 &amp; ".asc"</f>
        <v>init/env_grid_CLUSTER08_REPL3.asc</v>
      </c>
      <c r="V34" s="16" t="str">
        <f t="shared" ref="V34:V65" si="26">U34</f>
        <v>init/env_grid_CLUSTER08_REPL3.asc</v>
      </c>
      <c r="W34" s="16" t="str">
        <f t="shared" ref="W34:W65" si="27">"trees_CLUSTER" &amp; TEXT(J34, "00")  &amp; ".csv"</f>
        <v>trees_CLUSTER08.csv</v>
      </c>
      <c r="X34" s="16" t="str">
        <f t="shared" ref="X34:X65" si="28">"saplings_CLUSTER" &amp; TEXT(J34, "00")  &amp; ".csv"</f>
        <v>saplings_CLUSTER08.csv</v>
      </c>
      <c r="Y34" s="16">
        <f t="shared" ref="Y34:Y65" si="29">F34</f>
        <v>350</v>
      </c>
      <c r="Z34" s="16" t="str">
        <f t="shared" ref="Z34:Z65" si="30">"abe/no_mgmt.csv"</f>
        <v>abe/no_mgmt.csv</v>
      </c>
      <c r="AA34" s="16" t="str">
        <f t="shared" ref="AA34:AA65" si="31">"gis/WindModifier_cl" &amp; J34 &amp; ".asc"</f>
        <v>gis/WindModifier_cl8.asc</v>
      </c>
      <c r="AB34" s="16">
        <f t="shared" ref="AB34:AB65" si="32">IF(C34="Scaled_", I34+0.0000000001,  0.000685)</f>
        <v>6.8500009999999999E-4</v>
      </c>
      <c r="AC34" s="16" t="str">
        <f t="shared" ref="AC34:AC65" si="33">G34 &amp; "_" &amp; E34 &amp; "_point" &amp; K34</f>
        <v>ICHEC-EC-EARTH_historical_point34569</v>
      </c>
      <c r="AD34" s="16" t="str">
        <f t="shared" ref="AD34:AD65" si="34">"wind_Events/" &amp; C34 &amp; "cl" &amp; J34 &amp; "_repl" &amp; L34 &amp; ".txt"</f>
        <v>wind_Events/Scaled_cl8_repl3.txt</v>
      </c>
      <c r="AE34" s="16" t="str">
        <f t="shared" ref="AE34:AE65" si="35">A34</f>
        <v>ICHEC-EC-EARTH_Scaled_Cluster8_repl3</v>
      </c>
      <c r="AF34" s="21" t="s">
        <v>480</v>
      </c>
      <c r="AG34" s="21" t="s">
        <v>481</v>
      </c>
    </row>
    <row r="35" spans="1:33" ht="13.8">
      <c r="A35" s="7" t="str">
        <f t="shared" si="18"/>
        <v>ICHEC-EC-EARTH_Scaled_Cluster8_repl4</v>
      </c>
      <c r="B35" s="8" t="s">
        <v>16</v>
      </c>
      <c r="C35" s="8" t="s">
        <v>54</v>
      </c>
      <c r="D35" s="9" t="s">
        <v>17</v>
      </c>
      <c r="E35" s="9" t="str">
        <f t="shared" si="19"/>
        <v>historical</v>
      </c>
      <c r="F35" s="8">
        <v>350</v>
      </c>
      <c r="G35" s="8" t="s">
        <v>18</v>
      </c>
      <c r="H35" s="8">
        <v>1</v>
      </c>
      <c r="I35" s="19">
        <v>6.8499999999999995E-4</v>
      </c>
      <c r="J35" s="8">
        <v>8</v>
      </c>
      <c r="K35" s="8" t="s">
        <v>163</v>
      </c>
      <c r="L35" s="8">
        <v>4</v>
      </c>
      <c r="M35" s="8">
        <v>1</v>
      </c>
      <c r="N35" s="10" t="s">
        <v>21</v>
      </c>
      <c r="O35" s="17" t="s">
        <v>328</v>
      </c>
      <c r="P35" s="10" t="str">
        <f t="shared" si="20"/>
        <v>ICHEC-EC-EARTH_Scaled_Cluster8_repl4.sqlite</v>
      </c>
      <c r="Q35" s="11">
        <f t="shared" si="21"/>
        <v>10</v>
      </c>
      <c r="R35" s="16" t="str">
        <f t="shared" si="22"/>
        <v>climate_db_ICHEC-EC-EARTH_historical_v4.sqlite</v>
      </c>
      <c r="S35" s="16" t="str">
        <f t="shared" si="23"/>
        <v>log/ICHEC-EC-EARTH_Scaled_Cluster8_repl4.txt</v>
      </c>
      <c r="T35" s="16" t="str">
        <f t="shared" si="24"/>
        <v>init/env_file_CLUSTER08_REPL4_ICHEC-EC-EARTH_historical.csv</v>
      </c>
      <c r="U35" s="16" t="str">
        <f t="shared" si="25"/>
        <v>init/env_grid_CLUSTER08_REPL4.asc</v>
      </c>
      <c r="V35" s="16" t="str">
        <f t="shared" si="26"/>
        <v>init/env_grid_CLUSTER08_REPL4.asc</v>
      </c>
      <c r="W35" s="16" t="str">
        <f t="shared" si="27"/>
        <v>trees_CLUSTER08.csv</v>
      </c>
      <c r="X35" s="16" t="str">
        <f t="shared" si="28"/>
        <v>saplings_CLUSTER08.csv</v>
      </c>
      <c r="Y35" s="16">
        <f t="shared" si="29"/>
        <v>350</v>
      </c>
      <c r="Z35" s="16" t="str">
        <f t="shared" si="30"/>
        <v>abe/no_mgmt.csv</v>
      </c>
      <c r="AA35" s="16" t="str">
        <f t="shared" si="31"/>
        <v>gis/WindModifier_cl8.asc</v>
      </c>
      <c r="AB35" s="16">
        <f t="shared" si="32"/>
        <v>6.8500009999999999E-4</v>
      </c>
      <c r="AC35" s="16" t="str">
        <f t="shared" si="33"/>
        <v>ICHEC-EC-EARTH_historical_point34569</v>
      </c>
      <c r="AD35" s="16" t="str">
        <f t="shared" si="34"/>
        <v>wind_Events/Scaled_cl8_repl4.txt</v>
      </c>
      <c r="AE35" s="16" t="str">
        <f t="shared" si="35"/>
        <v>ICHEC-EC-EARTH_Scaled_Cluster8_repl4</v>
      </c>
      <c r="AF35" s="21" t="s">
        <v>482</v>
      </c>
      <c r="AG35" s="21" t="s">
        <v>483</v>
      </c>
    </row>
    <row r="36" spans="1:33" ht="13.8">
      <c r="A36" s="7" t="str">
        <f t="shared" si="18"/>
        <v>ICHEC-EC-EARTH_Scaled_Cluster8_repl5</v>
      </c>
      <c r="B36" s="8" t="s">
        <v>16</v>
      </c>
      <c r="C36" s="8" t="s">
        <v>54</v>
      </c>
      <c r="D36" s="9" t="s">
        <v>17</v>
      </c>
      <c r="E36" s="9" t="str">
        <f t="shared" si="19"/>
        <v>historical</v>
      </c>
      <c r="F36" s="8">
        <v>350</v>
      </c>
      <c r="G36" s="8" t="s">
        <v>18</v>
      </c>
      <c r="H36" s="8">
        <v>1</v>
      </c>
      <c r="I36" s="19">
        <v>6.8499999999999995E-4</v>
      </c>
      <c r="J36" s="8">
        <v>8</v>
      </c>
      <c r="K36" s="8" t="s">
        <v>163</v>
      </c>
      <c r="L36" s="8">
        <v>5</v>
      </c>
      <c r="M36" s="8">
        <v>1</v>
      </c>
      <c r="N36" s="10" t="s">
        <v>21</v>
      </c>
      <c r="O36" s="17" t="s">
        <v>328</v>
      </c>
      <c r="P36" s="10" t="str">
        <f t="shared" si="20"/>
        <v>ICHEC-EC-EARTH_Scaled_Cluster8_repl5.sqlite</v>
      </c>
      <c r="Q36" s="11">
        <f t="shared" si="21"/>
        <v>13</v>
      </c>
      <c r="R36" s="16" t="str">
        <f t="shared" si="22"/>
        <v>climate_db_ICHEC-EC-EARTH_historical_v4.sqlite</v>
      </c>
      <c r="S36" s="16" t="str">
        <f t="shared" si="23"/>
        <v>log/ICHEC-EC-EARTH_Scaled_Cluster8_repl5.txt</v>
      </c>
      <c r="T36" s="16" t="str">
        <f t="shared" si="24"/>
        <v>init/env_file_CLUSTER08_REPL5_ICHEC-EC-EARTH_historical.csv</v>
      </c>
      <c r="U36" s="16" t="str">
        <f t="shared" si="25"/>
        <v>init/env_grid_CLUSTER08_REPL5.asc</v>
      </c>
      <c r="V36" s="16" t="str">
        <f t="shared" si="26"/>
        <v>init/env_grid_CLUSTER08_REPL5.asc</v>
      </c>
      <c r="W36" s="16" t="str">
        <f t="shared" si="27"/>
        <v>trees_CLUSTER08.csv</v>
      </c>
      <c r="X36" s="16" t="str">
        <f t="shared" si="28"/>
        <v>saplings_CLUSTER08.csv</v>
      </c>
      <c r="Y36" s="16">
        <f t="shared" si="29"/>
        <v>350</v>
      </c>
      <c r="Z36" s="16" t="str">
        <f t="shared" si="30"/>
        <v>abe/no_mgmt.csv</v>
      </c>
      <c r="AA36" s="16" t="str">
        <f t="shared" si="31"/>
        <v>gis/WindModifier_cl8.asc</v>
      </c>
      <c r="AB36" s="16">
        <f t="shared" si="32"/>
        <v>6.8500009999999999E-4</v>
      </c>
      <c r="AC36" s="16" t="str">
        <f t="shared" si="33"/>
        <v>ICHEC-EC-EARTH_historical_point34569</v>
      </c>
      <c r="AD36" s="16" t="str">
        <f t="shared" si="34"/>
        <v>wind_Events/Scaled_cl8_repl5.txt</v>
      </c>
      <c r="AE36" s="16" t="str">
        <f t="shared" si="35"/>
        <v>ICHEC-EC-EARTH_Scaled_Cluster8_repl5</v>
      </c>
      <c r="AF36" s="21" t="s">
        <v>484</v>
      </c>
      <c r="AG36" s="21" t="s">
        <v>485</v>
      </c>
    </row>
    <row r="37" spans="1:33" ht="13.8">
      <c r="A37" s="7" t="str">
        <f t="shared" si="18"/>
        <v>ICHEC-EC-EARTH_Scaled_Cluster10_repl1</v>
      </c>
      <c r="B37" s="8" t="s">
        <v>16</v>
      </c>
      <c r="C37" s="8" t="s">
        <v>54</v>
      </c>
      <c r="D37" s="9" t="s">
        <v>17</v>
      </c>
      <c r="E37" s="9" t="str">
        <f t="shared" si="19"/>
        <v>historical</v>
      </c>
      <c r="F37" s="8">
        <v>350</v>
      </c>
      <c r="G37" s="8" t="s">
        <v>18</v>
      </c>
      <c r="H37" s="8">
        <v>1</v>
      </c>
      <c r="I37" s="19">
        <v>6.8499999999999995E-4</v>
      </c>
      <c r="J37" s="8">
        <v>10</v>
      </c>
      <c r="K37" s="8" t="s">
        <v>164</v>
      </c>
      <c r="L37" s="8">
        <v>1</v>
      </c>
      <c r="M37" s="8">
        <v>1</v>
      </c>
      <c r="N37" s="10" t="s">
        <v>21</v>
      </c>
      <c r="O37" s="17" t="s">
        <v>328</v>
      </c>
      <c r="P37" s="10" t="str">
        <f t="shared" si="20"/>
        <v>ICHEC-EC-EARTH_Scaled_Cluster10_repl1.sqlite</v>
      </c>
      <c r="Q37" s="11">
        <f t="shared" si="21"/>
        <v>1</v>
      </c>
      <c r="R37" s="16" t="str">
        <f t="shared" si="22"/>
        <v>climate_db_ICHEC-EC-EARTH_historical_v4.sqlite</v>
      </c>
      <c r="S37" s="16" t="str">
        <f t="shared" si="23"/>
        <v>log/ICHEC-EC-EARTH_Scaled_Cluster10_repl1.txt</v>
      </c>
      <c r="T37" s="16" t="str">
        <f t="shared" si="24"/>
        <v>init/env_file_CLUSTER10_REPL1_ICHEC-EC-EARTH_historical.csv</v>
      </c>
      <c r="U37" s="16" t="str">
        <f t="shared" si="25"/>
        <v>init/env_grid_CLUSTER10_REPL1.asc</v>
      </c>
      <c r="V37" s="16" t="str">
        <f t="shared" si="26"/>
        <v>init/env_grid_CLUSTER10_REPL1.asc</v>
      </c>
      <c r="W37" s="16" t="str">
        <f t="shared" si="27"/>
        <v>trees_CLUSTER10.csv</v>
      </c>
      <c r="X37" s="16" t="str">
        <f t="shared" si="28"/>
        <v>saplings_CLUSTER10.csv</v>
      </c>
      <c r="Y37" s="16">
        <f t="shared" si="29"/>
        <v>350</v>
      </c>
      <c r="Z37" s="16" t="str">
        <f t="shared" si="30"/>
        <v>abe/no_mgmt.csv</v>
      </c>
      <c r="AA37" s="16" t="str">
        <f t="shared" si="31"/>
        <v>gis/WindModifier_cl10.asc</v>
      </c>
      <c r="AB37" s="16">
        <f t="shared" si="32"/>
        <v>6.8500009999999999E-4</v>
      </c>
      <c r="AC37" s="16" t="str">
        <f t="shared" si="33"/>
        <v>ICHEC-EC-EARTH_historical_point38183</v>
      </c>
      <c r="AD37" s="16" t="str">
        <f t="shared" si="34"/>
        <v>wind_Events/Scaled_cl10_repl1.txt</v>
      </c>
      <c r="AE37" s="16" t="str">
        <f t="shared" si="35"/>
        <v>ICHEC-EC-EARTH_Scaled_Cluster10_repl1</v>
      </c>
      <c r="AF37" s="21" t="s">
        <v>343</v>
      </c>
      <c r="AG37" s="21" t="s">
        <v>344</v>
      </c>
    </row>
    <row r="38" spans="1:33" ht="13.8">
      <c r="A38" s="7" t="str">
        <f t="shared" si="18"/>
        <v>ICHEC-EC-EARTH_Scaled_Cluster10_repl2</v>
      </c>
      <c r="B38" s="8" t="s">
        <v>16</v>
      </c>
      <c r="C38" s="8" t="s">
        <v>54</v>
      </c>
      <c r="D38" s="9" t="s">
        <v>17</v>
      </c>
      <c r="E38" s="9" t="str">
        <f t="shared" si="19"/>
        <v>historical</v>
      </c>
      <c r="F38" s="8">
        <v>350</v>
      </c>
      <c r="G38" s="8" t="s">
        <v>18</v>
      </c>
      <c r="H38" s="8">
        <v>1</v>
      </c>
      <c r="I38" s="19">
        <v>6.8499999999999995E-4</v>
      </c>
      <c r="J38" s="8">
        <v>10</v>
      </c>
      <c r="K38" s="8" t="s">
        <v>164</v>
      </c>
      <c r="L38" s="8">
        <v>2</v>
      </c>
      <c r="M38" s="8">
        <v>1</v>
      </c>
      <c r="N38" s="10" t="s">
        <v>21</v>
      </c>
      <c r="O38" s="17" t="s">
        <v>328</v>
      </c>
      <c r="P38" s="10" t="str">
        <f t="shared" si="20"/>
        <v>ICHEC-EC-EARTH_Scaled_Cluster10_repl2.sqlite</v>
      </c>
      <c r="Q38" s="11">
        <f t="shared" si="21"/>
        <v>4</v>
      </c>
      <c r="R38" s="16" t="str">
        <f t="shared" si="22"/>
        <v>climate_db_ICHEC-EC-EARTH_historical_v4.sqlite</v>
      </c>
      <c r="S38" s="16" t="str">
        <f t="shared" si="23"/>
        <v>log/ICHEC-EC-EARTH_Scaled_Cluster10_repl2.txt</v>
      </c>
      <c r="T38" s="16" t="str">
        <f t="shared" si="24"/>
        <v>init/env_file_CLUSTER10_REPL2_ICHEC-EC-EARTH_historical.csv</v>
      </c>
      <c r="U38" s="16" t="str">
        <f t="shared" si="25"/>
        <v>init/env_grid_CLUSTER10_REPL2.asc</v>
      </c>
      <c r="V38" s="16" t="str">
        <f t="shared" si="26"/>
        <v>init/env_grid_CLUSTER10_REPL2.asc</v>
      </c>
      <c r="W38" s="16" t="str">
        <f t="shared" si="27"/>
        <v>trees_CLUSTER10.csv</v>
      </c>
      <c r="X38" s="16" t="str">
        <f t="shared" si="28"/>
        <v>saplings_CLUSTER10.csv</v>
      </c>
      <c r="Y38" s="16">
        <f t="shared" si="29"/>
        <v>350</v>
      </c>
      <c r="Z38" s="16" t="str">
        <f t="shared" si="30"/>
        <v>abe/no_mgmt.csv</v>
      </c>
      <c r="AA38" s="16" t="str">
        <f t="shared" si="31"/>
        <v>gis/WindModifier_cl10.asc</v>
      </c>
      <c r="AB38" s="16">
        <f t="shared" si="32"/>
        <v>6.8500009999999999E-4</v>
      </c>
      <c r="AC38" s="16" t="str">
        <f t="shared" si="33"/>
        <v>ICHEC-EC-EARTH_historical_point38183</v>
      </c>
      <c r="AD38" s="16" t="str">
        <f t="shared" si="34"/>
        <v>wind_Events/Scaled_cl10_repl2.txt</v>
      </c>
      <c r="AE38" s="16" t="str">
        <f t="shared" si="35"/>
        <v>ICHEC-EC-EARTH_Scaled_Cluster10_repl2</v>
      </c>
      <c r="AF38" s="21" t="s">
        <v>486</v>
      </c>
      <c r="AG38" s="21" t="s">
        <v>487</v>
      </c>
    </row>
    <row r="39" spans="1:33" ht="13.8">
      <c r="A39" s="7" t="str">
        <f t="shared" si="18"/>
        <v>ICHEC-EC-EARTH_Scaled_Cluster10_repl3</v>
      </c>
      <c r="B39" s="8" t="s">
        <v>16</v>
      </c>
      <c r="C39" s="8" t="s">
        <v>54</v>
      </c>
      <c r="D39" s="9" t="s">
        <v>17</v>
      </c>
      <c r="E39" s="9" t="str">
        <f t="shared" si="19"/>
        <v>historical</v>
      </c>
      <c r="F39" s="8">
        <v>350</v>
      </c>
      <c r="G39" s="8" t="s">
        <v>18</v>
      </c>
      <c r="H39" s="8">
        <v>1</v>
      </c>
      <c r="I39" s="19">
        <v>6.8499999999999995E-4</v>
      </c>
      <c r="J39" s="8">
        <v>10</v>
      </c>
      <c r="K39" s="8" t="s">
        <v>164</v>
      </c>
      <c r="L39" s="8">
        <v>3</v>
      </c>
      <c r="M39" s="8">
        <v>1</v>
      </c>
      <c r="N39" s="10" t="s">
        <v>21</v>
      </c>
      <c r="O39" s="17" t="s">
        <v>328</v>
      </c>
      <c r="P39" s="10" t="str">
        <f t="shared" si="20"/>
        <v>ICHEC-EC-EARTH_Scaled_Cluster10_repl3.sqlite</v>
      </c>
      <c r="Q39" s="11">
        <f t="shared" si="21"/>
        <v>7</v>
      </c>
      <c r="R39" s="16" t="str">
        <f t="shared" si="22"/>
        <v>climate_db_ICHEC-EC-EARTH_historical_v4.sqlite</v>
      </c>
      <c r="S39" s="16" t="str">
        <f t="shared" si="23"/>
        <v>log/ICHEC-EC-EARTH_Scaled_Cluster10_repl3.txt</v>
      </c>
      <c r="T39" s="16" t="str">
        <f t="shared" si="24"/>
        <v>init/env_file_CLUSTER10_REPL3_ICHEC-EC-EARTH_historical.csv</v>
      </c>
      <c r="U39" s="16" t="str">
        <f t="shared" si="25"/>
        <v>init/env_grid_CLUSTER10_REPL3.asc</v>
      </c>
      <c r="V39" s="16" t="str">
        <f t="shared" si="26"/>
        <v>init/env_grid_CLUSTER10_REPL3.asc</v>
      </c>
      <c r="W39" s="16" t="str">
        <f t="shared" si="27"/>
        <v>trees_CLUSTER10.csv</v>
      </c>
      <c r="X39" s="16" t="str">
        <f t="shared" si="28"/>
        <v>saplings_CLUSTER10.csv</v>
      </c>
      <c r="Y39" s="16">
        <f t="shared" si="29"/>
        <v>350</v>
      </c>
      <c r="Z39" s="16" t="str">
        <f t="shared" si="30"/>
        <v>abe/no_mgmt.csv</v>
      </c>
      <c r="AA39" s="16" t="str">
        <f t="shared" si="31"/>
        <v>gis/WindModifier_cl10.asc</v>
      </c>
      <c r="AB39" s="16">
        <f t="shared" si="32"/>
        <v>6.8500009999999999E-4</v>
      </c>
      <c r="AC39" s="16" t="str">
        <f t="shared" si="33"/>
        <v>ICHEC-EC-EARTH_historical_point38183</v>
      </c>
      <c r="AD39" s="16" t="str">
        <f t="shared" si="34"/>
        <v>wind_Events/Scaled_cl10_repl3.txt</v>
      </c>
      <c r="AE39" s="16" t="str">
        <f t="shared" si="35"/>
        <v>ICHEC-EC-EARTH_Scaled_Cluster10_repl3</v>
      </c>
      <c r="AF39" s="21" t="s">
        <v>488</v>
      </c>
      <c r="AG39" s="21" t="s">
        <v>489</v>
      </c>
    </row>
    <row r="40" spans="1:33" ht="13.8">
      <c r="A40" s="7" t="str">
        <f t="shared" si="18"/>
        <v>ICHEC-EC-EARTH_Scaled_Cluster10_repl4</v>
      </c>
      <c r="B40" s="8" t="s">
        <v>16</v>
      </c>
      <c r="C40" s="8" t="s">
        <v>54</v>
      </c>
      <c r="D40" s="9" t="s">
        <v>17</v>
      </c>
      <c r="E40" s="9" t="str">
        <f t="shared" si="19"/>
        <v>historical</v>
      </c>
      <c r="F40" s="8">
        <v>350</v>
      </c>
      <c r="G40" s="8" t="s">
        <v>18</v>
      </c>
      <c r="H40" s="8">
        <v>1</v>
      </c>
      <c r="I40" s="19">
        <v>6.8499999999999995E-4</v>
      </c>
      <c r="J40" s="8">
        <v>10</v>
      </c>
      <c r="K40" s="8" t="s">
        <v>164</v>
      </c>
      <c r="L40" s="8">
        <v>4</v>
      </c>
      <c r="M40" s="8">
        <v>1</v>
      </c>
      <c r="N40" s="10" t="s">
        <v>21</v>
      </c>
      <c r="O40" s="17" t="s">
        <v>328</v>
      </c>
      <c r="P40" s="10" t="str">
        <f t="shared" si="20"/>
        <v>ICHEC-EC-EARTH_Scaled_Cluster10_repl4.sqlite</v>
      </c>
      <c r="Q40" s="11">
        <f t="shared" si="21"/>
        <v>10</v>
      </c>
      <c r="R40" s="16" t="str">
        <f t="shared" si="22"/>
        <v>climate_db_ICHEC-EC-EARTH_historical_v4.sqlite</v>
      </c>
      <c r="S40" s="16" t="str">
        <f t="shared" si="23"/>
        <v>log/ICHEC-EC-EARTH_Scaled_Cluster10_repl4.txt</v>
      </c>
      <c r="T40" s="16" t="str">
        <f t="shared" si="24"/>
        <v>init/env_file_CLUSTER10_REPL4_ICHEC-EC-EARTH_historical.csv</v>
      </c>
      <c r="U40" s="16" t="str">
        <f t="shared" si="25"/>
        <v>init/env_grid_CLUSTER10_REPL4.asc</v>
      </c>
      <c r="V40" s="16" t="str">
        <f t="shared" si="26"/>
        <v>init/env_grid_CLUSTER10_REPL4.asc</v>
      </c>
      <c r="W40" s="16" t="str">
        <f t="shared" si="27"/>
        <v>trees_CLUSTER10.csv</v>
      </c>
      <c r="X40" s="16" t="str">
        <f t="shared" si="28"/>
        <v>saplings_CLUSTER10.csv</v>
      </c>
      <c r="Y40" s="16">
        <f t="shared" si="29"/>
        <v>350</v>
      </c>
      <c r="Z40" s="16" t="str">
        <f t="shared" si="30"/>
        <v>abe/no_mgmt.csv</v>
      </c>
      <c r="AA40" s="16" t="str">
        <f t="shared" si="31"/>
        <v>gis/WindModifier_cl10.asc</v>
      </c>
      <c r="AB40" s="16">
        <f t="shared" si="32"/>
        <v>6.8500009999999999E-4</v>
      </c>
      <c r="AC40" s="16" t="str">
        <f t="shared" si="33"/>
        <v>ICHEC-EC-EARTH_historical_point38183</v>
      </c>
      <c r="AD40" s="16" t="str">
        <f t="shared" si="34"/>
        <v>wind_Events/Scaled_cl10_repl4.txt</v>
      </c>
      <c r="AE40" s="16" t="str">
        <f t="shared" si="35"/>
        <v>ICHEC-EC-EARTH_Scaled_Cluster10_repl4</v>
      </c>
      <c r="AF40" s="21" t="s">
        <v>490</v>
      </c>
      <c r="AG40" s="21" t="s">
        <v>491</v>
      </c>
    </row>
    <row r="41" spans="1:33" ht="13.8">
      <c r="A41" s="7" t="str">
        <f t="shared" si="18"/>
        <v>ICHEC-EC-EARTH_Scaled_Cluster10_repl5</v>
      </c>
      <c r="B41" s="8" t="s">
        <v>16</v>
      </c>
      <c r="C41" s="8" t="s">
        <v>54</v>
      </c>
      <c r="D41" s="9" t="s">
        <v>17</v>
      </c>
      <c r="E41" s="9" t="str">
        <f t="shared" si="19"/>
        <v>historical</v>
      </c>
      <c r="F41" s="8">
        <v>350</v>
      </c>
      <c r="G41" s="8" t="s">
        <v>18</v>
      </c>
      <c r="H41" s="8">
        <v>1</v>
      </c>
      <c r="I41" s="19">
        <v>6.8499999999999995E-4</v>
      </c>
      <c r="J41" s="8">
        <v>10</v>
      </c>
      <c r="K41" s="8" t="s">
        <v>164</v>
      </c>
      <c r="L41" s="8">
        <v>5</v>
      </c>
      <c r="M41" s="8">
        <v>1</v>
      </c>
      <c r="N41" s="10" t="s">
        <v>21</v>
      </c>
      <c r="O41" s="17" t="s">
        <v>328</v>
      </c>
      <c r="P41" s="10" t="str">
        <f t="shared" si="20"/>
        <v>ICHEC-EC-EARTH_Scaled_Cluster10_repl5.sqlite</v>
      </c>
      <c r="Q41" s="11">
        <f t="shared" si="21"/>
        <v>13</v>
      </c>
      <c r="R41" s="16" t="str">
        <f t="shared" si="22"/>
        <v>climate_db_ICHEC-EC-EARTH_historical_v4.sqlite</v>
      </c>
      <c r="S41" s="16" t="str">
        <f t="shared" si="23"/>
        <v>log/ICHEC-EC-EARTH_Scaled_Cluster10_repl5.txt</v>
      </c>
      <c r="T41" s="16" t="str">
        <f t="shared" si="24"/>
        <v>init/env_file_CLUSTER10_REPL5_ICHEC-EC-EARTH_historical.csv</v>
      </c>
      <c r="U41" s="16" t="str">
        <f t="shared" si="25"/>
        <v>init/env_grid_CLUSTER10_REPL5.asc</v>
      </c>
      <c r="V41" s="16" t="str">
        <f t="shared" si="26"/>
        <v>init/env_grid_CLUSTER10_REPL5.asc</v>
      </c>
      <c r="W41" s="16" t="str">
        <f t="shared" si="27"/>
        <v>trees_CLUSTER10.csv</v>
      </c>
      <c r="X41" s="16" t="str">
        <f t="shared" si="28"/>
        <v>saplings_CLUSTER10.csv</v>
      </c>
      <c r="Y41" s="16">
        <f t="shared" si="29"/>
        <v>350</v>
      </c>
      <c r="Z41" s="16" t="str">
        <f t="shared" si="30"/>
        <v>abe/no_mgmt.csv</v>
      </c>
      <c r="AA41" s="16" t="str">
        <f t="shared" si="31"/>
        <v>gis/WindModifier_cl10.asc</v>
      </c>
      <c r="AB41" s="16">
        <f t="shared" si="32"/>
        <v>6.8500009999999999E-4</v>
      </c>
      <c r="AC41" s="16" t="str">
        <f t="shared" si="33"/>
        <v>ICHEC-EC-EARTH_historical_point38183</v>
      </c>
      <c r="AD41" s="16" t="str">
        <f t="shared" si="34"/>
        <v>wind_Events/Scaled_cl10_repl5.txt</v>
      </c>
      <c r="AE41" s="16" t="str">
        <f t="shared" si="35"/>
        <v>ICHEC-EC-EARTH_Scaled_Cluster10_repl5</v>
      </c>
      <c r="AF41" s="21" t="s">
        <v>492</v>
      </c>
      <c r="AG41" s="21" t="s">
        <v>493</v>
      </c>
    </row>
    <row r="42" spans="1:33" ht="13.8">
      <c r="A42" s="7" t="str">
        <f t="shared" si="18"/>
        <v>ICHEC-EC-EARTH_Scaled_Cluster11_repl1</v>
      </c>
      <c r="B42" s="8" t="s">
        <v>16</v>
      </c>
      <c r="C42" s="8" t="s">
        <v>54</v>
      </c>
      <c r="D42" s="9" t="s">
        <v>17</v>
      </c>
      <c r="E42" s="9" t="str">
        <f t="shared" si="19"/>
        <v>historical</v>
      </c>
      <c r="F42" s="8">
        <v>350</v>
      </c>
      <c r="G42" s="8" t="s">
        <v>18</v>
      </c>
      <c r="H42" s="8">
        <v>1</v>
      </c>
      <c r="I42" s="19">
        <v>6.8499999999999995E-4</v>
      </c>
      <c r="J42" s="8">
        <v>11</v>
      </c>
      <c r="K42" s="8" t="s">
        <v>165</v>
      </c>
      <c r="L42" s="8">
        <v>1</v>
      </c>
      <c r="M42" s="8">
        <v>1</v>
      </c>
      <c r="N42" s="10" t="s">
        <v>21</v>
      </c>
      <c r="O42" s="17" t="s">
        <v>328</v>
      </c>
      <c r="P42" s="10" t="str">
        <f t="shared" si="20"/>
        <v>ICHEC-EC-EARTH_Scaled_Cluster11_repl1.sqlite</v>
      </c>
      <c r="Q42" s="11">
        <f t="shared" si="21"/>
        <v>1</v>
      </c>
      <c r="R42" s="16" t="str">
        <f t="shared" si="22"/>
        <v>climate_db_ICHEC-EC-EARTH_historical_v4.sqlite</v>
      </c>
      <c r="S42" s="16" t="str">
        <f t="shared" si="23"/>
        <v>log/ICHEC-EC-EARTH_Scaled_Cluster11_repl1.txt</v>
      </c>
      <c r="T42" s="16" t="str">
        <f t="shared" si="24"/>
        <v>init/env_file_CLUSTER11_REPL1_ICHEC-EC-EARTH_historical.csv</v>
      </c>
      <c r="U42" s="16" t="str">
        <f t="shared" si="25"/>
        <v>init/env_grid_CLUSTER11_REPL1.asc</v>
      </c>
      <c r="V42" s="16" t="str">
        <f t="shared" si="26"/>
        <v>init/env_grid_CLUSTER11_REPL1.asc</v>
      </c>
      <c r="W42" s="16" t="str">
        <f t="shared" si="27"/>
        <v>trees_CLUSTER11.csv</v>
      </c>
      <c r="X42" s="16" t="str">
        <f t="shared" si="28"/>
        <v>saplings_CLUSTER11.csv</v>
      </c>
      <c r="Y42" s="16">
        <f t="shared" si="29"/>
        <v>350</v>
      </c>
      <c r="Z42" s="16" t="str">
        <f t="shared" si="30"/>
        <v>abe/no_mgmt.csv</v>
      </c>
      <c r="AA42" s="16" t="str">
        <f t="shared" si="31"/>
        <v>gis/WindModifier_cl11.asc</v>
      </c>
      <c r="AB42" s="16">
        <f t="shared" si="32"/>
        <v>6.8500009999999999E-4</v>
      </c>
      <c r="AC42" s="16" t="str">
        <f t="shared" si="33"/>
        <v>ICHEC-EC-EARTH_historical_point29711</v>
      </c>
      <c r="AD42" s="16" t="str">
        <f t="shared" si="34"/>
        <v>wind_Events/Scaled_cl11_repl1.txt</v>
      </c>
      <c r="AE42" s="16" t="str">
        <f t="shared" si="35"/>
        <v>ICHEC-EC-EARTH_Scaled_Cluster11_repl1</v>
      </c>
      <c r="AF42" s="21" t="s">
        <v>345</v>
      </c>
      <c r="AG42" s="21" t="s">
        <v>346</v>
      </c>
    </row>
    <row r="43" spans="1:33" ht="13.8">
      <c r="A43" s="7" t="str">
        <f t="shared" si="18"/>
        <v>ICHEC-EC-EARTH_Scaled_Cluster11_repl2</v>
      </c>
      <c r="B43" s="8" t="s">
        <v>16</v>
      </c>
      <c r="C43" s="8" t="s">
        <v>54</v>
      </c>
      <c r="D43" s="9" t="s">
        <v>17</v>
      </c>
      <c r="E43" s="9" t="str">
        <f t="shared" si="19"/>
        <v>historical</v>
      </c>
      <c r="F43" s="8">
        <v>350</v>
      </c>
      <c r="G43" s="8" t="s">
        <v>18</v>
      </c>
      <c r="H43" s="8">
        <v>1</v>
      </c>
      <c r="I43" s="19">
        <v>6.8499999999999995E-4</v>
      </c>
      <c r="J43" s="8">
        <v>11</v>
      </c>
      <c r="K43" s="8" t="s">
        <v>165</v>
      </c>
      <c r="L43" s="8">
        <v>2</v>
      </c>
      <c r="M43" s="8">
        <v>1</v>
      </c>
      <c r="N43" s="10" t="s">
        <v>21</v>
      </c>
      <c r="O43" s="17" t="s">
        <v>328</v>
      </c>
      <c r="P43" s="10" t="str">
        <f t="shared" si="20"/>
        <v>ICHEC-EC-EARTH_Scaled_Cluster11_repl2.sqlite</v>
      </c>
      <c r="Q43" s="11">
        <f t="shared" si="21"/>
        <v>4</v>
      </c>
      <c r="R43" s="16" t="str">
        <f t="shared" si="22"/>
        <v>climate_db_ICHEC-EC-EARTH_historical_v4.sqlite</v>
      </c>
      <c r="S43" s="16" t="str">
        <f t="shared" si="23"/>
        <v>log/ICHEC-EC-EARTH_Scaled_Cluster11_repl2.txt</v>
      </c>
      <c r="T43" s="16" t="str">
        <f t="shared" si="24"/>
        <v>init/env_file_CLUSTER11_REPL2_ICHEC-EC-EARTH_historical.csv</v>
      </c>
      <c r="U43" s="16" t="str">
        <f t="shared" si="25"/>
        <v>init/env_grid_CLUSTER11_REPL2.asc</v>
      </c>
      <c r="V43" s="16" t="str">
        <f t="shared" si="26"/>
        <v>init/env_grid_CLUSTER11_REPL2.asc</v>
      </c>
      <c r="W43" s="16" t="str">
        <f t="shared" si="27"/>
        <v>trees_CLUSTER11.csv</v>
      </c>
      <c r="X43" s="16" t="str">
        <f t="shared" si="28"/>
        <v>saplings_CLUSTER11.csv</v>
      </c>
      <c r="Y43" s="16">
        <f t="shared" si="29"/>
        <v>350</v>
      </c>
      <c r="Z43" s="16" t="str">
        <f t="shared" si="30"/>
        <v>abe/no_mgmt.csv</v>
      </c>
      <c r="AA43" s="16" t="str">
        <f t="shared" si="31"/>
        <v>gis/WindModifier_cl11.asc</v>
      </c>
      <c r="AB43" s="16">
        <f t="shared" si="32"/>
        <v>6.8500009999999999E-4</v>
      </c>
      <c r="AC43" s="16" t="str">
        <f t="shared" si="33"/>
        <v>ICHEC-EC-EARTH_historical_point29711</v>
      </c>
      <c r="AD43" s="16" t="str">
        <f t="shared" si="34"/>
        <v>wind_Events/Scaled_cl11_repl2.txt</v>
      </c>
      <c r="AE43" s="16" t="str">
        <f t="shared" si="35"/>
        <v>ICHEC-EC-EARTH_Scaled_Cluster11_repl2</v>
      </c>
      <c r="AF43" s="21" t="s">
        <v>494</v>
      </c>
      <c r="AG43" s="21" t="s">
        <v>495</v>
      </c>
    </row>
    <row r="44" spans="1:33" ht="13.8">
      <c r="A44" s="7" t="str">
        <f t="shared" si="18"/>
        <v>ICHEC-EC-EARTH_Scaled_Cluster11_repl3</v>
      </c>
      <c r="B44" s="8" t="s">
        <v>16</v>
      </c>
      <c r="C44" s="8" t="s">
        <v>54</v>
      </c>
      <c r="D44" s="9" t="s">
        <v>17</v>
      </c>
      <c r="E44" s="9" t="str">
        <f t="shared" si="19"/>
        <v>historical</v>
      </c>
      <c r="F44" s="8">
        <v>350</v>
      </c>
      <c r="G44" s="8" t="s">
        <v>18</v>
      </c>
      <c r="H44" s="8">
        <v>1</v>
      </c>
      <c r="I44" s="19">
        <v>6.8499999999999995E-4</v>
      </c>
      <c r="J44" s="8">
        <v>11</v>
      </c>
      <c r="K44" s="8" t="s">
        <v>165</v>
      </c>
      <c r="L44" s="8">
        <v>3</v>
      </c>
      <c r="M44" s="8">
        <v>1</v>
      </c>
      <c r="N44" s="10" t="s">
        <v>21</v>
      </c>
      <c r="O44" s="17" t="s">
        <v>328</v>
      </c>
      <c r="P44" s="10" t="str">
        <f t="shared" si="20"/>
        <v>ICHEC-EC-EARTH_Scaled_Cluster11_repl3.sqlite</v>
      </c>
      <c r="Q44" s="11">
        <f t="shared" si="21"/>
        <v>7</v>
      </c>
      <c r="R44" s="16" t="str">
        <f t="shared" si="22"/>
        <v>climate_db_ICHEC-EC-EARTH_historical_v4.sqlite</v>
      </c>
      <c r="S44" s="16" t="str">
        <f t="shared" si="23"/>
        <v>log/ICHEC-EC-EARTH_Scaled_Cluster11_repl3.txt</v>
      </c>
      <c r="T44" s="16" t="str">
        <f t="shared" si="24"/>
        <v>init/env_file_CLUSTER11_REPL3_ICHEC-EC-EARTH_historical.csv</v>
      </c>
      <c r="U44" s="16" t="str">
        <f t="shared" si="25"/>
        <v>init/env_grid_CLUSTER11_REPL3.asc</v>
      </c>
      <c r="V44" s="16" t="str">
        <f t="shared" si="26"/>
        <v>init/env_grid_CLUSTER11_REPL3.asc</v>
      </c>
      <c r="W44" s="16" t="str">
        <f t="shared" si="27"/>
        <v>trees_CLUSTER11.csv</v>
      </c>
      <c r="X44" s="16" t="str">
        <f t="shared" si="28"/>
        <v>saplings_CLUSTER11.csv</v>
      </c>
      <c r="Y44" s="16">
        <f t="shared" si="29"/>
        <v>350</v>
      </c>
      <c r="Z44" s="16" t="str">
        <f t="shared" si="30"/>
        <v>abe/no_mgmt.csv</v>
      </c>
      <c r="AA44" s="16" t="str">
        <f t="shared" si="31"/>
        <v>gis/WindModifier_cl11.asc</v>
      </c>
      <c r="AB44" s="16">
        <f t="shared" si="32"/>
        <v>6.8500009999999999E-4</v>
      </c>
      <c r="AC44" s="16" t="str">
        <f t="shared" si="33"/>
        <v>ICHEC-EC-EARTH_historical_point29711</v>
      </c>
      <c r="AD44" s="16" t="str">
        <f t="shared" si="34"/>
        <v>wind_Events/Scaled_cl11_repl3.txt</v>
      </c>
      <c r="AE44" s="16" t="str">
        <f t="shared" si="35"/>
        <v>ICHEC-EC-EARTH_Scaled_Cluster11_repl3</v>
      </c>
      <c r="AF44" s="21" t="s">
        <v>496</v>
      </c>
      <c r="AG44" s="21" t="s">
        <v>497</v>
      </c>
    </row>
    <row r="45" spans="1:33" ht="13.8">
      <c r="A45" s="7" t="str">
        <f t="shared" si="18"/>
        <v>ICHEC-EC-EARTH_Scaled_Cluster11_repl4</v>
      </c>
      <c r="B45" s="8" t="s">
        <v>16</v>
      </c>
      <c r="C45" s="8" t="s">
        <v>54</v>
      </c>
      <c r="D45" s="9" t="s">
        <v>17</v>
      </c>
      <c r="E45" s="9" t="str">
        <f t="shared" si="19"/>
        <v>historical</v>
      </c>
      <c r="F45" s="8">
        <v>350</v>
      </c>
      <c r="G45" s="8" t="s">
        <v>18</v>
      </c>
      <c r="H45" s="8">
        <v>1</v>
      </c>
      <c r="I45" s="19">
        <v>6.8499999999999995E-4</v>
      </c>
      <c r="J45" s="8">
        <v>11</v>
      </c>
      <c r="K45" s="8" t="s">
        <v>165</v>
      </c>
      <c r="L45" s="8">
        <v>4</v>
      </c>
      <c r="M45" s="8">
        <v>1</v>
      </c>
      <c r="N45" s="10" t="s">
        <v>21</v>
      </c>
      <c r="O45" s="17" t="s">
        <v>328</v>
      </c>
      <c r="P45" s="10" t="str">
        <f t="shared" si="20"/>
        <v>ICHEC-EC-EARTH_Scaled_Cluster11_repl4.sqlite</v>
      </c>
      <c r="Q45" s="11">
        <f t="shared" si="21"/>
        <v>10</v>
      </c>
      <c r="R45" s="16" t="str">
        <f t="shared" si="22"/>
        <v>climate_db_ICHEC-EC-EARTH_historical_v4.sqlite</v>
      </c>
      <c r="S45" s="16" t="str">
        <f t="shared" si="23"/>
        <v>log/ICHEC-EC-EARTH_Scaled_Cluster11_repl4.txt</v>
      </c>
      <c r="T45" s="16" t="str">
        <f t="shared" si="24"/>
        <v>init/env_file_CLUSTER11_REPL4_ICHEC-EC-EARTH_historical.csv</v>
      </c>
      <c r="U45" s="16" t="str">
        <f t="shared" si="25"/>
        <v>init/env_grid_CLUSTER11_REPL4.asc</v>
      </c>
      <c r="V45" s="16" t="str">
        <f t="shared" si="26"/>
        <v>init/env_grid_CLUSTER11_REPL4.asc</v>
      </c>
      <c r="W45" s="16" t="str">
        <f t="shared" si="27"/>
        <v>trees_CLUSTER11.csv</v>
      </c>
      <c r="X45" s="16" t="str">
        <f t="shared" si="28"/>
        <v>saplings_CLUSTER11.csv</v>
      </c>
      <c r="Y45" s="16">
        <f t="shared" si="29"/>
        <v>350</v>
      </c>
      <c r="Z45" s="16" t="str">
        <f t="shared" si="30"/>
        <v>abe/no_mgmt.csv</v>
      </c>
      <c r="AA45" s="16" t="str">
        <f t="shared" si="31"/>
        <v>gis/WindModifier_cl11.asc</v>
      </c>
      <c r="AB45" s="16">
        <f t="shared" si="32"/>
        <v>6.8500009999999999E-4</v>
      </c>
      <c r="AC45" s="16" t="str">
        <f t="shared" si="33"/>
        <v>ICHEC-EC-EARTH_historical_point29711</v>
      </c>
      <c r="AD45" s="16" t="str">
        <f t="shared" si="34"/>
        <v>wind_Events/Scaled_cl11_repl4.txt</v>
      </c>
      <c r="AE45" s="16" t="str">
        <f t="shared" si="35"/>
        <v>ICHEC-EC-EARTH_Scaled_Cluster11_repl4</v>
      </c>
      <c r="AF45" s="21" t="s">
        <v>498</v>
      </c>
      <c r="AG45" s="21" t="s">
        <v>499</v>
      </c>
    </row>
    <row r="46" spans="1:33" ht="13.8">
      <c r="A46" s="7" t="str">
        <f t="shared" si="18"/>
        <v>ICHEC-EC-EARTH_Scaled_Cluster11_repl5</v>
      </c>
      <c r="B46" s="8" t="s">
        <v>16</v>
      </c>
      <c r="C46" s="8" t="s">
        <v>54</v>
      </c>
      <c r="D46" s="9" t="s">
        <v>17</v>
      </c>
      <c r="E46" s="9" t="str">
        <f t="shared" si="19"/>
        <v>historical</v>
      </c>
      <c r="F46" s="8">
        <v>350</v>
      </c>
      <c r="G46" s="8" t="s">
        <v>18</v>
      </c>
      <c r="H46" s="8">
        <v>1</v>
      </c>
      <c r="I46" s="19">
        <v>6.8499999999999995E-4</v>
      </c>
      <c r="J46" s="8">
        <v>11</v>
      </c>
      <c r="K46" s="8" t="s">
        <v>165</v>
      </c>
      <c r="L46" s="8">
        <v>5</v>
      </c>
      <c r="M46" s="8">
        <v>1</v>
      </c>
      <c r="N46" s="10" t="s">
        <v>21</v>
      </c>
      <c r="O46" s="17" t="s">
        <v>328</v>
      </c>
      <c r="P46" s="10" t="str">
        <f t="shared" si="20"/>
        <v>ICHEC-EC-EARTH_Scaled_Cluster11_repl5.sqlite</v>
      </c>
      <c r="Q46" s="11">
        <f t="shared" si="21"/>
        <v>13</v>
      </c>
      <c r="R46" s="16" t="str">
        <f t="shared" si="22"/>
        <v>climate_db_ICHEC-EC-EARTH_historical_v4.sqlite</v>
      </c>
      <c r="S46" s="16" t="str">
        <f t="shared" si="23"/>
        <v>log/ICHEC-EC-EARTH_Scaled_Cluster11_repl5.txt</v>
      </c>
      <c r="T46" s="16" t="str">
        <f t="shared" si="24"/>
        <v>init/env_file_CLUSTER11_REPL5_ICHEC-EC-EARTH_historical.csv</v>
      </c>
      <c r="U46" s="16" t="str">
        <f t="shared" si="25"/>
        <v>init/env_grid_CLUSTER11_REPL5.asc</v>
      </c>
      <c r="V46" s="16" t="str">
        <f t="shared" si="26"/>
        <v>init/env_grid_CLUSTER11_REPL5.asc</v>
      </c>
      <c r="W46" s="16" t="str">
        <f t="shared" si="27"/>
        <v>trees_CLUSTER11.csv</v>
      </c>
      <c r="X46" s="16" t="str">
        <f t="shared" si="28"/>
        <v>saplings_CLUSTER11.csv</v>
      </c>
      <c r="Y46" s="16">
        <f t="shared" si="29"/>
        <v>350</v>
      </c>
      <c r="Z46" s="16" t="str">
        <f t="shared" si="30"/>
        <v>abe/no_mgmt.csv</v>
      </c>
      <c r="AA46" s="16" t="str">
        <f t="shared" si="31"/>
        <v>gis/WindModifier_cl11.asc</v>
      </c>
      <c r="AB46" s="16">
        <f t="shared" si="32"/>
        <v>6.8500009999999999E-4</v>
      </c>
      <c r="AC46" s="16" t="str">
        <f t="shared" si="33"/>
        <v>ICHEC-EC-EARTH_historical_point29711</v>
      </c>
      <c r="AD46" s="16" t="str">
        <f t="shared" si="34"/>
        <v>wind_Events/Scaled_cl11_repl5.txt</v>
      </c>
      <c r="AE46" s="16" t="str">
        <f t="shared" si="35"/>
        <v>ICHEC-EC-EARTH_Scaled_Cluster11_repl5</v>
      </c>
      <c r="AF46" s="21" t="s">
        <v>500</v>
      </c>
      <c r="AG46" s="21" t="s">
        <v>501</v>
      </c>
    </row>
    <row r="47" spans="1:33" ht="13.8">
      <c r="A47" s="7" t="str">
        <f t="shared" si="18"/>
        <v>ICHEC-EC-EARTH_Scaled_Cluster12_repl1</v>
      </c>
      <c r="B47" s="8" t="s">
        <v>16</v>
      </c>
      <c r="C47" s="8" t="s">
        <v>54</v>
      </c>
      <c r="D47" s="9" t="s">
        <v>17</v>
      </c>
      <c r="E47" s="9" t="str">
        <f t="shared" si="19"/>
        <v>historical</v>
      </c>
      <c r="F47" s="8">
        <v>350</v>
      </c>
      <c r="G47" s="8" t="s">
        <v>18</v>
      </c>
      <c r="H47" s="8">
        <v>1</v>
      </c>
      <c r="I47" s="19">
        <v>6.8499999999999995E-4</v>
      </c>
      <c r="J47" s="8">
        <v>12</v>
      </c>
      <c r="K47" s="8" t="s">
        <v>166</v>
      </c>
      <c r="L47" s="8">
        <v>1</v>
      </c>
      <c r="M47" s="8">
        <v>1</v>
      </c>
      <c r="N47" s="10" t="s">
        <v>21</v>
      </c>
      <c r="O47" s="17" t="s">
        <v>328</v>
      </c>
      <c r="P47" s="10" t="str">
        <f t="shared" si="20"/>
        <v>ICHEC-EC-EARTH_Scaled_Cluster12_repl1.sqlite</v>
      </c>
      <c r="Q47" s="11">
        <f t="shared" si="21"/>
        <v>1</v>
      </c>
      <c r="R47" s="16" t="str">
        <f t="shared" si="22"/>
        <v>climate_db_ICHEC-EC-EARTH_historical_v4.sqlite</v>
      </c>
      <c r="S47" s="16" t="str">
        <f t="shared" si="23"/>
        <v>log/ICHEC-EC-EARTH_Scaled_Cluster12_repl1.txt</v>
      </c>
      <c r="T47" s="16" t="str">
        <f t="shared" si="24"/>
        <v>init/env_file_CLUSTER12_REPL1_ICHEC-EC-EARTH_historical.csv</v>
      </c>
      <c r="U47" s="16" t="str">
        <f t="shared" si="25"/>
        <v>init/env_grid_CLUSTER12_REPL1.asc</v>
      </c>
      <c r="V47" s="16" t="str">
        <f t="shared" si="26"/>
        <v>init/env_grid_CLUSTER12_REPL1.asc</v>
      </c>
      <c r="W47" s="16" t="str">
        <f t="shared" si="27"/>
        <v>trees_CLUSTER12.csv</v>
      </c>
      <c r="X47" s="16" t="str">
        <f t="shared" si="28"/>
        <v>saplings_CLUSTER12.csv</v>
      </c>
      <c r="Y47" s="16">
        <f t="shared" si="29"/>
        <v>350</v>
      </c>
      <c r="Z47" s="16" t="str">
        <f t="shared" si="30"/>
        <v>abe/no_mgmt.csv</v>
      </c>
      <c r="AA47" s="16" t="str">
        <f t="shared" si="31"/>
        <v>gis/WindModifier_cl12.asc</v>
      </c>
      <c r="AB47" s="16">
        <f t="shared" si="32"/>
        <v>6.8500009999999999E-4</v>
      </c>
      <c r="AC47" s="16" t="str">
        <f t="shared" si="33"/>
        <v>ICHEC-EC-EARTH_historical_point32670</v>
      </c>
      <c r="AD47" s="16" t="str">
        <f t="shared" si="34"/>
        <v>wind_Events/Scaled_cl12_repl1.txt</v>
      </c>
      <c r="AE47" s="16" t="str">
        <f t="shared" si="35"/>
        <v>ICHEC-EC-EARTH_Scaled_Cluster12_repl1</v>
      </c>
      <c r="AF47" s="21" t="s">
        <v>347</v>
      </c>
      <c r="AG47" s="21" t="s">
        <v>348</v>
      </c>
    </row>
    <row r="48" spans="1:33" ht="13.8">
      <c r="A48" s="7" t="str">
        <f t="shared" si="18"/>
        <v>ICHEC-EC-EARTH_Scaled_Cluster12_repl2</v>
      </c>
      <c r="B48" s="8" t="s">
        <v>16</v>
      </c>
      <c r="C48" s="8" t="s">
        <v>54</v>
      </c>
      <c r="D48" s="9" t="s">
        <v>17</v>
      </c>
      <c r="E48" s="9" t="str">
        <f t="shared" si="19"/>
        <v>historical</v>
      </c>
      <c r="F48" s="8">
        <v>350</v>
      </c>
      <c r="G48" s="8" t="s">
        <v>18</v>
      </c>
      <c r="H48" s="8">
        <v>1</v>
      </c>
      <c r="I48" s="19">
        <v>6.8499999999999995E-4</v>
      </c>
      <c r="J48" s="8">
        <v>12</v>
      </c>
      <c r="K48" s="8" t="s">
        <v>166</v>
      </c>
      <c r="L48" s="8">
        <v>2</v>
      </c>
      <c r="M48" s="8">
        <v>1</v>
      </c>
      <c r="N48" s="10" t="s">
        <v>21</v>
      </c>
      <c r="O48" s="17" t="s">
        <v>328</v>
      </c>
      <c r="P48" s="10" t="str">
        <f t="shared" si="20"/>
        <v>ICHEC-EC-EARTH_Scaled_Cluster12_repl2.sqlite</v>
      </c>
      <c r="Q48" s="11">
        <f t="shared" si="21"/>
        <v>4</v>
      </c>
      <c r="R48" s="16" t="str">
        <f t="shared" si="22"/>
        <v>climate_db_ICHEC-EC-EARTH_historical_v4.sqlite</v>
      </c>
      <c r="S48" s="16" t="str">
        <f t="shared" si="23"/>
        <v>log/ICHEC-EC-EARTH_Scaled_Cluster12_repl2.txt</v>
      </c>
      <c r="T48" s="16" t="str">
        <f t="shared" si="24"/>
        <v>init/env_file_CLUSTER12_REPL2_ICHEC-EC-EARTH_historical.csv</v>
      </c>
      <c r="U48" s="16" t="str">
        <f t="shared" si="25"/>
        <v>init/env_grid_CLUSTER12_REPL2.asc</v>
      </c>
      <c r="V48" s="16" t="str">
        <f t="shared" si="26"/>
        <v>init/env_grid_CLUSTER12_REPL2.asc</v>
      </c>
      <c r="W48" s="16" t="str">
        <f t="shared" si="27"/>
        <v>trees_CLUSTER12.csv</v>
      </c>
      <c r="X48" s="16" t="str">
        <f t="shared" si="28"/>
        <v>saplings_CLUSTER12.csv</v>
      </c>
      <c r="Y48" s="16">
        <f t="shared" si="29"/>
        <v>350</v>
      </c>
      <c r="Z48" s="16" t="str">
        <f t="shared" si="30"/>
        <v>abe/no_mgmt.csv</v>
      </c>
      <c r="AA48" s="16" t="str">
        <f t="shared" si="31"/>
        <v>gis/WindModifier_cl12.asc</v>
      </c>
      <c r="AB48" s="16">
        <f t="shared" si="32"/>
        <v>6.8500009999999999E-4</v>
      </c>
      <c r="AC48" s="16" t="str">
        <f t="shared" si="33"/>
        <v>ICHEC-EC-EARTH_historical_point32670</v>
      </c>
      <c r="AD48" s="16" t="str">
        <f t="shared" si="34"/>
        <v>wind_Events/Scaled_cl12_repl2.txt</v>
      </c>
      <c r="AE48" s="16" t="str">
        <f t="shared" si="35"/>
        <v>ICHEC-EC-EARTH_Scaled_Cluster12_repl2</v>
      </c>
      <c r="AF48" s="21" t="s">
        <v>502</v>
      </c>
      <c r="AG48" s="21" t="s">
        <v>503</v>
      </c>
    </row>
    <row r="49" spans="1:33" ht="13.8">
      <c r="A49" s="7" t="str">
        <f t="shared" si="18"/>
        <v>ICHEC-EC-EARTH_Scaled_Cluster12_repl3</v>
      </c>
      <c r="B49" s="8" t="s">
        <v>16</v>
      </c>
      <c r="C49" s="8" t="s">
        <v>54</v>
      </c>
      <c r="D49" s="9" t="s">
        <v>17</v>
      </c>
      <c r="E49" s="9" t="str">
        <f t="shared" si="19"/>
        <v>historical</v>
      </c>
      <c r="F49" s="8">
        <v>350</v>
      </c>
      <c r="G49" s="8" t="s">
        <v>18</v>
      </c>
      <c r="H49" s="8">
        <v>1</v>
      </c>
      <c r="I49" s="19">
        <v>6.8499999999999995E-4</v>
      </c>
      <c r="J49" s="8">
        <v>12</v>
      </c>
      <c r="K49" s="8" t="s">
        <v>166</v>
      </c>
      <c r="L49" s="8">
        <v>3</v>
      </c>
      <c r="M49" s="8">
        <v>1</v>
      </c>
      <c r="N49" s="10" t="s">
        <v>21</v>
      </c>
      <c r="O49" s="17" t="s">
        <v>328</v>
      </c>
      <c r="P49" s="10" t="str">
        <f t="shared" si="20"/>
        <v>ICHEC-EC-EARTH_Scaled_Cluster12_repl3.sqlite</v>
      </c>
      <c r="Q49" s="11">
        <f t="shared" si="21"/>
        <v>7</v>
      </c>
      <c r="R49" s="16" t="str">
        <f t="shared" si="22"/>
        <v>climate_db_ICHEC-EC-EARTH_historical_v4.sqlite</v>
      </c>
      <c r="S49" s="16" t="str">
        <f t="shared" si="23"/>
        <v>log/ICHEC-EC-EARTH_Scaled_Cluster12_repl3.txt</v>
      </c>
      <c r="T49" s="16" t="str">
        <f t="shared" si="24"/>
        <v>init/env_file_CLUSTER12_REPL3_ICHEC-EC-EARTH_historical.csv</v>
      </c>
      <c r="U49" s="16" t="str">
        <f t="shared" si="25"/>
        <v>init/env_grid_CLUSTER12_REPL3.asc</v>
      </c>
      <c r="V49" s="16" t="str">
        <f t="shared" si="26"/>
        <v>init/env_grid_CLUSTER12_REPL3.asc</v>
      </c>
      <c r="W49" s="16" t="str">
        <f t="shared" si="27"/>
        <v>trees_CLUSTER12.csv</v>
      </c>
      <c r="X49" s="16" t="str">
        <f t="shared" si="28"/>
        <v>saplings_CLUSTER12.csv</v>
      </c>
      <c r="Y49" s="16">
        <f t="shared" si="29"/>
        <v>350</v>
      </c>
      <c r="Z49" s="16" t="str">
        <f t="shared" si="30"/>
        <v>abe/no_mgmt.csv</v>
      </c>
      <c r="AA49" s="16" t="str">
        <f t="shared" si="31"/>
        <v>gis/WindModifier_cl12.asc</v>
      </c>
      <c r="AB49" s="16">
        <f t="shared" si="32"/>
        <v>6.8500009999999999E-4</v>
      </c>
      <c r="AC49" s="16" t="str">
        <f t="shared" si="33"/>
        <v>ICHEC-EC-EARTH_historical_point32670</v>
      </c>
      <c r="AD49" s="16" t="str">
        <f t="shared" si="34"/>
        <v>wind_Events/Scaled_cl12_repl3.txt</v>
      </c>
      <c r="AE49" s="16" t="str">
        <f t="shared" si="35"/>
        <v>ICHEC-EC-EARTH_Scaled_Cluster12_repl3</v>
      </c>
      <c r="AF49" s="21" t="s">
        <v>504</v>
      </c>
      <c r="AG49" s="21" t="s">
        <v>505</v>
      </c>
    </row>
    <row r="50" spans="1:33" ht="13.8">
      <c r="A50" s="7" t="str">
        <f t="shared" si="18"/>
        <v>ICHEC-EC-EARTH_Scaled_Cluster12_repl4</v>
      </c>
      <c r="B50" s="8" t="s">
        <v>16</v>
      </c>
      <c r="C50" s="8" t="s">
        <v>54</v>
      </c>
      <c r="D50" s="9" t="s">
        <v>17</v>
      </c>
      <c r="E50" s="9" t="str">
        <f t="shared" si="19"/>
        <v>historical</v>
      </c>
      <c r="F50" s="8">
        <v>350</v>
      </c>
      <c r="G50" s="8" t="s">
        <v>18</v>
      </c>
      <c r="H50" s="8">
        <v>1</v>
      </c>
      <c r="I50" s="19">
        <v>6.8499999999999995E-4</v>
      </c>
      <c r="J50" s="8">
        <v>12</v>
      </c>
      <c r="K50" s="8" t="s">
        <v>166</v>
      </c>
      <c r="L50" s="8">
        <v>4</v>
      </c>
      <c r="M50" s="8">
        <v>1</v>
      </c>
      <c r="N50" s="10" t="s">
        <v>21</v>
      </c>
      <c r="O50" s="17" t="s">
        <v>328</v>
      </c>
      <c r="P50" s="10" t="str">
        <f t="shared" si="20"/>
        <v>ICHEC-EC-EARTH_Scaled_Cluster12_repl4.sqlite</v>
      </c>
      <c r="Q50" s="11">
        <f t="shared" si="21"/>
        <v>10</v>
      </c>
      <c r="R50" s="16" t="str">
        <f t="shared" si="22"/>
        <v>climate_db_ICHEC-EC-EARTH_historical_v4.sqlite</v>
      </c>
      <c r="S50" s="16" t="str">
        <f t="shared" si="23"/>
        <v>log/ICHEC-EC-EARTH_Scaled_Cluster12_repl4.txt</v>
      </c>
      <c r="T50" s="16" t="str">
        <f t="shared" si="24"/>
        <v>init/env_file_CLUSTER12_REPL4_ICHEC-EC-EARTH_historical.csv</v>
      </c>
      <c r="U50" s="16" t="str">
        <f t="shared" si="25"/>
        <v>init/env_grid_CLUSTER12_REPL4.asc</v>
      </c>
      <c r="V50" s="16" t="str">
        <f t="shared" si="26"/>
        <v>init/env_grid_CLUSTER12_REPL4.asc</v>
      </c>
      <c r="W50" s="16" t="str">
        <f t="shared" si="27"/>
        <v>trees_CLUSTER12.csv</v>
      </c>
      <c r="X50" s="16" t="str">
        <f t="shared" si="28"/>
        <v>saplings_CLUSTER12.csv</v>
      </c>
      <c r="Y50" s="16">
        <f t="shared" si="29"/>
        <v>350</v>
      </c>
      <c r="Z50" s="16" t="str">
        <f t="shared" si="30"/>
        <v>abe/no_mgmt.csv</v>
      </c>
      <c r="AA50" s="16" t="str">
        <f t="shared" si="31"/>
        <v>gis/WindModifier_cl12.asc</v>
      </c>
      <c r="AB50" s="16">
        <f t="shared" si="32"/>
        <v>6.8500009999999999E-4</v>
      </c>
      <c r="AC50" s="16" t="str">
        <f t="shared" si="33"/>
        <v>ICHEC-EC-EARTH_historical_point32670</v>
      </c>
      <c r="AD50" s="16" t="str">
        <f t="shared" si="34"/>
        <v>wind_Events/Scaled_cl12_repl4.txt</v>
      </c>
      <c r="AE50" s="16" t="str">
        <f t="shared" si="35"/>
        <v>ICHEC-EC-EARTH_Scaled_Cluster12_repl4</v>
      </c>
      <c r="AF50" s="21" t="s">
        <v>506</v>
      </c>
      <c r="AG50" s="21" t="s">
        <v>507</v>
      </c>
    </row>
    <row r="51" spans="1:33" ht="13.8">
      <c r="A51" s="7" t="str">
        <f t="shared" si="18"/>
        <v>ICHEC-EC-EARTH_Scaled_Cluster12_repl5</v>
      </c>
      <c r="B51" s="8" t="s">
        <v>16</v>
      </c>
      <c r="C51" s="8" t="s">
        <v>54</v>
      </c>
      <c r="D51" s="9" t="s">
        <v>17</v>
      </c>
      <c r="E51" s="9" t="str">
        <f t="shared" si="19"/>
        <v>historical</v>
      </c>
      <c r="F51" s="8">
        <v>350</v>
      </c>
      <c r="G51" s="8" t="s">
        <v>18</v>
      </c>
      <c r="H51" s="8">
        <v>1</v>
      </c>
      <c r="I51" s="19">
        <v>6.8499999999999995E-4</v>
      </c>
      <c r="J51" s="8">
        <v>12</v>
      </c>
      <c r="K51" s="8" t="s">
        <v>166</v>
      </c>
      <c r="L51" s="8">
        <v>5</v>
      </c>
      <c r="M51" s="8">
        <v>1</v>
      </c>
      <c r="N51" s="10" t="s">
        <v>21</v>
      </c>
      <c r="O51" s="17" t="s">
        <v>328</v>
      </c>
      <c r="P51" s="10" t="str">
        <f t="shared" si="20"/>
        <v>ICHEC-EC-EARTH_Scaled_Cluster12_repl5.sqlite</v>
      </c>
      <c r="Q51" s="11">
        <f t="shared" si="21"/>
        <v>13</v>
      </c>
      <c r="R51" s="16" t="str">
        <f t="shared" si="22"/>
        <v>climate_db_ICHEC-EC-EARTH_historical_v4.sqlite</v>
      </c>
      <c r="S51" s="16" t="str">
        <f t="shared" si="23"/>
        <v>log/ICHEC-EC-EARTH_Scaled_Cluster12_repl5.txt</v>
      </c>
      <c r="T51" s="16" t="str">
        <f t="shared" si="24"/>
        <v>init/env_file_CLUSTER12_REPL5_ICHEC-EC-EARTH_historical.csv</v>
      </c>
      <c r="U51" s="16" t="str">
        <f t="shared" si="25"/>
        <v>init/env_grid_CLUSTER12_REPL5.asc</v>
      </c>
      <c r="V51" s="16" t="str">
        <f t="shared" si="26"/>
        <v>init/env_grid_CLUSTER12_REPL5.asc</v>
      </c>
      <c r="W51" s="16" t="str">
        <f t="shared" si="27"/>
        <v>trees_CLUSTER12.csv</v>
      </c>
      <c r="X51" s="16" t="str">
        <f t="shared" si="28"/>
        <v>saplings_CLUSTER12.csv</v>
      </c>
      <c r="Y51" s="16">
        <f t="shared" si="29"/>
        <v>350</v>
      </c>
      <c r="Z51" s="16" t="str">
        <f t="shared" si="30"/>
        <v>abe/no_mgmt.csv</v>
      </c>
      <c r="AA51" s="16" t="str">
        <f t="shared" si="31"/>
        <v>gis/WindModifier_cl12.asc</v>
      </c>
      <c r="AB51" s="16">
        <f t="shared" si="32"/>
        <v>6.8500009999999999E-4</v>
      </c>
      <c r="AC51" s="16" t="str">
        <f t="shared" si="33"/>
        <v>ICHEC-EC-EARTH_historical_point32670</v>
      </c>
      <c r="AD51" s="16" t="str">
        <f t="shared" si="34"/>
        <v>wind_Events/Scaled_cl12_repl5.txt</v>
      </c>
      <c r="AE51" s="16" t="str">
        <f t="shared" si="35"/>
        <v>ICHEC-EC-EARTH_Scaled_Cluster12_repl5</v>
      </c>
      <c r="AF51" s="21" t="s">
        <v>508</v>
      </c>
      <c r="AG51" s="21" t="s">
        <v>509</v>
      </c>
    </row>
    <row r="52" spans="1:33" ht="13.8">
      <c r="A52" s="7" t="str">
        <f t="shared" si="18"/>
        <v>ICHEC-EC-EARTH_Scaled_Cluster13_repl1</v>
      </c>
      <c r="B52" s="8" t="s">
        <v>16</v>
      </c>
      <c r="C52" s="8" t="s">
        <v>54</v>
      </c>
      <c r="D52" s="9" t="s">
        <v>17</v>
      </c>
      <c r="E52" s="9" t="str">
        <f t="shared" si="19"/>
        <v>historical</v>
      </c>
      <c r="F52" s="8">
        <v>350</v>
      </c>
      <c r="G52" s="8" t="s">
        <v>18</v>
      </c>
      <c r="H52" s="8">
        <v>1</v>
      </c>
      <c r="I52" s="19">
        <v>6.8499999999999995E-4</v>
      </c>
      <c r="J52" s="8">
        <v>13</v>
      </c>
      <c r="K52" s="8" t="s">
        <v>167</v>
      </c>
      <c r="L52" s="8">
        <v>1</v>
      </c>
      <c r="M52" s="8">
        <v>1</v>
      </c>
      <c r="N52" s="10" t="s">
        <v>21</v>
      </c>
      <c r="O52" s="17" t="s">
        <v>328</v>
      </c>
      <c r="P52" s="10" t="str">
        <f t="shared" si="20"/>
        <v>ICHEC-EC-EARTH_Scaled_Cluster13_repl1.sqlite</v>
      </c>
      <c r="Q52" s="11">
        <f t="shared" si="21"/>
        <v>1</v>
      </c>
      <c r="R52" s="16" t="str">
        <f t="shared" si="22"/>
        <v>climate_db_ICHEC-EC-EARTH_historical_v4.sqlite</v>
      </c>
      <c r="S52" s="16" t="str">
        <f t="shared" si="23"/>
        <v>log/ICHEC-EC-EARTH_Scaled_Cluster13_repl1.txt</v>
      </c>
      <c r="T52" s="16" t="str">
        <f t="shared" si="24"/>
        <v>init/env_file_CLUSTER13_REPL1_ICHEC-EC-EARTH_historical.csv</v>
      </c>
      <c r="U52" s="16" t="str">
        <f t="shared" si="25"/>
        <v>init/env_grid_CLUSTER13_REPL1.asc</v>
      </c>
      <c r="V52" s="16" t="str">
        <f t="shared" si="26"/>
        <v>init/env_grid_CLUSTER13_REPL1.asc</v>
      </c>
      <c r="W52" s="16" t="str">
        <f t="shared" si="27"/>
        <v>trees_CLUSTER13.csv</v>
      </c>
      <c r="X52" s="16" t="str">
        <f t="shared" si="28"/>
        <v>saplings_CLUSTER13.csv</v>
      </c>
      <c r="Y52" s="16">
        <f t="shared" si="29"/>
        <v>350</v>
      </c>
      <c r="Z52" s="16" t="str">
        <f t="shared" si="30"/>
        <v>abe/no_mgmt.csv</v>
      </c>
      <c r="AA52" s="16" t="str">
        <f t="shared" si="31"/>
        <v>gis/WindModifier_cl13.asc</v>
      </c>
      <c r="AB52" s="16">
        <f t="shared" si="32"/>
        <v>6.8500009999999999E-4</v>
      </c>
      <c r="AC52" s="16" t="str">
        <f t="shared" si="33"/>
        <v>ICHEC-EC-EARTH_historical_point33292</v>
      </c>
      <c r="AD52" s="16" t="str">
        <f t="shared" si="34"/>
        <v>wind_Events/Scaled_cl13_repl1.txt</v>
      </c>
      <c r="AE52" s="16" t="str">
        <f t="shared" si="35"/>
        <v>ICHEC-EC-EARTH_Scaled_Cluster13_repl1</v>
      </c>
      <c r="AF52" s="21" t="s">
        <v>349</v>
      </c>
      <c r="AG52" s="21" t="s">
        <v>350</v>
      </c>
    </row>
    <row r="53" spans="1:33" ht="13.8">
      <c r="A53" s="7" t="str">
        <f t="shared" si="18"/>
        <v>ICHEC-EC-EARTH_Scaled_Cluster13_repl2</v>
      </c>
      <c r="B53" s="8" t="s">
        <v>16</v>
      </c>
      <c r="C53" s="8" t="s">
        <v>54</v>
      </c>
      <c r="D53" s="9" t="s">
        <v>17</v>
      </c>
      <c r="E53" s="9" t="str">
        <f t="shared" si="19"/>
        <v>historical</v>
      </c>
      <c r="F53" s="8">
        <v>350</v>
      </c>
      <c r="G53" s="8" t="s">
        <v>18</v>
      </c>
      <c r="H53" s="8">
        <v>1</v>
      </c>
      <c r="I53" s="19">
        <v>6.8499999999999995E-4</v>
      </c>
      <c r="J53" s="8">
        <v>13</v>
      </c>
      <c r="K53" s="8" t="s">
        <v>167</v>
      </c>
      <c r="L53" s="8">
        <v>2</v>
      </c>
      <c r="M53" s="8">
        <v>1</v>
      </c>
      <c r="N53" s="10" t="s">
        <v>21</v>
      </c>
      <c r="O53" s="17" t="s">
        <v>328</v>
      </c>
      <c r="P53" s="10" t="str">
        <f t="shared" si="20"/>
        <v>ICHEC-EC-EARTH_Scaled_Cluster13_repl2.sqlite</v>
      </c>
      <c r="Q53" s="11">
        <f t="shared" si="21"/>
        <v>4</v>
      </c>
      <c r="R53" s="16" t="str">
        <f t="shared" si="22"/>
        <v>climate_db_ICHEC-EC-EARTH_historical_v4.sqlite</v>
      </c>
      <c r="S53" s="16" t="str">
        <f t="shared" si="23"/>
        <v>log/ICHEC-EC-EARTH_Scaled_Cluster13_repl2.txt</v>
      </c>
      <c r="T53" s="16" t="str">
        <f t="shared" si="24"/>
        <v>init/env_file_CLUSTER13_REPL2_ICHEC-EC-EARTH_historical.csv</v>
      </c>
      <c r="U53" s="16" t="str">
        <f t="shared" si="25"/>
        <v>init/env_grid_CLUSTER13_REPL2.asc</v>
      </c>
      <c r="V53" s="16" t="str">
        <f t="shared" si="26"/>
        <v>init/env_grid_CLUSTER13_REPL2.asc</v>
      </c>
      <c r="W53" s="16" t="str">
        <f t="shared" si="27"/>
        <v>trees_CLUSTER13.csv</v>
      </c>
      <c r="X53" s="16" t="str">
        <f t="shared" si="28"/>
        <v>saplings_CLUSTER13.csv</v>
      </c>
      <c r="Y53" s="16">
        <f t="shared" si="29"/>
        <v>350</v>
      </c>
      <c r="Z53" s="16" t="str">
        <f t="shared" si="30"/>
        <v>abe/no_mgmt.csv</v>
      </c>
      <c r="AA53" s="16" t="str">
        <f t="shared" si="31"/>
        <v>gis/WindModifier_cl13.asc</v>
      </c>
      <c r="AB53" s="16">
        <f t="shared" si="32"/>
        <v>6.8500009999999999E-4</v>
      </c>
      <c r="AC53" s="16" t="str">
        <f t="shared" si="33"/>
        <v>ICHEC-EC-EARTH_historical_point33292</v>
      </c>
      <c r="AD53" s="16" t="str">
        <f t="shared" si="34"/>
        <v>wind_Events/Scaled_cl13_repl2.txt</v>
      </c>
      <c r="AE53" s="16" t="str">
        <f t="shared" si="35"/>
        <v>ICHEC-EC-EARTH_Scaled_Cluster13_repl2</v>
      </c>
      <c r="AF53" s="21" t="s">
        <v>510</v>
      </c>
      <c r="AG53" s="21" t="s">
        <v>511</v>
      </c>
    </row>
    <row r="54" spans="1:33" ht="13.8">
      <c r="A54" s="7" t="str">
        <f t="shared" si="18"/>
        <v>ICHEC-EC-EARTH_Scaled_Cluster13_repl3</v>
      </c>
      <c r="B54" s="8" t="s">
        <v>16</v>
      </c>
      <c r="C54" s="8" t="s">
        <v>54</v>
      </c>
      <c r="D54" s="9" t="s">
        <v>17</v>
      </c>
      <c r="E54" s="9" t="str">
        <f t="shared" si="19"/>
        <v>historical</v>
      </c>
      <c r="F54" s="8">
        <v>350</v>
      </c>
      <c r="G54" s="8" t="s">
        <v>18</v>
      </c>
      <c r="H54" s="8">
        <v>1</v>
      </c>
      <c r="I54" s="19">
        <v>6.8499999999999995E-4</v>
      </c>
      <c r="J54" s="8">
        <v>13</v>
      </c>
      <c r="K54" s="8" t="s">
        <v>167</v>
      </c>
      <c r="L54" s="8">
        <v>3</v>
      </c>
      <c r="M54" s="8">
        <v>1</v>
      </c>
      <c r="N54" s="10" t="s">
        <v>21</v>
      </c>
      <c r="O54" s="17" t="s">
        <v>328</v>
      </c>
      <c r="P54" s="10" t="str">
        <f t="shared" si="20"/>
        <v>ICHEC-EC-EARTH_Scaled_Cluster13_repl3.sqlite</v>
      </c>
      <c r="Q54" s="11">
        <f t="shared" si="21"/>
        <v>7</v>
      </c>
      <c r="R54" s="16" t="str">
        <f t="shared" si="22"/>
        <v>climate_db_ICHEC-EC-EARTH_historical_v4.sqlite</v>
      </c>
      <c r="S54" s="16" t="str">
        <f t="shared" si="23"/>
        <v>log/ICHEC-EC-EARTH_Scaled_Cluster13_repl3.txt</v>
      </c>
      <c r="T54" s="16" t="str">
        <f t="shared" si="24"/>
        <v>init/env_file_CLUSTER13_REPL3_ICHEC-EC-EARTH_historical.csv</v>
      </c>
      <c r="U54" s="16" t="str">
        <f t="shared" si="25"/>
        <v>init/env_grid_CLUSTER13_REPL3.asc</v>
      </c>
      <c r="V54" s="16" t="str">
        <f t="shared" si="26"/>
        <v>init/env_grid_CLUSTER13_REPL3.asc</v>
      </c>
      <c r="W54" s="16" t="str">
        <f t="shared" si="27"/>
        <v>trees_CLUSTER13.csv</v>
      </c>
      <c r="X54" s="16" t="str">
        <f t="shared" si="28"/>
        <v>saplings_CLUSTER13.csv</v>
      </c>
      <c r="Y54" s="16">
        <f t="shared" si="29"/>
        <v>350</v>
      </c>
      <c r="Z54" s="16" t="str">
        <f t="shared" si="30"/>
        <v>abe/no_mgmt.csv</v>
      </c>
      <c r="AA54" s="16" t="str">
        <f t="shared" si="31"/>
        <v>gis/WindModifier_cl13.asc</v>
      </c>
      <c r="AB54" s="16">
        <f t="shared" si="32"/>
        <v>6.8500009999999999E-4</v>
      </c>
      <c r="AC54" s="16" t="str">
        <f t="shared" si="33"/>
        <v>ICHEC-EC-EARTH_historical_point33292</v>
      </c>
      <c r="AD54" s="16" t="str">
        <f t="shared" si="34"/>
        <v>wind_Events/Scaled_cl13_repl3.txt</v>
      </c>
      <c r="AE54" s="16" t="str">
        <f t="shared" si="35"/>
        <v>ICHEC-EC-EARTH_Scaled_Cluster13_repl3</v>
      </c>
      <c r="AF54" s="21" t="s">
        <v>512</v>
      </c>
      <c r="AG54" s="21" t="s">
        <v>513</v>
      </c>
    </row>
    <row r="55" spans="1:33" ht="13.8">
      <c r="A55" s="7" t="str">
        <f t="shared" si="18"/>
        <v>ICHEC-EC-EARTH_Scaled_Cluster13_repl4</v>
      </c>
      <c r="B55" s="8" t="s">
        <v>16</v>
      </c>
      <c r="C55" s="8" t="s">
        <v>54</v>
      </c>
      <c r="D55" s="9" t="s">
        <v>17</v>
      </c>
      <c r="E55" s="9" t="str">
        <f t="shared" si="19"/>
        <v>historical</v>
      </c>
      <c r="F55" s="8">
        <v>350</v>
      </c>
      <c r="G55" s="8" t="s">
        <v>18</v>
      </c>
      <c r="H55" s="8">
        <v>1</v>
      </c>
      <c r="I55" s="19">
        <v>6.8499999999999995E-4</v>
      </c>
      <c r="J55" s="8">
        <v>13</v>
      </c>
      <c r="K55" s="8" t="s">
        <v>167</v>
      </c>
      <c r="L55" s="8">
        <v>4</v>
      </c>
      <c r="M55" s="8">
        <v>1</v>
      </c>
      <c r="N55" s="10" t="s">
        <v>21</v>
      </c>
      <c r="O55" s="17" t="s">
        <v>328</v>
      </c>
      <c r="P55" s="10" t="str">
        <f t="shared" si="20"/>
        <v>ICHEC-EC-EARTH_Scaled_Cluster13_repl4.sqlite</v>
      </c>
      <c r="Q55" s="11">
        <f t="shared" si="21"/>
        <v>10</v>
      </c>
      <c r="R55" s="16" t="str">
        <f t="shared" si="22"/>
        <v>climate_db_ICHEC-EC-EARTH_historical_v4.sqlite</v>
      </c>
      <c r="S55" s="16" t="str">
        <f t="shared" si="23"/>
        <v>log/ICHEC-EC-EARTH_Scaled_Cluster13_repl4.txt</v>
      </c>
      <c r="T55" s="16" t="str">
        <f t="shared" si="24"/>
        <v>init/env_file_CLUSTER13_REPL4_ICHEC-EC-EARTH_historical.csv</v>
      </c>
      <c r="U55" s="16" t="str">
        <f t="shared" si="25"/>
        <v>init/env_grid_CLUSTER13_REPL4.asc</v>
      </c>
      <c r="V55" s="16" t="str">
        <f t="shared" si="26"/>
        <v>init/env_grid_CLUSTER13_REPL4.asc</v>
      </c>
      <c r="W55" s="16" t="str">
        <f t="shared" si="27"/>
        <v>trees_CLUSTER13.csv</v>
      </c>
      <c r="X55" s="16" t="str">
        <f t="shared" si="28"/>
        <v>saplings_CLUSTER13.csv</v>
      </c>
      <c r="Y55" s="16">
        <f t="shared" si="29"/>
        <v>350</v>
      </c>
      <c r="Z55" s="16" t="str">
        <f t="shared" si="30"/>
        <v>abe/no_mgmt.csv</v>
      </c>
      <c r="AA55" s="16" t="str">
        <f t="shared" si="31"/>
        <v>gis/WindModifier_cl13.asc</v>
      </c>
      <c r="AB55" s="16">
        <f t="shared" si="32"/>
        <v>6.8500009999999999E-4</v>
      </c>
      <c r="AC55" s="16" t="str">
        <f t="shared" si="33"/>
        <v>ICHEC-EC-EARTH_historical_point33292</v>
      </c>
      <c r="AD55" s="16" t="str">
        <f t="shared" si="34"/>
        <v>wind_Events/Scaled_cl13_repl4.txt</v>
      </c>
      <c r="AE55" s="16" t="str">
        <f t="shared" si="35"/>
        <v>ICHEC-EC-EARTH_Scaled_Cluster13_repl4</v>
      </c>
      <c r="AF55" s="21" t="s">
        <v>514</v>
      </c>
      <c r="AG55" s="21" t="s">
        <v>515</v>
      </c>
    </row>
    <row r="56" spans="1:33" ht="13.8">
      <c r="A56" s="7" t="str">
        <f t="shared" si="18"/>
        <v>ICHEC-EC-EARTH_Scaled_Cluster13_repl5</v>
      </c>
      <c r="B56" s="8" t="s">
        <v>16</v>
      </c>
      <c r="C56" s="8" t="s">
        <v>54</v>
      </c>
      <c r="D56" s="9" t="s">
        <v>17</v>
      </c>
      <c r="E56" s="9" t="str">
        <f t="shared" si="19"/>
        <v>historical</v>
      </c>
      <c r="F56" s="8">
        <v>350</v>
      </c>
      <c r="G56" s="8" t="s">
        <v>18</v>
      </c>
      <c r="H56" s="8">
        <v>1</v>
      </c>
      <c r="I56" s="19">
        <v>6.8499999999999995E-4</v>
      </c>
      <c r="J56" s="8">
        <v>13</v>
      </c>
      <c r="K56" s="8" t="s">
        <v>167</v>
      </c>
      <c r="L56" s="8">
        <v>5</v>
      </c>
      <c r="M56" s="8">
        <v>1</v>
      </c>
      <c r="N56" s="10" t="s">
        <v>21</v>
      </c>
      <c r="O56" s="17" t="s">
        <v>328</v>
      </c>
      <c r="P56" s="10" t="str">
        <f t="shared" si="20"/>
        <v>ICHEC-EC-EARTH_Scaled_Cluster13_repl5.sqlite</v>
      </c>
      <c r="Q56" s="11">
        <f t="shared" si="21"/>
        <v>13</v>
      </c>
      <c r="R56" s="16" t="str">
        <f t="shared" si="22"/>
        <v>climate_db_ICHEC-EC-EARTH_historical_v4.sqlite</v>
      </c>
      <c r="S56" s="16" t="str">
        <f t="shared" si="23"/>
        <v>log/ICHEC-EC-EARTH_Scaled_Cluster13_repl5.txt</v>
      </c>
      <c r="T56" s="16" t="str">
        <f t="shared" si="24"/>
        <v>init/env_file_CLUSTER13_REPL5_ICHEC-EC-EARTH_historical.csv</v>
      </c>
      <c r="U56" s="16" t="str">
        <f t="shared" si="25"/>
        <v>init/env_grid_CLUSTER13_REPL5.asc</v>
      </c>
      <c r="V56" s="16" t="str">
        <f t="shared" si="26"/>
        <v>init/env_grid_CLUSTER13_REPL5.asc</v>
      </c>
      <c r="W56" s="16" t="str">
        <f t="shared" si="27"/>
        <v>trees_CLUSTER13.csv</v>
      </c>
      <c r="X56" s="16" t="str">
        <f t="shared" si="28"/>
        <v>saplings_CLUSTER13.csv</v>
      </c>
      <c r="Y56" s="16">
        <f t="shared" si="29"/>
        <v>350</v>
      </c>
      <c r="Z56" s="16" t="str">
        <f t="shared" si="30"/>
        <v>abe/no_mgmt.csv</v>
      </c>
      <c r="AA56" s="16" t="str">
        <f t="shared" si="31"/>
        <v>gis/WindModifier_cl13.asc</v>
      </c>
      <c r="AB56" s="16">
        <f t="shared" si="32"/>
        <v>6.8500009999999999E-4</v>
      </c>
      <c r="AC56" s="16" t="str">
        <f t="shared" si="33"/>
        <v>ICHEC-EC-EARTH_historical_point33292</v>
      </c>
      <c r="AD56" s="16" t="str">
        <f t="shared" si="34"/>
        <v>wind_Events/Scaled_cl13_repl5.txt</v>
      </c>
      <c r="AE56" s="16" t="str">
        <f t="shared" si="35"/>
        <v>ICHEC-EC-EARTH_Scaled_Cluster13_repl5</v>
      </c>
      <c r="AF56" s="21" t="s">
        <v>516</v>
      </c>
      <c r="AG56" s="21" t="s">
        <v>517</v>
      </c>
    </row>
    <row r="57" spans="1:33" ht="13.8">
      <c r="A57" s="7" t="str">
        <f t="shared" si="18"/>
        <v>ICHEC-EC-EARTH_Scaled_Cluster14_repl1</v>
      </c>
      <c r="B57" s="8" t="s">
        <v>16</v>
      </c>
      <c r="C57" s="8" t="s">
        <v>54</v>
      </c>
      <c r="D57" s="9" t="s">
        <v>17</v>
      </c>
      <c r="E57" s="9" t="str">
        <f t="shared" si="19"/>
        <v>historical</v>
      </c>
      <c r="F57" s="8">
        <v>350</v>
      </c>
      <c r="G57" s="8" t="s">
        <v>18</v>
      </c>
      <c r="H57" s="8">
        <v>1</v>
      </c>
      <c r="I57" s="19">
        <v>6.8499999999999995E-4</v>
      </c>
      <c r="J57" s="8">
        <v>14</v>
      </c>
      <c r="K57" s="8" t="s">
        <v>168</v>
      </c>
      <c r="L57" s="8">
        <v>1</v>
      </c>
      <c r="M57" s="8">
        <v>1</v>
      </c>
      <c r="N57" s="10" t="s">
        <v>21</v>
      </c>
      <c r="O57" s="17" t="s">
        <v>328</v>
      </c>
      <c r="P57" s="10" t="str">
        <f t="shared" si="20"/>
        <v>ICHEC-EC-EARTH_Scaled_Cluster14_repl1.sqlite</v>
      </c>
      <c r="Q57" s="11">
        <f t="shared" si="21"/>
        <v>1</v>
      </c>
      <c r="R57" s="16" t="str">
        <f t="shared" si="22"/>
        <v>climate_db_ICHEC-EC-EARTH_historical_v4.sqlite</v>
      </c>
      <c r="S57" s="16" t="str">
        <f t="shared" si="23"/>
        <v>log/ICHEC-EC-EARTH_Scaled_Cluster14_repl1.txt</v>
      </c>
      <c r="T57" s="16" t="str">
        <f t="shared" si="24"/>
        <v>init/env_file_CLUSTER14_REPL1_ICHEC-EC-EARTH_historical.csv</v>
      </c>
      <c r="U57" s="16" t="str">
        <f t="shared" si="25"/>
        <v>init/env_grid_CLUSTER14_REPL1.asc</v>
      </c>
      <c r="V57" s="16" t="str">
        <f t="shared" si="26"/>
        <v>init/env_grid_CLUSTER14_REPL1.asc</v>
      </c>
      <c r="W57" s="16" t="str">
        <f t="shared" si="27"/>
        <v>trees_CLUSTER14.csv</v>
      </c>
      <c r="X57" s="16" t="str">
        <f t="shared" si="28"/>
        <v>saplings_CLUSTER14.csv</v>
      </c>
      <c r="Y57" s="16">
        <f t="shared" si="29"/>
        <v>350</v>
      </c>
      <c r="Z57" s="16" t="str">
        <f t="shared" si="30"/>
        <v>abe/no_mgmt.csv</v>
      </c>
      <c r="AA57" s="16" t="str">
        <f t="shared" si="31"/>
        <v>gis/WindModifier_cl14.asc</v>
      </c>
      <c r="AB57" s="16">
        <f t="shared" si="32"/>
        <v>6.8500009999999999E-4</v>
      </c>
      <c r="AC57" s="16" t="str">
        <f t="shared" si="33"/>
        <v>ICHEC-EC-EARTH_historical_point34874</v>
      </c>
      <c r="AD57" s="16" t="str">
        <f t="shared" si="34"/>
        <v>wind_Events/Scaled_cl14_repl1.txt</v>
      </c>
      <c r="AE57" s="16" t="str">
        <f t="shared" si="35"/>
        <v>ICHEC-EC-EARTH_Scaled_Cluster14_repl1</v>
      </c>
      <c r="AF57" s="21" t="s">
        <v>351</v>
      </c>
      <c r="AG57" s="21" t="s">
        <v>352</v>
      </c>
    </row>
    <row r="58" spans="1:33" ht="13.8">
      <c r="A58" s="7" t="str">
        <f t="shared" si="18"/>
        <v>ICHEC-EC-EARTH_Scaled_Cluster14_repl2</v>
      </c>
      <c r="B58" s="8" t="s">
        <v>16</v>
      </c>
      <c r="C58" s="8" t="s">
        <v>54</v>
      </c>
      <c r="D58" s="9" t="s">
        <v>17</v>
      </c>
      <c r="E58" s="9" t="str">
        <f t="shared" si="19"/>
        <v>historical</v>
      </c>
      <c r="F58" s="8">
        <v>350</v>
      </c>
      <c r="G58" s="8" t="s">
        <v>18</v>
      </c>
      <c r="H58" s="8">
        <v>1</v>
      </c>
      <c r="I58" s="19">
        <v>6.8499999999999995E-4</v>
      </c>
      <c r="J58" s="8">
        <v>14</v>
      </c>
      <c r="K58" s="8" t="s">
        <v>168</v>
      </c>
      <c r="L58" s="8">
        <v>2</v>
      </c>
      <c r="M58" s="8">
        <v>1</v>
      </c>
      <c r="N58" s="10" t="s">
        <v>21</v>
      </c>
      <c r="O58" s="17" t="s">
        <v>328</v>
      </c>
      <c r="P58" s="10" t="str">
        <f t="shared" si="20"/>
        <v>ICHEC-EC-EARTH_Scaled_Cluster14_repl2.sqlite</v>
      </c>
      <c r="Q58" s="11">
        <f t="shared" si="21"/>
        <v>4</v>
      </c>
      <c r="R58" s="16" t="str">
        <f t="shared" si="22"/>
        <v>climate_db_ICHEC-EC-EARTH_historical_v4.sqlite</v>
      </c>
      <c r="S58" s="16" t="str">
        <f t="shared" si="23"/>
        <v>log/ICHEC-EC-EARTH_Scaled_Cluster14_repl2.txt</v>
      </c>
      <c r="T58" s="16" t="str">
        <f t="shared" si="24"/>
        <v>init/env_file_CLUSTER14_REPL2_ICHEC-EC-EARTH_historical.csv</v>
      </c>
      <c r="U58" s="16" t="str">
        <f t="shared" si="25"/>
        <v>init/env_grid_CLUSTER14_REPL2.asc</v>
      </c>
      <c r="V58" s="16" t="str">
        <f t="shared" si="26"/>
        <v>init/env_grid_CLUSTER14_REPL2.asc</v>
      </c>
      <c r="W58" s="16" t="str">
        <f t="shared" si="27"/>
        <v>trees_CLUSTER14.csv</v>
      </c>
      <c r="X58" s="16" t="str">
        <f t="shared" si="28"/>
        <v>saplings_CLUSTER14.csv</v>
      </c>
      <c r="Y58" s="16">
        <f t="shared" si="29"/>
        <v>350</v>
      </c>
      <c r="Z58" s="16" t="str">
        <f t="shared" si="30"/>
        <v>abe/no_mgmt.csv</v>
      </c>
      <c r="AA58" s="16" t="str">
        <f t="shared" si="31"/>
        <v>gis/WindModifier_cl14.asc</v>
      </c>
      <c r="AB58" s="16">
        <f t="shared" si="32"/>
        <v>6.8500009999999999E-4</v>
      </c>
      <c r="AC58" s="16" t="str">
        <f t="shared" si="33"/>
        <v>ICHEC-EC-EARTH_historical_point34874</v>
      </c>
      <c r="AD58" s="16" t="str">
        <f t="shared" si="34"/>
        <v>wind_Events/Scaled_cl14_repl2.txt</v>
      </c>
      <c r="AE58" s="16" t="str">
        <f t="shared" si="35"/>
        <v>ICHEC-EC-EARTH_Scaled_Cluster14_repl2</v>
      </c>
      <c r="AF58" s="21" t="s">
        <v>518</v>
      </c>
      <c r="AG58" s="21" t="s">
        <v>519</v>
      </c>
    </row>
    <row r="59" spans="1:33" ht="13.8">
      <c r="A59" s="7" t="str">
        <f t="shared" si="18"/>
        <v>ICHEC-EC-EARTH_Scaled_Cluster14_repl3</v>
      </c>
      <c r="B59" s="8" t="s">
        <v>16</v>
      </c>
      <c r="C59" s="8" t="s">
        <v>54</v>
      </c>
      <c r="D59" s="9" t="s">
        <v>17</v>
      </c>
      <c r="E59" s="9" t="str">
        <f t="shared" si="19"/>
        <v>historical</v>
      </c>
      <c r="F59" s="8">
        <v>350</v>
      </c>
      <c r="G59" s="8" t="s">
        <v>18</v>
      </c>
      <c r="H59" s="8">
        <v>1</v>
      </c>
      <c r="I59" s="19">
        <v>6.8499999999999995E-4</v>
      </c>
      <c r="J59" s="8">
        <v>14</v>
      </c>
      <c r="K59" s="8" t="s">
        <v>168</v>
      </c>
      <c r="L59" s="8">
        <v>3</v>
      </c>
      <c r="M59" s="8">
        <v>1</v>
      </c>
      <c r="N59" s="10" t="s">
        <v>21</v>
      </c>
      <c r="O59" s="17" t="s">
        <v>328</v>
      </c>
      <c r="P59" s="10" t="str">
        <f t="shared" si="20"/>
        <v>ICHEC-EC-EARTH_Scaled_Cluster14_repl3.sqlite</v>
      </c>
      <c r="Q59" s="11">
        <f t="shared" si="21"/>
        <v>7</v>
      </c>
      <c r="R59" s="16" t="str">
        <f t="shared" si="22"/>
        <v>climate_db_ICHEC-EC-EARTH_historical_v4.sqlite</v>
      </c>
      <c r="S59" s="16" t="str">
        <f t="shared" si="23"/>
        <v>log/ICHEC-EC-EARTH_Scaled_Cluster14_repl3.txt</v>
      </c>
      <c r="T59" s="16" t="str">
        <f t="shared" si="24"/>
        <v>init/env_file_CLUSTER14_REPL3_ICHEC-EC-EARTH_historical.csv</v>
      </c>
      <c r="U59" s="16" t="str">
        <f t="shared" si="25"/>
        <v>init/env_grid_CLUSTER14_REPL3.asc</v>
      </c>
      <c r="V59" s="16" t="str">
        <f t="shared" si="26"/>
        <v>init/env_grid_CLUSTER14_REPL3.asc</v>
      </c>
      <c r="W59" s="16" t="str">
        <f t="shared" si="27"/>
        <v>trees_CLUSTER14.csv</v>
      </c>
      <c r="X59" s="16" t="str">
        <f t="shared" si="28"/>
        <v>saplings_CLUSTER14.csv</v>
      </c>
      <c r="Y59" s="16">
        <f t="shared" si="29"/>
        <v>350</v>
      </c>
      <c r="Z59" s="16" t="str">
        <f t="shared" si="30"/>
        <v>abe/no_mgmt.csv</v>
      </c>
      <c r="AA59" s="16" t="str">
        <f t="shared" si="31"/>
        <v>gis/WindModifier_cl14.asc</v>
      </c>
      <c r="AB59" s="16">
        <f t="shared" si="32"/>
        <v>6.8500009999999999E-4</v>
      </c>
      <c r="AC59" s="16" t="str">
        <f t="shared" si="33"/>
        <v>ICHEC-EC-EARTH_historical_point34874</v>
      </c>
      <c r="AD59" s="16" t="str">
        <f t="shared" si="34"/>
        <v>wind_Events/Scaled_cl14_repl3.txt</v>
      </c>
      <c r="AE59" s="16" t="str">
        <f t="shared" si="35"/>
        <v>ICHEC-EC-EARTH_Scaled_Cluster14_repl3</v>
      </c>
      <c r="AF59" s="21" t="s">
        <v>520</v>
      </c>
      <c r="AG59" s="21" t="s">
        <v>521</v>
      </c>
    </row>
    <row r="60" spans="1:33" ht="13.8">
      <c r="A60" s="7" t="str">
        <f t="shared" si="18"/>
        <v>ICHEC-EC-EARTH_Scaled_Cluster14_repl4</v>
      </c>
      <c r="B60" s="8" t="s">
        <v>16</v>
      </c>
      <c r="C60" s="8" t="s">
        <v>54</v>
      </c>
      <c r="D60" s="9" t="s">
        <v>17</v>
      </c>
      <c r="E60" s="9" t="str">
        <f t="shared" si="19"/>
        <v>historical</v>
      </c>
      <c r="F60" s="8">
        <v>350</v>
      </c>
      <c r="G60" s="8" t="s">
        <v>18</v>
      </c>
      <c r="H60" s="8">
        <v>1</v>
      </c>
      <c r="I60" s="19">
        <v>6.8499999999999995E-4</v>
      </c>
      <c r="J60" s="8">
        <v>14</v>
      </c>
      <c r="K60" s="8" t="s">
        <v>168</v>
      </c>
      <c r="L60" s="8">
        <v>4</v>
      </c>
      <c r="M60" s="8">
        <v>1</v>
      </c>
      <c r="N60" s="10" t="s">
        <v>21</v>
      </c>
      <c r="O60" s="17" t="s">
        <v>328</v>
      </c>
      <c r="P60" s="10" t="str">
        <f t="shared" si="20"/>
        <v>ICHEC-EC-EARTH_Scaled_Cluster14_repl4.sqlite</v>
      </c>
      <c r="Q60" s="11">
        <f t="shared" si="21"/>
        <v>10</v>
      </c>
      <c r="R60" s="16" t="str">
        <f t="shared" si="22"/>
        <v>climate_db_ICHEC-EC-EARTH_historical_v4.sqlite</v>
      </c>
      <c r="S60" s="16" t="str">
        <f t="shared" si="23"/>
        <v>log/ICHEC-EC-EARTH_Scaled_Cluster14_repl4.txt</v>
      </c>
      <c r="T60" s="16" t="str">
        <f t="shared" si="24"/>
        <v>init/env_file_CLUSTER14_REPL4_ICHEC-EC-EARTH_historical.csv</v>
      </c>
      <c r="U60" s="16" t="str">
        <f t="shared" si="25"/>
        <v>init/env_grid_CLUSTER14_REPL4.asc</v>
      </c>
      <c r="V60" s="16" t="str">
        <f t="shared" si="26"/>
        <v>init/env_grid_CLUSTER14_REPL4.asc</v>
      </c>
      <c r="W60" s="16" t="str">
        <f t="shared" si="27"/>
        <v>trees_CLUSTER14.csv</v>
      </c>
      <c r="X60" s="16" t="str">
        <f t="shared" si="28"/>
        <v>saplings_CLUSTER14.csv</v>
      </c>
      <c r="Y60" s="16">
        <f t="shared" si="29"/>
        <v>350</v>
      </c>
      <c r="Z60" s="16" t="str">
        <f t="shared" si="30"/>
        <v>abe/no_mgmt.csv</v>
      </c>
      <c r="AA60" s="16" t="str">
        <f t="shared" si="31"/>
        <v>gis/WindModifier_cl14.asc</v>
      </c>
      <c r="AB60" s="16">
        <f t="shared" si="32"/>
        <v>6.8500009999999999E-4</v>
      </c>
      <c r="AC60" s="16" t="str">
        <f t="shared" si="33"/>
        <v>ICHEC-EC-EARTH_historical_point34874</v>
      </c>
      <c r="AD60" s="16" t="str">
        <f t="shared" si="34"/>
        <v>wind_Events/Scaled_cl14_repl4.txt</v>
      </c>
      <c r="AE60" s="16" t="str">
        <f t="shared" si="35"/>
        <v>ICHEC-EC-EARTH_Scaled_Cluster14_repl4</v>
      </c>
      <c r="AF60" s="21" t="s">
        <v>522</v>
      </c>
      <c r="AG60" s="21" t="s">
        <v>523</v>
      </c>
    </row>
    <row r="61" spans="1:33" ht="13.8">
      <c r="A61" s="7" t="str">
        <f t="shared" si="18"/>
        <v>ICHEC-EC-EARTH_Scaled_Cluster14_repl5</v>
      </c>
      <c r="B61" s="8" t="s">
        <v>16</v>
      </c>
      <c r="C61" s="8" t="s">
        <v>54</v>
      </c>
      <c r="D61" s="9" t="s">
        <v>17</v>
      </c>
      <c r="E61" s="9" t="str">
        <f t="shared" si="19"/>
        <v>historical</v>
      </c>
      <c r="F61" s="8">
        <v>350</v>
      </c>
      <c r="G61" s="8" t="s">
        <v>18</v>
      </c>
      <c r="H61" s="8">
        <v>1</v>
      </c>
      <c r="I61" s="19">
        <v>6.8499999999999995E-4</v>
      </c>
      <c r="J61" s="8">
        <v>14</v>
      </c>
      <c r="K61" s="8" t="s">
        <v>168</v>
      </c>
      <c r="L61" s="8">
        <v>5</v>
      </c>
      <c r="M61" s="8">
        <v>1</v>
      </c>
      <c r="N61" s="10" t="s">
        <v>21</v>
      </c>
      <c r="O61" s="17" t="s">
        <v>328</v>
      </c>
      <c r="P61" s="10" t="str">
        <f t="shared" si="20"/>
        <v>ICHEC-EC-EARTH_Scaled_Cluster14_repl5.sqlite</v>
      </c>
      <c r="Q61" s="11">
        <f t="shared" si="21"/>
        <v>13</v>
      </c>
      <c r="R61" s="16" t="str">
        <f t="shared" si="22"/>
        <v>climate_db_ICHEC-EC-EARTH_historical_v4.sqlite</v>
      </c>
      <c r="S61" s="16" t="str">
        <f t="shared" si="23"/>
        <v>log/ICHEC-EC-EARTH_Scaled_Cluster14_repl5.txt</v>
      </c>
      <c r="T61" s="16" t="str">
        <f t="shared" si="24"/>
        <v>init/env_file_CLUSTER14_REPL5_ICHEC-EC-EARTH_historical.csv</v>
      </c>
      <c r="U61" s="16" t="str">
        <f t="shared" si="25"/>
        <v>init/env_grid_CLUSTER14_REPL5.asc</v>
      </c>
      <c r="V61" s="16" t="str">
        <f t="shared" si="26"/>
        <v>init/env_grid_CLUSTER14_REPL5.asc</v>
      </c>
      <c r="W61" s="16" t="str">
        <f t="shared" si="27"/>
        <v>trees_CLUSTER14.csv</v>
      </c>
      <c r="X61" s="16" t="str">
        <f t="shared" si="28"/>
        <v>saplings_CLUSTER14.csv</v>
      </c>
      <c r="Y61" s="16">
        <f t="shared" si="29"/>
        <v>350</v>
      </c>
      <c r="Z61" s="16" t="str">
        <f t="shared" si="30"/>
        <v>abe/no_mgmt.csv</v>
      </c>
      <c r="AA61" s="16" t="str">
        <f t="shared" si="31"/>
        <v>gis/WindModifier_cl14.asc</v>
      </c>
      <c r="AB61" s="16">
        <f t="shared" si="32"/>
        <v>6.8500009999999999E-4</v>
      </c>
      <c r="AC61" s="16" t="str">
        <f t="shared" si="33"/>
        <v>ICHEC-EC-EARTH_historical_point34874</v>
      </c>
      <c r="AD61" s="16" t="str">
        <f t="shared" si="34"/>
        <v>wind_Events/Scaled_cl14_repl5.txt</v>
      </c>
      <c r="AE61" s="16" t="str">
        <f t="shared" si="35"/>
        <v>ICHEC-EC-EARTH_Scaled_Cluster14_repl5</v>
      </c>
      <c r="AF61" s="21" t="s">
        <v>524</v>
      </c>
      <c r="AG61" s="21" t="s">
        <v>525</v>
      </c>
    </row>
    <row r="62" spans="1:33" ht="13.8">
      <c r="A62" s="7" t="str">
        <f t="shared" si="18"/>
        <v>MPI-M-MPI-ESM-LR_Scaled_Cluster2_repl1</v>
      </c>
      <c r="B62" s="8" t="s">
        <v>16</v>
      </c>
      <c r="C62" s="8" t="s">
        <v>54</v>
      </c>
      <c r="D62" s="9" t="s">
        <v>17</v>
      </c>
      <c r="E62" s="9" t="str">
        <f t="shared" si="19"/>
        <v>historical</v>
      </c>
      <c r="F62" s="8">
        <v>350</v>
      </c>
      <c r="G62" s="8" t="s">
        <v>63</v>
      </c>
      <c r="H62" s="8">
        <v>2</v>
      </c>
      <c r="I62" s="19">
        <v>6.8499999999999995E-4</v>
      </c>
      <c r="J62" s="8">
        <v>2</v>
      </c>
      <c r="K62" s="8" t="s">
        <v>157</v>
      </c>
      <c r="L62" s="8">
        <v>1</v>
      </c>
      <c r="M62" s="8">
        <v>1</v>
      </c>
      <c r="N62" s="10" t="s">
        <v>21</v>
      </c>
      <c r="O62" s="17" t="s">
        <v>328</v>
      </c>
      <c r="P62" s="10" t="str">
        <f t="shared" si="20"/>
        <v>MPI-M-MPI-ESM-LR_Scaled_Cluster2_repl1.sqlite</v>
      </c>
      <c r="Q62" s="11">
        <f t="shared" si="21"/>
        <v>2</v>
      </c>
      <c r="R62" s="16" t="str">
        <f t="shared" si="22"/>
        <v>climate_db_MPI-M-MPI-ESM-LR_historical_v4.sqlite</v>
      </c>
      <c r="S62" s="16" t="str">
        <f t="shared" si="23"/>
        <v>log/MPI-M-MPI-ESM-LR_Scaled_Cluster2_repl1.txt</v>
      </c>
      <c r="T62" s="16" t="str">
        <f t="shared" si="24"/>
        <v>init/env_file_CLUSTER02_REPL1_MPI-M-MPI-ESM-LR_historical.csv</v>
      </c>
      <c r="U62" s="16" t="str">
        <f t="shared" si="25"/>
        <v>init/env_grid_CLUSTER02_REPL1.asc</v>
      </c>
      <c r="V62" s="16" t="str">
        <f t="shared" si="26"/>
        <v>init/env_grid_CLUSTER02_REPL1.asc</v>
      </c>
      <c r="W62" s="16" t="str">
        <f t="shared" si="27"/>
        <v>trees_CLUSTER02.csv</v>
      </c>
      <c r="X62" s="16" t="str">
        <f t="shared" si="28"/>
        <v>saplings_CLUSTER02.csv</v>
      </c>
      <c r="Y62" s="16">
        <f t="shared" si="29"/>
        <v>350</v>
      </c>
      <c r="Z62" s="16" t="str">
        <f t="shared" si="30"/>
        <v>abe/no_mgmt.csv</v>
      </c>
      <c r="AA62" s="16" t="str">
        <f t="shared" si="31"/>
        <v>gis/WindModifier_cl2.asc</v>
      </c>
      <c r="AB62" s="16">
        <f t="shared" si="32"/>
        <v>6.8500009999999999E-4</v>
      </c>
      <c r="AC62" s="16" t="str">
        <f t="shared" si="33"/>
        <v>MPI-M-MPI-ESM-LR_historical_point38526</v>
      </c>
      <c r="AD62" s="16" t="str">
        <f t="shared" si="34"/>
        <v>wind_Events/Scaled_cl2_repl1.txt</v>
      </c>
      <c r="AE62" s="16" t="str">
        <f t="shared" si="35"/>
        <v>MPI-M-MPI-ESM-LR_Scaled_Cluster2_repl1</v>
      </c>
      <c r="AF62" s="21" t="s">
        <v>353</v>
      </c>
      <c r="AG62" s="21" t="s">
        <v>354</v>
      </c>
    </row>
    <row r="63" spans="1:33" ht="13.8">
      <c r="A63" s="7" t="str">
        <f t="shared" si="18"/>
        <v>MPI-M-MPI-ESM-LR_Scaled_Cluster2_repl2</v>
      </c>
      <c r="B63" s="8" t="s">
        <v>16</v>
      </c>
      <c r="C63" s="8" t="s">
        <v>54</v>
      </c>
      <c r="D63" s="9" t="s">
        <v>17</v>
      </c>
      <c r="E63" s="9" t="str">
        <f t="shared" si="19"/>
        <v>historical</v>
      </c>
      <c r="F63" s="8">
        <v>350</v>
      </c>
      <c r="G63" s="8" t="s">
        <v>63</v>
      </c>
      <c r="H63" s="8">
        <v>2</v>
      </c>
      <c r="I63" s="19">
        <v>6.8499999999999995E-4</v>
      </c>
      <c r="J63" s="8">
        <v>2</v>
      </c>
      <c r="K63" s="8" t="s">
        <v>157</v>
      </c>
      <c r="L63" s="8">
        <v>2</v>
      </c>
      <c r="M63" s="8">
        <v>1</v>
      </c>
      <c r="N63" s="10" t="s">
        <v>21</v>
      </c>
      <c r="O63" s="17" t="s">
        <v>328</v>
      </c>
      <c r="P63" s="10" t="str">
        <f t="shared" si="20"/>
        <v>MPI-M-MPI-ESM-LR_Scaled_Cluster2_repl2.sqlite</v>
      </c>
      <c r="Q63" s="11">
        <f t="shared" si="21"/>
        <v>5</v>
      </c>
      <c r="R63" s="16" t="str">
        <f t="shared" si="22"/>
        <v>climate_db_MPI-M-MPI-ESM-LR_historical_v4.sqlite</v>
      </c>
      <c r="S63" s="16" t="str">
        <f t="shared" si="23"/>
        <v>log/MPI-M-MPI-ESM-LR_Scaled_Cluster2_repl2.txt</v>
      </c>
      <c r="T63" s="16" t="str">
        <f t="shared" si="24"/>
        <v>init/env_file_CLUSTER02_REPL2_MPI-M-MPI-ESM-LR_historical.csv</v>
      </c>
      <c r="U63" s="16" t="str">
        <f t="shared" si="25"/>
        <v>init/env_grid_CLUSTER02_REPL2.asc</v>
      </c>
      <c r="V63" s="16" t="str">
        <f t="shared" si="26"/>
        <v>init/env_grid_CLUSTER02_REPL2.asc</v>
      </c>
      <c r="W63" s="16" t="str">
        <f t="shared" si="27"/>
        <v>trees_CLUSTER02.csv</v>
      </c>
      <c r="X63" s="16" t="str">
        <f t="shared" si="28"/>
        <v>saplings_CLUSTER02.csv</v>
      </c>
      <c r="Y63" s="16">
        <f t="shared" si="29"/>
        <v>350</v>
      </c>
      <c r="Z63" s="16" t="str">
        <f t="shared" si="30"/>
        <v>abe/no_mgmt.csv</v>
      </c>
      <c r="AA63" s="16" t="str">
        <f t="shared" si="31"/>
        <v>gis/WindModifier_cl2.asc</v>
      </c>
      <c r="AB63" s="16">
        <f t="shared" si="32"/>
        <v>6.8500009999999999E-4</v>
      </c>
      <c r="AC63" s="16" t="str">
        <f t="shared" si="33"/>
        <v>MPI-M-MPI-ESM-LR_historical_point38526</v>
      </c>
      <c r="AD63" s="16" t="str">
        <f t="shared" si="34"/>
        <v>wind_Events/Scaled_cl2_repl2.txt</v>
      </c>
      <c r="AE63" s="16" t="str">
        <f t="shared" si="35"/>
        <v>MPI-M-MPI-ESM-LR_Scaled_Cluster2_repl2</v>
      </c>
      <c r="AF63" s="21" t="s">
        <v>526</v>
      </c>
      <c r="AG63" s="21" t="s">
        <v>527</v>
      </c>
    </row>
    <row r="64" spans="1:33" ht="13.8">
      <c r="A64" s="7" t="str">
        <f t="shared" si="18"/>
        <v>MPI-M-MPI-ESM-LR_Scaled_Cluster2_repl3</v>
      </c>
      <c r="B64" s="8" t="s">
        <v>16</v>
      </c>
      <c r="C64" s="8" t="s">
        <v>54</v>
      </c>
      <c r="D64" s="9" t="s">
        <v>17</v>
      </c>
      <c r="E64" s="9" t="str">
        <f t="shared" si="19"/>
        <v>historical</v>
      </c>
      <c r="F64" s="8">
        <v>350</v>
      </c>
      <c r="G64" s="8" t="s">
        <v>63</v>
      </c>
      <c r="H64" s="8">
        <v>2</v>
      </c>
      <c r="I64" s="19">
        <v>6.8499999999999995E-4</v>
      </c>
      <c r="J64" s="8">
        <v>2</v>
      </c>
      <c r="K64" s="8" t="s">
        <v>157</v>
      </c>
      <c r="L64" s="8">
        <v>3</v>
      </c>
      <c r="M64" s="8">
        <v>1</v>
      </c>
      <c r="N64" s="10" t="s">
        <v>21</v>
      </c>
      <c r="O64" s="17" t="s">
        <v>328</v>
      </c>
      <c r="P64" s="10" t="str">
        <f t="shared" si="20"/>
        <v>MPI-M-MPI-ESM-LR_Scaled_Cluster2_repl3.sqlite</v>
      </c>
      <c r="Q64" s="11">
        <f t="shared" si="21"/>
        <v>8</v>
      </c>
      <c r="R64" s="16" t="str">
        <f t="shared" si="22"/>
        <v>climate_db_MPI-M-MPI-ESM-LR_historical_v4.sqlite</v>
      </c>
      <c r="S64" s="16" t="str">
        <f t="shared" si="23"/>
        <v>log/MPI-M-MPI-ESM-LR_Scaled_Cluster2_repl3.txt</v>
      </c>
      <c r="T64" s="16" t="str">
        <f t="shared" si="24"/>
        <v>init/env_file_CLUSTER02_REPL3_MPI-M-MPI-ESM-LR_historical.csv</v>
      </c>
      <c r="U64" s="16" t="str">
        <f t="shared" si="25"/>
        <v>init/env_grid_CLUSTER02_REPL3.asc</v>
      </c>
      <c r="V64" s="16" t="str">
        <f t="shared" si="26"/>
        <v>init/env_grid_CLUSTER02_REPL3.asc</v>
      </c>
      <c r="W64" s="16" t="str">
        <f t="shared" si="27"/>
        <v>trees_CLUSTER02.csv</v>
      </c>
      <c r="X64" s="16" t="str">
        <f t="shared" si="28"/>
        <v>saplings_CLUSTER02.csv</v>
      </c>
      <c r="Y64" s="16">
        <f t="shared" si="29"/>
        <v>350</v>
      </c>
      <c r="Z64" s="16" t="str">
        <f t="shared" si="30"/>
        <v>abe/no_mgmt.csv</v>
      </c>
      <c r="AA64" s="16" t="str">
        <f t="shared" si="31"/>
        <v>gis/WindModifier_cl2.asc</v>
      </c>
      <c r="AB64" s="16">
        <f t="shared" si="32"/>
        <v>6.8500009999999999E-4</v>
      </c>
      <c r="AC64" s="16" t="str">
        <f t="shared" si="33"/>
        <v>MPI-M-MPI-ESM-LR_historical_point38526</v>
      </c>
      <c r="AD64" s="16" t="str">
        <f t="shared" si="34"/>
        <v>wind_Events/Scaled_cl2_repl3.txt</v>
      </c>
      <c r="AE64" s="16" t="str">
        <f t="shared" si="35"/>
        <v>MPI-M-MPI-ESM-LR_Scaled_Cluster2_repl3</v>
      </c>
      <c r="AF64" s="21" t="s">
        <v>528</v>
      </c>
      <c r="AG64" s="21" t="s">
        <v>529</v>
      </c>
    </row>
    <row r="65" spans="1:33" ht="13.8">
      <c r="A65" s="7" t="str">
        <f t="shared" si="18"/>
        <v>MPI-M-MPI-ESM-LR_Scaled_Cluster2_repl4</v>
      </c>
      <c r="B65" s="8" t="s">
        <v>16</v>
      </c>
      <c r="C65" s="8" t="s">
        <v>54</v>
      </c>
      <c r="D65" s="9" t="s">
        <v>17</v>
      </c>
      <c r="E65" s="9" t="str">
        <f t="shared" si="19"/>
        <v>historical</v>
      </c>
      <c r="F65" s="8">
        <v>350</v>
      </c>
      <c r="G65" s="8" t="s">
        <v>63</v>
      </c>
      <c r="H65" s="8">
        <v>2</v>
      </c>
      <c r="I65" s="19">
        <v>6.8499999999999995E-4</v>
      </c>
      <c r="J65" s="8">
        <v>2</v>
      </c>
      <c r="K65" s="8" t="s">
        <v>157</v>
      </c>
      <c r="L65" s="8">
        <v>4</v>
      </c>
      <c r="M65" s="8">
        <v>1</v>
      </c>
      <c r="N65" s="10" t="s">
        <v>21</v>
      </c>
      <c r="O65" s="17" t="s">
        <v>328</v>
      </c>
      <c r="P65" s="10" t="str">
        <f t="shared" si="20"/>
        <v>MPI-M-MPI-ESM-LR_Scaled_Cluster2_repl4.sqlite</v>
      </c>
      <c r="Q65" s="11">
        <f t="shared" si="21"/>
        <v>11</v>
      </c>
      <c r="R65" s="16" t="str">
        <f t="shared" si="22"/>
        <v>climate_db_MPI-M-MPI-ESM-LR_historical_v4.sqlite</v>
      </c>
      <c r="S65" s="16" t="str">
        <f t="shared" si="23"/>
        <v>log/MPI-M-MPI-ESM-LR_Scaled_Cluster2_repl4.txt</v>
      </c>
      <c r="T65" s="16" t="str">
        <f t="shared" si="24"/>
        <v>init/env_file_CLUSTER02_REPL4_MPI-M-MPI-ESM-LR_historical.csv</v>
      </c>
      <c r="U65" s="16" t="str">
        <f t="shared" si="25"/>
        <v>init/env_grid_CLUSTER02_REPL4.asc</v>
      </c>
      <c r="V65" s="16" t="str">
        <f t="shared" si="26"/>
        <v>init/env_grid_CLUSTER02_REPL4.asc</v>
      </c>
      <c r="W65" s="16" t="str">
        <f t="shared" si="27"/>
        <v>trees_CLUSTER02.csv</v>
      </c>
      <c r="X65" s="16" t="str">
        <f t="shared" si="28"/>
        <v>saplings_CLUSTER02.csv</v>
      </c>
      <c r="Y65" s="16">
        <f t="shared" si="29"/>
        <v>350</v>
      </c>
      <c r="Z65" s="16" t="str">
        <f t="shared" si="30"/>
        <v>abe/no_mgmt.csv</v>
      </c>
      <c r="AA65" s="16" t="str">
        <f t="shared" si="31"/>
        <v>gis/WindModifier_cl2.asc</v>
      </c>
      <c r="AB65" s="16">
        <f t="shared" si="32"/>
        <v>6.8500009999999999E-4</v>
      </c>
      <c r="AC65" s="16" t="str">
        <f t="shared" si="33"/>
        <v>MPI-M-MPI-ESM-LR_historical_point38526</v>
      </c>
      <c r="AD65" s="16" t="str">
        <f t="shared" si="34"/>
        <v>wind_Events/Scaled_cl2_repl4.txt</v>
      </c>
      <c r="AE65" s="16" t="str">
        <f t="shared" si="35"/>
        <v>MPI-M-MPI-ESM-LR_Scaled_Cluster2_repl4</v>
      </c>
      <c r="AF65" s="21" t="s">
        <v>530</v>
      </c>
      <c r="AG65" s="21" t="s">
        <v>531</v>
      </c>
    </row>
    <row r="66" spans="1:33" ht="13.8">
      <c r="A66" s="7" t="str">
        <f t="shared" ref="A66:A97" si="36" xml:space="preserve"> G66 &amp; "_" &amp; C66 &amp;"Cluster" &amp; J66 &amp; "_repl" &amp; L66</f>
        <v>MPI-M-MPI-ESM-LR_Scaled_Cluster2_repl5</v>
      </c>
      <c r="B66" s="8" t="s">
        <v>16</v>
      </c>
      <c r="C66" s="8" t="s">
        <v>54</v>
      </c>
      <c r="D66" s="9" t="s">
        <v>17</v>
      </c>
      <c r="E66" s="9" t="str">
        <f t="shared" ref="E66:E97" si="37">IF(D66="historical", "historical", IF(D66="RCP26", "rcp_2_6", IF(D66="RCP45", "rcp_4_5", "rcp_8_5")))</f>
        <v>historical</v>
      </c>
      <c r="F66" s="8">
        <v>350</v>
      </c>
      <c r="G66" s="8" t="s">
        <v>63</v>
      </c>
      <c r="H66" s="8">
        <v>2</v>
      </c>
      <c r="I66" s="19">
        <v>6.8499999999999995E-4</v>
      </c>
      <c r="J66" s="8">
        <v>2</v>
      </c>
      <c r="K66" s="8" t="s">
        <v>157</v>
      </c>
      <c r="L66" s="8">
        <v>5</v>
      </c>
      <c r="M66" s="8">
        <v>1</v>
      </c>
      <c r="N66" s="10" t="s">
        <v>21</v>
      </c>
      <c r="O66" s="17" t="s">
        <v>328</v>
      </c>
      <c r="P66" s="10" t="str">
        <f t="shared" ref="P66:P97" si="38">A66  &amp; ".sqlite"</f>
        <v>MPI-M-MPI-ESM-LR_Scaled_Cluster2_repl5.sqlite</v>
      </c>
      <c r="Q66" s="11">
        <f t="shared" ref="Q66:Q97" si="39">(L66-1)*3+H66</f>
        <v>14</v>
      </c>
      <c r="R66" s="16" t="str">
        <f t="shared" ref="R66:R97" si="40">"climate_db_" &amp; G66&amp; "_" &amp;  E66&amp; "_v4.sqlite"</f>
        <v>climate_db_MPI-M-MPI-ESM-LR_historical_v4.sqlite</v>
      </c>
      <c r="S66" s="16" t="str">
        <f t="shared" ref="S66:S97" si="41">"log/" &amp;A66  &amp; ".txt"</f>
        <v>log/MPI-M-MPI-ESM-LR_Scaled_Cluster2_repl5.txt</v>
      </c>
      <c r="T66" s="16" t="str">
        <f t="shared" ref="T66:T97" si="42">"init/env_file_CLUSTER" &amp; TEXT(J66, "00") &amp; "_REPL" &amp; L66 &amp; "_" &amp; G66 &amp; "_" &amp; E66 &amp; ".csv"</f>
        <v>init/env_file_CLUSTER02_REPL5_MPI-M-MPI-ESM-LR_historical.csv</v>
      </c>
      <c r="U66" s="16" t="str">
        <f t="shared" ref="U66:U97" si="43">"init/env_grid_CLUSTER" &amp; TEXT(J66, "00") &amp; "_REPL" &amp; L66 &amp; ".asc"</f>
        <v>init/env_grid_CLUSTER02_REPL5.asc</v>
      </c>
      <c r="V66" s="16" t="str">
        <f t="shared" ref="V66:V97" si="44">U66</f>
        <v>init/env_grid_CLUSTER02_REPL5.asc</v>
      </c>
      <c r="W66" s="16" t="str">
        <f t="shared" ref="W66:W97" si="45">"trees_CLUSTER" &amp; TEXT(J66, "00")  &amp; ".csv"</f>
        <v>trees_CLUSTER02.csv</v>
      </c>
      <c r="X66" s="16" t="str">
        <f t="shared" ref="X66:X97" si="46">"saplings_CLUSTER" &amp; TEXT(J66, "00")  &amp; ".csv"</f>
        <v>saplings_CLUSTER02.csv</v>
      </c>
      <c r="Y66" s="16">
        <f t="shared" ref="Y66:Y97" si="47">F66</f>
        <v>350</v>
      </c>
      <c r="Z66" s="16" t="str">
        <f t="shared" ref="Z66:Z97" si="48">"abe/no_mgmt.csv"</f>
        <v>abe/no_mgmt.csv</v>
      </c>
      <c r="AA66" s="16" t="str">
        <f t="shared" ref="AA66:AA97" si="49">"gis/WindModifier_cl" &amp; J66 &amp; ".asc"</f>
        <v>gis/WindModifier_cl2.asc</v>
      </c>
      <c r="AB66" s="16">
        <f t="shared" ref="AB66:AB97" si="50">IF(C66="Scaled_", I66+0.0000000001,  0.000685)</f>
        <v>6.8500009999999999E-4</v>
      </c>
      <c r="AC66" s="16" t="str">
        <f t="shared" ref="AC66:AC97" si="51">G66 &amp; "_" &amp; E66 &amp; "_point" &amp; K66</f>
        <v>MPI-M-MPI-ESM-LR_historical_point38526</v>
      </c>
      <c r="AD66" s="16" t="str">
        <f t="shared" ref="AD66:AD97" si="52">"wind_Events/" &amp; C66 &amp; "cl" &amp; J66 &amp; "_repl" &amp; L66 &amp; ".txt"</f>
        <v>wind_Events/Scaled_cl2_repl5.txt</v>
      </c>
      <c r="AE66" s="16" t="str">
        <f t="shared" ref="AE66:AE97" si="53">A66</f>
        <v>MPI-M-MPI-ESM-LR_Scaled_Cluster2_repl5</v>
      </c>
      <c r="AF66" s="21" t="s">
        <v>532</v>
      </c>
      <c r="AG66" s="21" t="s">
        <v>533</v>
      </c>
    </row>
    <row r="67" spans="1:33" ht="13.8">
      <c r="A67" s="7" t="str">
        <f t="shared" si="36"/>
        <v>MPI-M-MPI-ESM-LR_Scaled_Cluster3_repl1</v>
      </c>
      <c r="B67" s="8" t="s">
        <v>16</v>
      </c>
      <c r="C67" s="8" t="s">
        <v>54</v>
      </c>
      <c r="D67" s="9" t="s">
        <v>17</v>
      </c>
      <c r="E67" s="9" t="str">
        <f t="shared" si="37"/>
        <v>historical</v>
      </c>
      <c r="F67" s="8">
        <v>350</v>
      </c>
      <c r="G67" s="8" t="s">
        <v>63</v>
      </c>
      <c r="H67" s="8">
        <v>2</v>
      </c>
      <c r="I67" s="19">
        <v>6.8499999999999995E-4</v>
      </c>
      <c r="J67" s="8">
        <v>3</v>
      </c>
      <c r="K67" s="8" t="s">
        <v>158</v>
      </c>
      <c r="L67" s="8">
        <v>1</v>
      </c>
      <c r="M67" s="8">
        <v>1</v>
      </c>
      <c r="N67" s="10" t="s">
        <v>21</v>
      </c>
      <c r="O67" s="17" t="s">
        <v>328</v>
      </c>
      <c r="P67" s="10" t="str">
        <f t="shared" si="38"/>
        <v>MPI-M-MPI-ESM-LR_Scaled_Cluster3_repl1.sqlite</v>
      </c>
      <c r="Q67" s="11">
        <f t="shared" si="39"/>
        <v>2</v>
      </c>
      <c r="R67" s="16" t="str">
        <f t="shared" si="40"/>
        <v>climate_db_MPI-M-MPI-ESM-LR_historical_v4.sqlite</v>
      </c>
      <c r="S67" s="16" t="str">
        <f t="shared" si="41"/>
        <v>log/MPI-M-MPI-ESM-LR_Scaled_Cluster3_repl1.txt</v>
      </c>
      <c r="T67" s="16" t="str">
        <f t="shared" si="42"/>
        <v>init/env_file_CLUSTER03_REPL1_MPI-M-MPI-ESM-LR_historical.csv</v>
      </c>
      <c r="U67" s="16" t="str">
        <f t="shared" si="43"/>
        <v>init/env_grid_CLUSTER03_REPL1.asc</v>
      </c>
      <c r="V67" s="16" t="str">
        <f t="shared" si="44"/>
        <v>init/env_grid_CLUSTER03_REPL1.asc</v>
      </c>
      <c r="W67" s="16" t="str">
        <f t="shared" si="45"/>
        <v>trees_CLUSTER03.csv</v>
      </c>
      <c r="X67" s="16" t="str">
        <f t="shared" si="46"/>
        <v>saplings_CLUSTER03.csv</v>
      </c>
      <c r="Y67" s="16">
        <f t="shared" si="47"/>
        <v>350</v>
      </c>
      <c r="Z67" s="16" t="str">
        <f t="shared" si="48"/>
        <v>abe/no_mgmt.csv</v>
      </c>
      <c r="AA67" s="16" t="str">
        <f t="shared" si="49"/>
        <v>gis/WindModifier_cl3.asc</v>
      </c>
      <c r="AB67" s="16">
        <f t="shared" si="50"/>
        <v>6.8500009999999999E-4</v>
      </c>
      <c r="AC67" s="16" t="str">
        <f t="shared" si="51"/>
        <v>MPI-M-MPI-ESM-LR_historical_point31016</v>
      </c>
      <c r="AD67" s="16" t="str">
        <f t="shared" si="52"/>
        <v>wind_Events/Scaled_cl3_repl1.txt</v>
      </c>
      <c r="AE67" s="16" t="str">
        <f t="shared" si="53"/>
        <v>MPI-M-MPI-ESM-LR_Scaled_Cluster3_repl1</v>
      </c>
      <c r="AF67" s="21" t="s">
        <v>355</v>
      </c>
      <c r="AG67" s="21" t="s">
        <v>356</v>
      </c>
    </row>
    <row r="68" spans="1:33" ht="13.8">
      <c r="A68" s="7" t="str">
        <f t="shared" si="36"/>
        <v>MPI-M-MPI-ESM-LR_Scaled_Cluster3_repl2</v>
      </c>
      <c r="B68" s="8" t="s">
        <v>16</v>
      </c>
      <c r="C68" s="8" t="s">
        <v>54</v>
      </c>
      <c r="D68" s="9" t="s">
        <v>17</v>
      </c>
      <c r="E68" s="9" t="str">
        <f t="shared" si="37"/>
        <v>historical</v>
      </c>
      <c r="F68" s="8">
        <v>350</v>
      </c>
      <c r="G68" s="8" t="s">
        <v>63</v>
      </c>
      <c r="H68" s="8">
        <v>2</v>
      </c>
      <c r="I68" s="19">
        <v>6.8499999999999995E-4</v>
      </c>
      <c r="J68" s="8">
        <v>3</v>
      </c>
      <c r="K68" s="8" t="s">
        <v>158</v>
      </c>
      <c r="L68" s="8">
        <v>2</v>
      </c>
      <c r="M68" s="8">
        <v>1</v>
      </c>
      <c r="N68" s="10" t="s">
        <v>21</v>
      </c>
      <c r="O68" s="17" t="s">
        <v>328</v>
      </c>
      <c r="P68" s="10" t="str">
        <f t="shared" si="38"/>
        <v>MPI-M-MPI-ESM-LR_Scaled_Cluster3_repl2.sqlite</v>
      </c>
      <c r="Q68" s="11">
        <f t="shared" si="39"/>
        <v>5</v>
      </c>
      <c r="R68" s="16" t="str">
        <f t="shared" si="40"/>
        <v>climate_db_MPI-M-MPI-ESM-LR_historical_v4.sqlite</v>
      </c>
      <c r="S68" s="16" t="str">
        <f t="shared" si="41"/>
        <v>log/MPI-M-MPI-ESM-LR_Scaled_Cluster3_repl2.txt</v>
      </c>
      <c r="T68" s="16" t="str">
        <f t="shared" si="42"/>
        <v>init/env_file_CLUSTER03_REPL2_MPI-M-MPI-ESM-LR_historical.csv</v>
      </c>
      <c r="U68" s="16" t="str">
        <f t="shared" si="43"/>
        <v>init/env_grid_CLUSTER03_REPL2.asc</v>
      </c>
      <c r="V68" s="16" t="str">
        <f t="shared" si="44"/>
        <v>init/env_grid_CLUSTER03_REPL2.asc</v>
      </c>
      <c r="W68" s="16" t="str">
        <f t="shared" si="45"/>
        <v>trees_CLUSTER03.csv</v>
      </c>
      <c r="X68" s="16" t="str">
        <f t="shared" si="46"/>
        <v>saplings_CLUSTER03.csv</v>
      </c>
      <c r="Y68" s="16">
        <f t="shared" si="47"/>
        <v>350</v>
      </c>
      <c r="Z68" s="16" t="str">
        <f t="shared" si="48"/>
        <v>abe/no_mgmt.csv</v>
      </c>
      <c r="AA68" s="16" t="str">
        <f t="shared" si="49"/>
        <v>gis/WindModifier_cl3.asc</v>
      </c>
      <c r="AB68" s="16">
        <f t="shared" si="50"/>
        <v>6.8500009999999999E-4</v>
      </c>
      <c r="AC68" s="16" t="str">
        <f t="shared" si="51"/>
        <v>MPI-M-MPI-ESM-LR_historical_point31016</v>
      </c>
      <c r="AD68" s="16" t="str">
        <f t="shared" si="52"/>
        <v>wind_Events/Scaled_cl3_repl2.txt</v>
      </c>
      <c r="AE68" s="16" t="str">
        <f t="shared" si="53"/>
        <v>MPI-M-MPI-ESM-LR_Scaled_Cluster3_repl2</v>
      </c>
      <c r="AF68" s="21" t="s">
        <v>534</v>
      </c>
      <c r="AG68" s="21" t="s">
        <v>535</v>
      </c>
    </row>
    <row r="69" spans="1:33" ht="13.8">
      <c r="A69" s="7" t="str">
        <f t="shared" si="36"/>
        <v>MPI-M-MPI-ESM-LR_Scaled_Cluster3_repl3</v>
      </c>
      <c r="B69" s="8" t="s">
        <v>16</v>
      </c>
      <c r="C69" s="8" t="s">
        <v>54</v>
      </c>
      <c r="D69" s="9" t="s">
        <v>17</v>
      </c>
      <c r="E69" s="9" t="str">
        <f t="shared" si="37"/>
        <v>historical</v>
      </c>
      <c r="F69" s="8">
        <v>350</v>
      </c>
      <c r="G69" s="8" t="s">
        <v>63</v>
      </c>
      <c r="H69" s="8">
        <v>2</v>
      </c>
      <c r="I69" s="19">
        <v>6.8499999999999995E-4</v>
      </c>
      <c r="J69" s="8">
        <v>3</v>
      </c>
      <c r="K69" s="8" t="s">
        <v>158</v>
      </c>
      <c r="L69" s="8">
        <v>3</v>
      </c>
      <c r="M69" s="8">
        <v>1</v>
      </c>
      <c r="N69" s="10" t="s">
        <v>21</v>
      </c>
      <c r="O69" s="17" t="s">
        <v>328</v>
      </c>
      <c r="P69" s="10" t="str">
        <f t="shared" si="38"/>
        <v>MPI-M-MPI-ESM-LR_Scaled_Cluster3_repl3.sqlite</v>
      </c>
      <c r="Q69" s="11">
        <f t="shared" si="39"/>
        <v>8</v>
      </c>
      <c r="R69" s="16" t="str">
        <f t="shared" si="40"/>
        <v>climate_db_MPI-M-MPI-ESM-LR_historical_v4.sqlite</v>
      </c>
      <c r="S69" s="16" t="str">
        <f t="shared" si="41"/>
        <v>log/MPI-M-MPI-ESM-LR_Scaled_Cluster3_repl3.txt</v>
      </c>
      <c r="T69" s="16" t="str">
        <f t="shared" si="42"/>
        <v>init/env_file_CLUSTER03_REPL3_MPI-M-MPI-ESM-LR_historical.csv</v>
      </c>
      <c r="U69" s="16" t="str">
        <f t="shared" si="43"/>
        <v>init/env_grid_CLUSTER03_REPL3.asc</v>
      </c>
      <c r="V69" s="16" t="str">
        <f t="shared" si="44"/>
        <v>init/env_grid_CLUSTER03_REPL3.asc</v>
      </c>
      <c r="W69" s="16" t="str">
        <f t="shared" si="45"/>
        <v>trees_CLUSTER03.csv</v>
      </c>
      <c r="X69" s="16" t="str">
        <f t="shared" si="46"/>
        <v>saplings_CLUSTER03.csv</v>
      </c>
      <c r="Y69" s="16">
        <f t="shared" si="47"/>
        <v>350</v>
      </c>
      <c r="Z69" s="16" t="str">
        <f t="shared" si="48"/>
        <v>abe/no_mgmt.csv</v>
      </c>
      <c r="AA69" s="16" t="str">
        <f t="shared" si="49"/>
        <v>gis/WindModifier_cl3.asc</v>
      </c>
      <c r="AB69" s="16">
        <f t="shared" si="50"/>
        <v>6.8500009999999999E-4</v>
      </c>
      <c r="AC69" s="16" t="str">
        <f t="shared" si="51"/>
        <v>MPI-M-MPI-ESM-LR_historical_point31016</v>
      </c>
      <c r="AD69" s="16" t="str">
        <f t="shared" si="52"/>
        <v>wind_Events/Scaled_cl3_repl3.txt</v>
      </c>
      <c r="AE69" s="16" t="str">
        <f t="shared" si="53"/>
        <v>MPI-M-MPI-ESM-LR_Scaled_Cluster3_repl3</v>
      </c>
      <c r="AF69" s="21" t="s">
        <v>536</v>
      </c>
      <c r="AG69" s="21" t="s">
        <v>537</v>
      </c>
    </row>
    <row r="70" spans="1:33" ht="13.8">
      <c r="A70" s="7" t="str">
        <f t="shared" si="36"/>
        <v>MPI-M-MPI-ESM-LR_Scaled_Cluster3_repl4</v>
      </c>
      <c r="B70" s="8" t="s">
        <v>16</v>
      </c>
      <c r="C70" s="8" t="s">
        <v>54</v>
      </c>
      <c r="D70" s="9" t="s">
        <v>17</v>
      </c>
      <c r="E70" s="9" t="str">
        <f t="shared" si="37"/>
        <v>historical</v>
      </c>
      <c r="F70" s="8">
        <v>350</v>
      </c>
      <c r="G70" s="8" t="s">
        <v>63</v>
      </c>
      <c r="H70" s="8">
        <v>2</v>
      </c>
      <c r="I70" s="19">
        <v>6.8499999999999995E-4</v>
      </c>
      <c r="J70" s="8">
        <v>3</v>
      </c>
      <c r="K70" s="8" t="s">
        <v>158</v>
      </c>
      <c r="L70" s="8">
        <v>4</v>
      </c>
      <c r="M70" s="8">
        <v>1</v>
      </c>
      <c r="N70" s="10" t="s">
        <v>21</v>
      </c>
      <c r="O70" s="17" t="s">
        <v>328</v>
      </c>
      <c r="P70" s="10" t="str">
        <f t="shared" si="38"/>
        <v>MPI-M-MPI-ESM-LR_Scaled_Cluster3_repl4.sqlite</v>
      </c>
      <c r="Q70" s="11">
        <f t="shared" si="39"/>
        <v>11</v>
      </c>
      <c r="R70" s="16" t="str">
        <f t="shared" si="40"/>
        <v>climate_db_MPI-M-MPI-ESM-LR_historical_v4.sqlite</v>
      </c>
      <c r="S70" s="16" t="str">
        <f t="shared" si="41"/>
        <v>log/MPI-M-MPI-ESM-LR_Scaled_Cluster3_repl4.txt</v>
      </c>
      <c r="T70" s="16" t="str">
        <f t="shared" si="42"/>
        <v>init/env_file_CLUSTER03_REPL4_MPI-M-MPI-ESM-LR_historical.csv</v>
      </c>
      <c r="U70" s="16" t="str">
        <f t="shared" si="43"/>
        <v>init/env_grid_CLUSTER03_REPL4.asc</v>
      </c>
      <c r="V70" s="16" t="str">
        <f t="shared" si="44"/>
        <v>init/env_grid_CLUSTER03_REPL4.asc</v>
      </c>
      <c r="W70" s="16" t="str">
        <f t="shared" si="45"/>
        <v>trees_CLUSTER03.csv</v>
      </c>
      <c r="X70" s="16" t="str">
        <f t="shared" si="46"/>
        <v>saplings_CLUSTER03.csv</v>
      </c>
      <c r="Y70" s="16">
        <f t="shared" si="47"/>
        <v>350</v>
      </c>
      <c r="Z70" s="16" t="str">
        <f t="shared" si="48"/>
        <v>abe/no_mgmt.csv</v>
      </c>
      <c r="AA70" s="16" t="str">
        <f t="shared" si="49"/>
        <v>gis/WindModifier_cl3.asc</v>
      </c>
      <c r="AB70" s="16">
        <f t="shared" si="50"/>
        <v>6.8500009999999999E-4</v>
      </c>
      <c r="AC70" s="16" t="str">
        <f t="shared" si="51"/>
        <v>MPI-M-MPI-ESM-LR_historical_point31016</v>
      </c>
      <c r="AD70" s="16" t="str">
        <f t="shared" si="52"/>
        <v>wind_Events/Scaled_cl3_repl4.txt</v>
      </c>
      <c r="AE70" s="16" t="str">
        <f t="shared" si="53"/>
        <v>MPI-M-MPI-ESM-LR_Scaled_Cluster3_repl4</v>
      </c>
      <c r="AF70" s="21" t="s">
        <v>538</v>
      </c>
      <c r="AG70" s="21" t="s">
        <v>539</v>
      </c>
    </row>
    <row r="71" spans="1:33" ht="13.8">
      <c r="A71" s="7" t="str">
        <f t="shared" si="36"/>
        <v>MPI-M-MPI-ESM-LR_Scaled_Cluster3_repl5</v>
      </c>
      <c r="B71" s="8" t="s">
        <v>16</v>
      </c>
      <c r="C71" s="8" t="s">
        <v>54</v>
      </c>
      <c r="D71" s="9" t="s">
        <v>17</v>
      </c>
      <c r="E71" s="9" t="str">
        <f t="shared" si="37"/>
        <v>historical</v>
      </c>
      <c r="F71" s="8">
        <v>350</v>
      </c>
      <c r="G71" s="8" t="s">
        <v>63</v>
      </c>
      <c r="H71" s="8">
        <v>2</v>
      </c>
      <c r="I71" s="19">
        <v>6.8499999999999995E-4</v>
      </c>
      <c r="J71" s="8">
        <v>3</v>
      </c>
      <c r="K71" s="8" t="s">
        <v>158</v>
      </c>
      <c r="L71" s="8">
        <v>5</v>
      </c>
      <c r="M71" s="8">
        <v>1</v>
      </c>
      <c r="N71" s="10" t="s">
        <v>21</v>
      </c>
      <c r="O71" s="17" t="s">
        <v>328</v>
      </c>
      <c r="P71" s="10" t="str">
        <f t="shared" si="38"/>
        <v>MPI-M-MPI-ESM-LR_Scaled_Cluster3_repl5.sqlite</v>
      </c>
      <c r="Q71" s="11">
        <f t="shared" si="39"/>
        <v>14</v>
      </c>
      <c r="R71" s="16" t="str">
        <f t="shared" si="40"/>
        <v>climate_db_MPI-M-MPI-ESM-LR_historical_v4.sqlite</v>
      </c>
      <c r="S71" s="16" t="str">
        <f t="shared" si="41"/>
        <v>log/MPI-M-MPI-ESM-LR_Scaled_Cluster3_repl5.txt</v>
      </c>
      <c r="T71" s="16" t="str">
        <f t="shared" si="42"/>
        <v>init/env_file_CLUSTER03_REPL5_MPI-M-MPI-ESM-LR_historical.csv</v>
      </c>
      <c r="U71" s="16" t="str">
        <f t="shared" si="43"/>
        <v>init/env_grid_CLUSTER03_REPL5.asc</v>
      </c>
      <c r="V71" s="16" t="str">
        <f t="shared" si="44"/>
        <v>init/env_grid_CLUSTER03_REPL5.asc</v>
      </c>
      <c r="W71" s="16" t="str">
        <f t="shared" si="45"/>
        <v>trees_CLUSTER03.csv</v>
      </c>
      <c r="X71" s="16" t="str">
        <f t="shared" si="46"/>
        <v>saplings_CLUSTER03.csv</v>
      </c>
      <c r="Y71" s="16">
        <f t="shared" si="47"/>
        <v>350</v>
      </c>
      <c r="Z71" s="16" t="str">
        <f t="shared" si="48"/>
        <v>abe/no_mgmt.csv</v>
      </c>
      <c r="AA71" s="16" t="str">
        <f t="shared" si="49"/>
        <v>gis/WindModifier_cl3.asc</v>
      </c>
      <c r="AB71" s="16">
        <f t="shared" si="50"/>
        <v>6.8500009999999999E-4</v>
      </c>
      <c r="AC71" s="16" t="str">
        <f t="shared" si="51"/>
        <v>MPI-M-MPI-ESM-LR_historical_point31016</v>
      </c>
      <c r="AD71" s="16" t="str">
        <f t="shared" si="52"/>
        <v>wind_Events/Scaled_cl3_repl5.txt</v>
      </c>
      <c r="AE71" s="16" t="str">
        <f t="shared" si="53"/>
        <v>MPI-M-MPI-ESM-LR_Scaled_Cluster3_repl5</v>
      </c>
      <c r="AF71" s="21" t="s">
        <v>540</v>
      </c>
      <c r="AG71" s="21" t="s">
        <v>541</v>
      </c>
    </row>
    <row r="72" spans="1:33" ht="13.8">
      <c r="A72" s="7" t="str">
        <f t="shared" si="36"/>
        <v>MPI-M-MPI-ESM-LR_Scaled_Cluster4_repl1</v>
      </c>
      <c r="B72" s="8" t="s">
        <v>16</v>
      </c>
      <c r="C72" s="8" t="s">
        <v>54</v>
      </c>
      <c r="D72" s="9" t="s">
        <v>17</v>
      </c>
      <c r="E72" s="9" t="str">
        <f t="shared" si="37"/>
        <v>historical</v>
      </c>
      <c r="F72" s="8">
        <v>350</v>
      </c>
      <c r="G72" s="8" t="s">
        <v>63</v>
      </c>
      <c r="H72" s="8">
        <v>2</v>
      </c>
      <c r="I72" s="19">
        <v>6.8499999999999995E-4</v>
      </c>
      <c r="J72" s="8">
        <v>4</v>
      </c>
      <c r="K72" s="8" t="s">
        <v>159</v>
      </c>
      <c r="L72" s="8">
        <v>1</v>
      </c>
      <c r="M72" s="8">
        <v>1</v>
      </c>
      <c r="N72" s="10" t="s">
        <v>21</v>
      </c>
      <c r="O72" s="17" t="s">
        <v>328</v>
      </c>
      <c r="P72" s="10" t="str">
        <f t="shared" si="38"/>
        <v>MPI-M-MPI-ESM-LR_Scaled_Cluster4_repl1.sqlite</v>
      </c>
      <c r="Q72" s="11">
        <f t="shared" si="39"/>
        <v>2</v>
      </c>
      <c r="R72" s="16" t="str">
        <f t="shared" si="40"/>
        <v>climate_db_MPI-M-MPI-ESM-LR_historical_v4.sqlite</v>
      </c>
      <c r="S72" s="16" t="str">
        <f t="shared" si="41"/>
        <v>log/MPI-M-MPI-ESM-LR_Scaled_Cluster4_repl1.txt</v>
      </c>
      <c r="T72" s="16" t="str">
        <f t="shared" si="42"/>
        <v>init/env_file_CLUSTER04_REPL1_MPI-M-MPI-ESM-LR_historical.csv</v>
      </c>
      <c r="U72" s="16" t="str">
        <f t="shared" si="43"/>
        <v>init/env_grid_CLUSTER04_REPL1.asc</v>
      </c>
      <c r="V72" s="16" t="str">
        <f t="shared" si="44"/>
        <v>init/env_grid_CLUSTER04_REPL1.asc</v>
      </c>
      <c r="W72" s="16" t="str">
        <f t="shared" si="45"/>
        <v>trees_CLUSTER04.csv</v>
      </c>
      <c r="X72" s="16" t="str">
        <f t="shared" si="46"/>
        <v>saplings_CLUSTER04.csv</v>
      </c>
      <c r="Y72" s="16">
        <f t="shared" si="47"/>
        <v>350</v>
      </c>
      <c r="Z72" s="16" t="str">
        <f t="shared" si="48"/>
        <v>abe/no_mgmt.csv</v>
      </c>
      <c r="AA72" s="16" t="str">
        <f t="shared" si="49"/>
        <v>gis/WindModifier_cl4.asc</v>
      </c>
      <c r="AB72" s="16">
        <f t="shared" si="50"/>
        <v>6.8500009999999999E-4</v>
      </c>
      <c r="AC72" s="16" t="str">
        <f t="shared" si="51"/>
        <v>MPI-M-MPI-ESM-LR_historical_point26511</v>
      </c>
      <c r="AD72" s="16" t="str">
        <f t="shared" si="52"/>
        <v>wind_Events/Scaled_cl4_repl1.txt</v>
      </c>
      <c r="AE72" s="16" t="str">
        <f t="shared" si="53"/>
        <v>MPI-M-MPI-ESM-LR_Scaled_Cluster4_repl1</v>
      </c>
      <c r="AF72" s="21" t="s">
        <v>357</v>
      </c>
      <c r="AG72" s="21" t="s">
        <v>358</v>
      </c>
    </row>
    <row r="73" spans="1:33" ht="13.8">
      <c r="A73" s="7" t="str">
        <f t="shared" si="36"/>
        <v>MPI-M-MPI-ESM-LR_Scaled_Cluster4_repl2</v>
      </c>
      <c r="B73" s="8" t="s">
        <v>16</v>
      </c>
      <c r="C73" s="8" t="s">
        <v>54</v>
      </c>
      <c r="D73" s="9" t="s">
        <v>17</v>
      </c>
      <c r="E73" s="9" t="str">
        <f t="shared" si="37"/>
        <v>historical</v>
      </c>
      <c r="F73" s="8">
        <v>350</v>
      </c>
      <c r="G73" s="8" t="s">
        <v>63</v>
      </c>
      <c r="H73" s="8">
        <v>2</v>
      </c>
      <c r="I73" s="19">
        <v>6.8499999999999995E-4</v>
      </c>
      <c r="J73" s="8">
        <v>4</v>
      </c>
      <c r="K73" s="8" t="s">
        <v>159</v>
      </c>
      <c r="L73" s="8">
        <v>2</v>
      </c>
      <c r="M73" s="8">
        <v>1</v>
      </c>
      <c r="N73" s="10" t="s">
        <v>21</v>
      </c>
      <c r="O73" s="17" t="s">
        <v>328</v>
      </c>
      <c r="P73" s="10" t="str">
        <f t="shared" si="38"/>
        <v>MPI-M-MPI-ESM-LR_Scaled_Cluster4_repl2.sqlite</v>
      </c>
      <c r="Q73" s="11">
        <f t="shared" si="39"/>
        <v>5</v>
      </c>
      <c r="R73" s="16" t="str">
        <f t="shared" si="40"/>
        <v>climate_db_MPI-M-MPI-ESM-LR_historical_v4.sqlite</v>
      </c>
      <c r="S73" s="16" t="str">
        <f t="shared" si="41"/>
        <v>log/MPI-M-MPI-ESM-LR_Scaled_Cluster4_repl2.txt</v>
      </c>
      <c r="T73" s="16" t="str">
        <f t="shared" si="42"/>
        <v>init/env_file_CLUSTER04_REPL2_MPI-M-MPI-ESM-LR_historical.csv</v>
      </c>
      <c r="U73" s="16" t="str">
        <f t="shared" si="43"/>
        <v>init/env_grid_CLUSTER04_REPL2.asc</v>
      </c>
      <c r="V73" s="16" t="str">
        <f t="shared" si="44"/>
        <v>init/env_grid_CLUSTER04_REPL2.asc</v>
      </c>
      <c r="W73" s="16" t="str">
        <f t="shared" si="45"/>
        <v>trees_CLUSTER04.csv</v>
      </c>
      <c r="X73" s="16" t="str">
        <f t="shared" si="46"/>
        <v>saplings_CLUSTER04.csv</v>
      </c>
      <c r="Y73" s="16">
        <f t="shared" si="47"/>
        <v>350</v>
      </c>
      <c r="Z73" s="16" t="str">
        <f t="shared" si="48"/>
        <v>abe/no_mgmt.csv</v>
      </c>
      <c r="AA73" s="16" t="str">
        <f t="shared" si="49"/>
        <v>gis/WindModifier_cl4.asc</v>
      </c>
      <c r="AB73" s="16">
        <f t="shared" si="50"/>
        <v>6.8500009999999999E-4</v>
      </c>
      <c r="AC73" s="16" t="str">
        <f t="shared" si="51"/>
        <v>MPI-M-MPI-ESM-LR_historical_point26511</v>
      </c>
      <c r="AD73" s="16" t="str">
        <f t="shared" si="52"/>
        <v>wind_Events/Scaled_cl4_repl2.txt</v>
      </c>
      <c r="AE73" s="16" t="str">
        <f t="shared" si="53"/>
        <v>MPI-M-MPI-ESM-LR_Scaled_Cluster4_repl2</v>
      </c>
      <c r="AF73" s="21" t="s">
        <v>542</v>
      </c>
      <c r="AG73" s="21" t="s">
        <v>543</v>
      </c>
    </row>
    <row r="74" spans="1:33" ht="13.8">
      <c r="A74" s="7" t="str">
        <f t="shared" si="36"/>
        <v>MPI-M-MPI-ESM-LR_Scaled_Cluster4_repl3</v>
      </c>
      <c r="B74" s="8" t="s">
        <v>16</v>
      </c>
      <c r="C74" s="8" t="s">
        <v>54</v>
      </c>
      <c r="D74" s="9" t="s">
        <v>17</v>
      </c>
      <c r="E74" s="9" t="str">
        <f t="shared" si="37"/>
        <v>historical</v>
      </c>
      <c r="F74" s="8">
        <v>350</v>
      </c>
      <c r="G74" s="8" t="s">
        <v>63</v>
      </c>
      <c r="H74" s="8">
        <v>2</v>
      </c>
      <c r="I74" s="19">
        <v>6.8499999999999995E-4</v>
      </c>
      <c r="J74" s="8">
        <v>4</v>
      </c>
      <c r="K74" s="8" t="s">
        <v>159</v>
      </c>
      <c r="L74" s="8">
        <v>3</v>
      </c>
      <c r="M74" s="8">
        <v>1</v>
      </c>
      <c r="N74" s="10" t="s">
        <v>21</v>
      </c>
      <c r="O74" s="17" t="s">
        <v>328</v>
      </c>
      <c r="P74" s="10" t="str">
        <f t="shared" si="38"/>
        <v>MPI-M-MPI-ESM-LR_Scaled_Cluster4_repl3.sqlite</v>
      </c>
      <c r="Q74" s="11">
        <f t="shared" si="39"/>
        <v>8</v>
      </c>
      <c r="R74" s="16" t="str">
        <f t="shared" si="40"/>
        <v>climate_db_MPI-M-MPI-ESM-LR_historical_v4.sqlite</v>
      </c>
      <c r="S74" s="16" t="str">
        <f t="shared" si="41"/>
        <v>log/MPI-M-MPI-ESM-LR_Scaled_Cluster4_repl3.txt</v>
      </c>
      <c r="T74" s="16" t="str">
        <f t="shared" si="42"/>
        <v>init/env_file_CLUSTER04_REPL3_MPI-M-MPI-ESM-LR_historical.csv</v>
      </c>
      <c r="U74" s="16" t="str">
        <f t="shared" si="43"/>
        <v>init/env_grid_CLUSTER04_REPL3.asc</v>
      </c>
      <c r="V74" s="16" t="str">
        <f t="shared" si="44"/>
        <v>init/env_grid_CLUSTER04_REPL3.asc</v>
      </c>
      <c r="W74" s="16" t="str">
        <f t="shared" si="45"/>
        <v>trees_CLUSTER04.csv</v>
      </c>
      <c r="X74" s="16" t="str">
        <f t="shared" si="46"/>
        <v>saplings_CLUSTER04.csv</v>
      </c>
      <c r="Y74" s="16">
        <f t="shared" si="47"/>
        <v>350</v>
      </c>
      <c r="Z74" s="16" t="str">
        <f t="shared" si="48"/>
        <v>abe/no_mgmt.csv</v>
      </c>
      <c r="AA74" s="16" t="str">
        <f t="shared" si="49"/>
        <v>gis/WindModifier_cl4.asc</v>
      </c>
      <c r="AB74" s="16">
        <f t="shared" si="50"/>
        <v>6.8500009999999999E-4</v>
      </c>
      <c r="AC74" s="16" t="str">
        <f t="shared" si="51"/>
        <v>MPI-M-MPI-ESM-LR_historical_point26511</v>
      </c>
      <c r="AD74" s="16" t="str">
        <f t="shared" si="52"/>
        <v>wind_Events/Scaled_cl4_repl3.txt</v>
      </c>
      <c r="AE74" s="16" t="str">
        <f t="shared" si="53"/>
        <v>MPI-M-MPI-ESM-LR_Scaled_Cluster4_repl3</v>
      </c>
      <c r="AF74" s="21" t="s">
        <v>544</v>
      </c>
      <c r="AG74" s="21" t="s">
        <v>545</v>
      </c>
    </row>
    <row r="75" spans="1:33" ht="13.8">
      <c r="A75" s="7" t="str">
        <f t="shared" si="36"/>
        <v>MPI-M-MPI-ESM-LR_Scaled_Cluster4_repl4</v>
      </c>
      <c r="B75" s="8" t="s">
        <v>16</v>
      </c>
      <c r="C75" s="8" t="s">
        <v>54</v>
      </c>
      <c r="D75" s="9" t="s">
        <v>17</v>
      </c>
      <c r="E75" s="9" t="str">
        <f t="shared" si="37"/>
        <v>historical</v>
      </c>
      <c r="F75" s="8">
        <v>350</v>
      </c>
      <c r="G75" s="8" t="s">
        <v>63</v>
      </c>
      <c r="H75" s="8">
        <v>2</v>
      </c>
      <c r="I75" s="19">
        <v>6.8499999999999995E-4</v>
      </c>
      <c r="J75" s="8">
        <v>4</v>
      </c>
      <c r="K75" s="8" t="s">
        <v>159</v>
      </c>
      <c r="L75" s="8">
        <v>4</v>
      </c>
      <c r="M75" s="8">
        <v>1</v>
      </c>
      <c r="N75" s="10" t="s">
        <v>21</v>
      </c>
      <c r="O75" s="17" t="s">
        <v>328</v>
      </c>
      <c r="P75" s="10" t="str">
        <f t="shared" si="38"/>
        <v>MPI-M-MPI-ESM-LR_Scaled_Cluster4_repl4.sqlite</v>
      </c>
      <c r="Q75" s="11">
        <f t="shared" si="39"/>
        <v>11</v>
      </c>
      <c r="R75" s="16" t="str">
        <f t="shared" si="40"/>
        <v>climate_db_MPI-M-MPI-ESM-LR_historical_v4.sqlite</v>
      </c>
      <c r="S75" s="16" t="str">
        <f t="shared" si="41"/>
        <v>log/MPI-M-MPI-ESM-LR_Scaled_Cluster4_repl4.txt</v>
      </c>
      <c r="T75" s="16" t="str">
        <f t="shared" si="42"/>
        <v>init/env_file_CLUSTER04_REPL4_MPI-M-MPI-ESM-LR_historical.csv</v>
      </c>
      <c r="U75" s="16" t="str">
        <f t="shared" si="43"/>
        <v>init/env_grid_CLUSTER04_REPL4.asc</v>
      </c>
      <c r="V75" s="16" t="str">
        <f t="shared" si="44"/>
        <v>init/env_grid_CLUSTER04_REPL4.asc</v>
      </c>
      <c r="W75" s="16" t="str">
        <f t="shared" si="45"/>
        <v>trees_CLUSTER04.csv</v>
      </c>
      <c r="X75" s="16" t="str">
        <f t="shared" si="46"/>
        <v>saplings_CLUSTER04.csv</v>
      </c>
      <c r="Y75" s="16">
        <f t="shared" si="47"/>
        <v>350</v>
      </c>
      <c r="Z75" s="16" t="str">
        <f t="shared" si="48"/>
        <v>abe/no_mgmt.csv</v>
      </c>
      <c r="AA75" s="16" t="str">
        <f t="shared" si="49"/>
        <v>gis/WindModifier_cl4.asc</v>
      </c>
      <c r="AB75" s="16">
        <f t="shared" si="50"/>
        <v>6.8500009999999999E-4</v>
      </c>
      <c r="AC75" s="16" t="str">
        <f t="shared" si="51"/>
        <v>MPI-M-MPI-ESM-LR_historical_point26511</v>
      </c>
      <c r="AD75" s="16" t="str">
        <f t="shared" si="52"/>
        <v>wind_Events/Scaled_cl4_repl4.txt</v>
      </c>
      <c r="AE75" s="16" t="str">
        <f t="shared" si="53"/>
        <v>MPI-M-MPI-ESM-LR_Scaled_Cluster4_repl4</v>
      </c>
      <c r="AF75" s="21" t="s">
        <v>546</v>
      </c>
      <c r="AG75" s="21" t="s">
        <v>547</v>
      </c>
    </row>
    <row r="76" spans="1:33" ht="13.8">
      <c r="A76" s="7" t="str">
        <f t="shared" si="36"/>
        <v>MPI-M-MPI-ESM-LR_Scaled_Cluster4_repl5</v>
      </c>
      <c r="B76" s="8" t="s">
        <v>16</v>
      </c>
      <c r="C76" s="8" t="s">
        <v>54</v>
      </c>
      <c r="D76" s="9" t="s">
        <v>17</v>
      </c>
      <c r="E76" s="9" t="str">
        <f t="shared" si="37"/>
        <v>historical</v>
      </c>
      <c r="F76" s="8">
        <v>350</v>
      </c>
      <c r="G76" s="8" t="s">
        <v>63</v>
      </c>
      <c r="H76" s="8">
        <v>2</v>
      </c>
      <c r="I76" s="19">
        <v>6.8499999999999995E-4</v>
      </c>
      <c r="J76" s="8">
        <v>4</v>
      </c>
      <c r="K76" s="8" t="s">
        <v>159</v>
      </c>
      <c r="L76" s="8">
        <v>5</v>
      </c>
      <c r="M76" s="8">
        <v>1</v>
      </c>
      <c r="N76" s="10" t="s">
        <v>21</v>
      </c>
      <c r="O76" s="17" t="s">
        <v>328</v>
      </c>
      <c r="P76" s="10" t="str">
        <f t="shared" si="38"/>
        <v>MPI-M-MPI-ESM-LR_Scaled_Cluster4_repl5.sqlite</v>
      </c>
      <c r="Q76" s="11">
        <f t="shared" si="39"/>
        <v>14</v>
      </c>
      <c r="R76" s="16" t="str">
        <f t="shared" si="40"/>
        <v>climate_db_MPI-M-MPI-ESM-LR_historical_v4.sqlite</v>
      </c>
      <c r="S76" s="16" t="str">
        <f t="shared" si="41"/>
        <v>log/MPI-M-MPI-ESM-LR_Scaled_Cluster4_repl5.txt</v>
      </c>
      <c r="T76" s="16" t="str">
        <f t="shared" si="42"/>
        <v>init/env_file_CLUSTER04_REPL5_MPI-M-MPI-ESM-LR_historical.csv</v>
      </c>
      <c r="U76" s="16" t="str">
        <f t="shared" si="43"/>
        <v>init/env_grid_CLUSTER04_REPL5.asc</v>
      </c>
      <c r="V76" s="16" t="str">
        <f t="shared" si="44"/>
        <v>init/env_grid_CLUSTER04_REPL5.asc</v>
      </c>
      <c r="W76" s="16" t="str">
        <f t="shared" si="45"/>
        <v>trees_CLUSTER04.csv</v>
      </c>
      <c r="X76" s="16" t="str">
        <f t="shared" si="46"/>
        <v>saplings_CLUSTER04.csv</v>
      </c>
      <c r="Y76" s="16">
        <f t="shared" si="47"/>
        <v>350</v>
      </c>
      <c r="Z76" s="16" t="str">
        <f t="shared" si="48"/>
        <v>abe/no_mgmt.csv</v>
      </c>
      <c r="AA76" s="16" t="str">
        <f t="shared" si="49"/>
        <v>gis/WindModifier_cl4.asc</v>
      </c>
      <c r="AB76" s="16">
        <f t="shared" si="50"/>
        <v>6.8500009999999999E-4</v>
      </c>
      <c r="AC76" s="16" t="str">
        <f t="shared" si="51"/>
        <v>MPI-M-MPI-ESM-LR_historical_point26511</v>
      </c>
      <c r="AD76" s="16" t="str">
        <f t="shared" si="52"/>
        <v>wind_Events/Scaled_cl4_repl5.txt</v>
      </c>
      <c r="AE76" s="16" t="str">
        <f t="shared" si="53"/>
        <v>MPI-M-MPI-ESM-LR_Scaled_Cluster4_repl5</v>
      </c>
      <c r="AF76" s="21" t="s">
        <v>548</v>
      </c>
      <c r="AG76" s="21" t="s">
        <v>549</v>
      </c>
    </row>
    <row r="77" spans="1:33" ht="13.8">
      <c r="A77" s="7" t="str">
        <f t="shared" si="36"/>
        <v>MPI-M-MPI-ESM-LR_Scaled_Cluster5_repl1</v>
      </c>
      <c r="B77" s="8" t="s">
        <v>16</v>
      </c>
      <c r="C77" s="8" t="s">
        <v>54</v>
      </c>
      <c r="D77" s="9" t="s">
        <v>17</v>
      </c>
      <c r="E77" s="9" t="str">
        <f t="shared" si="37"/>
        <v>historical</v>
      </c>
      <c r="F77" s="8">
        <v>350</v>
      </c>
      <c r="G77" s="8" t="s">
        <v>63</v>
      </c>
      <c r="H77" s="8">
        <v>2</v>
      </c>
      <c r="I77" s="19">
        <v>6.8499999999999995E-4</v>
      </c>
      <c r="J77" s="8">
        <v>5</v>
      </c>
      <c r="K77" s="8" t="s">
        <v>169</v>
      </c>
      <c r="L77" s="8">
        <v>1</v>
      </c>
      <c r="M77" s="8">
        <v>1</v>
      </c>
      <c r="N77" s="10" t="s">
        <v>21</v>
      </c>
      <c r="O77" s="17" t="s">
        <v>328</v>
      </c>
      <c r="P77" s="10" t="str">
        <f t="shared" si="38"/>
        <v>MPI-M-MPI-ESM-LR_Scaled_Cluster5_repl1.sqlite</v>
      </c>
      <c r="Q77" s="11">
        <f t="shared" si="39"/>
        <v>2</v>
      </c>
      <c r="R77" s="16" t="str">
        <f t="shared" si="40"/>
        <v>climate_db_MPI-M-MPI-ESM-LR_historical_v4.sqlite</v>
      </c>
      <c r="S77" s="16" t="str">
        <f t="shared" si="41"/>
        <v>log/MPI-M-MPI-ESM-LR_Scaled_Cluster5_repl1.txt</v>
      </c>
      <c r="T77" s="16" t="str">
        <f t="shared" si="42"/>
        <v>init/env_file_CLUSTER05_REPL1_MPI-M-MPI-ESM-LR_historical.csv</v>
      </c>
      <c r="U77" s="16" t="str">
        <f t="shared" si="43"/>
        <v>init/env_grid_CLUSTER05_REPL1.asc</v>
      </c>
      <c r="V77" s="16" t="str">
        <f t="shared" si="44"/>
        <v>init/env_grid_CLUSTER05_REPL1.asc</v>
      </c>
      <c r="W77" s="16" t="str">
        <f t="shared" si="45"/>
        <v>trees_CLUSTER05.csv</v>
      </c>
      <c r="X77" s="16" t="str">
        <f t="shared" si="46"/>
        <v>saplings_CLUSTER05.csv</v>
      </c>
      <c r="Y77" s="16">
        <f t="shared" si="47"/>
        <v>350</v>
      </c>
      <c r="Z77" s="16" t="str">
        <f t="shared" si="48"/>
        <v>abe/no_mgmt.csv</v>
      </c>
      <c r="AA77" s="16" t="str">
        <f t="shared" si="49"/>
        <v>gis/WindModifier_cl5.asc</v>
      </c>
      <c r="AB77" s="16">
        <f t="shared" si="50"/>
        <v>6.8500009999999999E-4</v>
      </c>
      <c r="AC77" s="16" t="str">
        <f t="shared" si="51"/>
        <v>MPI-M-MPI-ESM-LR_historical_point31054</v>
      </c>
      <c r="AD77" s="16" t="str">
        <f t="shared" si="52"/>
        <v>wind_Events/Scaled_cl5_repl1.txt</v>
      </c>
      <c r="AE77" s="16" t="str">
        <f t="shared" si="53"/>
        <v>MPI-M-MPI-ESM-LR_Scaled_Cluster5_repl1</v>
      </c>
      <c r="AF77" s="21" t="s">
        <v>363</v>
      </c>
      <c r="AG77" s="21" t="s">
        <v>75</v>
      </c>
    </row>
    <row r="78" spans="1:33" ht="13.8">
      <c r="A78" s="7" t="str">
        <f t="shared" si="36"/>
        <v>MPI-M-MPI-ESM-LR_Scaled_Cluster5_repl2</v>
      </c>
      <c r="B78" s="8" t="s">
        <v>16</v>
      </c>
      <c r="C78" s="8" t="s">
        <v>54</v>
      </c>
      <c r="D78" s="9" t="s">
        <v>17</v>
      </c>
      <c r="E78" s="9" t="str">
        <f t="shared" si="37"/>
        <v>historical</v>
      </c>
      <c r="F78" s="8">
        <v>350</v>
      </c>
      <c r="G78" s="8" t="s">
        <v>63</v>
      </c>
      <c r="H78" s="8">
        <v>2</v>
      </c>
      <c r="I78" s="19">
        <v>6.8499999999999995E-4</v>
      </c>
      <c r="J78" s="8">
        <v>5</v>
      </c>
      <c r="K78" s="8" t="s">
        <v>169</v>
      </c>
      <c r="L78" s="8">
        <v>2</v>
      </c>
      <c r="M78" s="8">
        <v>1</v>
      </c>
      <c r="N78" s="10" t="s">
        <v>21</v>
      </c>
      <c r="O78" s="17" t="s">
        <v>328</v>
      </c>
      <c r="P78" s="10" t="str">
        <f t="shared" si="38"/>
        <v>MPI-M-MPI-ESM-LR_Scaled_Cluster5_repl2.sqlite</v>
      </c>
      <c r="Q78" s="11">
        <f t="shared" si="39"/>
        <v>5</v>
      </c>
      <c r="R78" s="16" t="str">
        <f t="shared" si="40"/>
        <v>climate_db_MPI-M-MPI-ESM-LR_historical_v4.sqlite</v>
      </c>
      <c r="S78" s="16" t="str">
        <f t="shared" si="41"/>
        <v>log/MPI-M-MPI-ESM-LR_Scaled_Cluster5_repl2.txt</v>
      </c>
      <c r="T78" s="16" t="str">
        <f t="shared" si="42"/>
        <v>init/env_file_CLUSTER05_REPL2_MPI-M-MPI-ESM-LR_historical.csv</v>
      </c>
      <c r="U78" s="16" t="str">
        <f t="shared" si="43"/>
        <v>init/env_grid_CLUSTER05_REPL2.asc</v>
      </c>
      <c r="V78" s="16" t="str">
        <f t="shared" si="44"/>
        <v>init/env_grid_CLUSTER05_REPL2.asc</v>
      </c>
      <c r="W78" s="16" t="str">
        <f t="shared" si="45"/>
        <v>trees_CLUSTER05.csv</v>
      </c>
      <c r="X78" s="16" t="str">
        <f t="shared" si="46"/>
        <v>saplings_CLUSTER05.csv</v>
      </c>
      <c r="Y78" s="16">
        <f t="shared" si="47"/>
        <v>350</v>
      </c>
      <c r="Z78" s="16" t="str">
        <f t="shared" si="48"/>
        <v>abe/no_mgmt.csv</v>
      </c>
      <c r="AA78" s="16" t="str">
        <f t="shared" si="49"/>
        <v>gis/WindModifier_cl5.asc</v>
      </c>
      <c r="AB78" s="16">
        <f t="shared" si="50"/>
        <v>6.8500009999999999E-4</v>
      </c>
      <c r="AC78" s="16" t="str">
        <f t="shared" si="51"/>
        <v>MPI-M-MPI-ESM-LR_historical_point31054</v>
      </c>
      <c r="AD78" s="16" t="str">
        <f t="shared" si="52"/>
        <v>wind_Events/Scaled_cl5_repl2.txt</v>
      </c>
      <c r="AE78" s="16" t="str">
        <f t="shared" si="53"/>
        <v>MPI-M-MPI-ESM-LR_Scaled_Cluster5_repl2</v>
      </c>
      <c r="AF78" s="21" t="s">
        <v>550</v>
      </c>
      <c r="AG78" s="21" t="s">
        <v>551</v>
      </c>
    </row>
    <row r="79" spans="1:33" ht="13.8">
      <c r="A79" s="7" t="str">
        <f t="shared" si="36"/>
        <v>MPI-M-MPI-ESM-LR_Scaled_Cluster5_repl3</v>
      </c>
      <c r="B79" s="8" t="s">
        <v>16</v>
      </c>
      <c r="C79" s="8" t="s">
        <v>54</v>
      </c>
      <c r="D79" s="9" t="s">
        <v>17</v>
      </c>
      <c r="E79" s="9" t="str">
        <f t="shared" si="37"/>
        <v>historical</v>
      </c>
      <c r="F79" s="8">
        <v>350</v>
      </c>
      <c r="G79" s="8" t="s">
        <v>63</v>
      </c>
      <c r="H79" s="8">
        <v>2</v>
      </c>
      <c r="I79" s="19">
        <v>6.8499999999999995E-4</v>
      </c>
      <c r="J79" s="8">
        <v>5</v>
      </c>
      <c r="K79" s="8" t="s">
        <v>169</v>
      </c>
      <c r="L79" s="8">
        <v>3</v>
      </c>
      <c r="M79" s="8">
        <v>1</v>
      </c>
      <c r="N79" s="10" t="s">
        <v>21</v>
      </c>
      <c r="O79" s="17" t="s">
        <v>328</v>
      </c>
      <c r="P79" s="10" t="str">
        <f t="shared" si="38"/>
        <v>MPI-M-MPI-ESM-LR_Scaled_Cluster5_repl3.sqlite</v>
      </c>
      <c r="Q79" s="11">
        <f t="shared" si="39"/>
        <v>8</v>
      </c>
      <c r="R79" s="16" t="str">
        <f t="shared" si="40"/>
        <v>climate_db_MPI-M-MPI-ESM-LR_historical_v4.sqlite</v>
      </c>
      <c r="S79" s="16" t="str">
        <f t="shared" si="41"/>
        <v>log/MPI-M-MPI-ESM-LR_Scaled_Cluster5_repl3.txt</v>
      </c>
      <c r="T79" s="16" t="str">
        <f t="shared" si="42"/>
        <v>init/env_file_CLUSTER05_REPL3_MPI-M-MPI-ESM-LR_historical.csv</v>
      </c>
      <c r="U79" s="16" t="str">
        <f t="shared" si="43"/>
        <v>init/env_grid_CLUSTER05_REPL3.asc</v>
      </c>
      <c r="V79" s="16" t="str">
        <f t="shared" si="44"/>
        <v>init/env_grid_CLUSTER05_REPL3.asc</v>
      </c>
      <c r="W79" s="16" t="str">
        <f t="shared" si="45"/>
        <v>trees_CLUSTER05.csv</v>
      </c>
      <c r="X79" s="16" t="str">
        <f t="shared" si="46"/>
        <v>saplings_CLUSTER05.csv</v>
      </c>
      <c r="Y79" s="16">
        <f t="shared" si="47"/>
        <v>350</v>
      </c>
      <c r="Z79" s="16" t="str">
        <f t="shared" si="48"/>
        <v>abe/no_mgmt.csv</v>
      </c>
      <c r="AA79" s="16" t="str">
        <f t="shared" si="49"/>
        <v>gis/WindModifier_cl5.asc</v>
      </c>
      <c r="AB79" s="16">
        <f t="shared" si="50"/>
        <v>6.8500009999999999E-4</v>
      </c>
      <c r="AC79" s="16" t="str">
        <f t="shared" si="51"/>
        <v>MPI-M-MPI-ESM-LR_historical_point31054</v>
      </c>
      <c r="AD79" s="16" t="str">
        <f t="shared" si="52"/>
        <v>wind_Events/Scaled_cl5_repl3.txt</v>
      </c>
      <c r="AE79" s="16" t="str">
        <f t="shared" si="53"/>
        <v>MPI-M-MPI-ESM-LR_Scaled_Cluster5_repl3</v>
      </c>
      <c r="AF79" s="21" t="s">
        <v>552</v>
      </c>
      <c r="AG79" s="21" t="s">
        <v>553</v>
      </c>
    </row>
    <row r="80" spans="1:33" ht="13.8">
      <c r="A80" s="7" t="str">
        <f t="shared" si="36"/>
        <v>MPI-M-MPI-ESM-LR_Scaled_Cluster5_repl4</v>
      </c>
      <c r="B80" s="8" t="s">
        <v>16</v>
      </c>
      <c r="C80" s="8" t="s">
        <v>54</v>
      </c>
      <c r="D80" s="9" t="s">
        <v>17</v>
      </c>
      <c r="E80" s="9" t="str">
        <f t="shared" si="37"/>
        <v>historical</v>
      </c>
      <c r="F80" s="8">
        <v>350</v>
      </c>
      <c r="G80" s="8" t="s">
        <v>63</v>
      </c>
      <c r="H80" s="8">
        <v>2</v>
      </c>
      <c r="I80" s="19">
        <v>6.8499999999999995E-4</v>
      </c>
      <c r="J80" s="8">
        <v>5</v>
      </c>
      <c r="K80" s="8" t="s">
        <v>169</v>
      </c>
      <c r="L80" s="8">
        <v>4</v>
      </c>
      <c r="M80" s="8">
        <v>1</v>
      </c>
      <c r="N80" s="10" t="s">
        <v>21</v>
      </c>
      <c r="O80" s="17" t="s">
        <v>328</v>
      </c>
      <c r="P80" s="10" t="str">
        <f t="shared" si="38"/>
        <v>MPI-M-MPI-ESM-LR_Scaled_Cluster5_repl4.sqlite</v>
      </c>
      <c r="Q80" s="11">
        <f t="shared" si="39"/>
        <v>11</v>
      </c>
      <c r="R80" s="16" t="str">
        <f t="shared" si="40"/>
        <v>climate_db_MPI-M-MPI-ESM-LR_historical_v4.sqlite</v>
      </c>
      <c r="S80" s="16" t="str">
        <f t="shared" si="41"/>
        <v>log/MPI-M-MPI-ESM-LR_Scaled_Cluster5_repl4.txt</v>
      </c>
      <c r="T80" s="16" t="str">
        <f t="shared" si="42"/>
        <v>init/env_file_CLUSTER05_REPL4_MPI-M-MPI-ESM-LR_historical.csv</v>
      </c>
      <c r="U80" s="16" t="str">
        <f t="shared" si="43"/>
        <v>init/env_grid_CLUSTER05_REPL4.asc</v>
      </c>
      <c r="V80" s="16" t="str">
        <f t="shared" si="44"/>
        <v>init/env_grid_CLUSTER05_REPL4.asc</v>
      </c>
      <c r="W80" s="16" t="str">
        <f t="shared" si="45"/>
        <v>trees_CLUSTER05.csv</v>
      </c>
      <c r="X80" s="16" t="str">
        <f t="shared" si="46"/>
        <v>saplings_CLUSTER05.csv</v>
      </c>
      <c r="Y80" s="16">
        <f t="shared" si="47"/>
        <v>350</v>
      </c>
      <c r="Z80" s="16" t="str">
        <f t="shared" si="48"/>
        <v>abe/no_mgmt.csv</v>
      </c>
      <c r="AA80" s="16" t="str">
        <f t="shared" si="49"/>
        <v>gis/WindModifier_cl5.asc</v>
      </c>
      <c r="AB80" s="16">
        <f t="shared" si="50"/>
        <v>6.8500009999999999E-4</v>
      </c>
      <c r="AC80" s="16" t="str">
        <f t="shared" si="51"/>
        <v>MPI-M-MPI-ESM-LR_historical_point31054</v>
      </c>
      <c r="AD80" s="16" t="str">
        <f t="shared" si="52"/>
        <v>wind_Events/Scaled_cl5_repl4.txt</v>
      </c>
      <c r="AE80" s="16" t="str">
        <f t="shared" si="53"/>
        <v>MPI-M-MPI-ESM-LR_Scaled_Cluster5_repl4</v>
      </c>
      <c r="AF80" s="21" t="s">
        <v>554</v>
      </c>
      <c r="AG80" s="21" t="s">
        <v>555</v>
      </c>
    </row>
    <row r="81" spans="1:33" ht="13.8">
      <c r="A81" s="7" t="str">
        <f t="shared" si="36"/>
        <v>MPI-M-MPI-ESM-LR_Scaled_Cluster5_repl5</v>
      </c>
      <c r="B81" s="8" t="s">
        <v>16</v>
      </c>
      <c r="C81" s="8" t="s">
        <v>54</v>
      </c>
      <c r="D81" s="9" t="s">
        <v>17</v>
      </c>
      <c r="E81" s="9" t="str">
        <f t="shared" si="37"/>
        <v>historical</v>
      </c>
      <c r="F81" s="8">
        <v>350</v>
      </c>
      <c r="G81" s="8" t="s">
        <v>63</v>
      </c>
      <c r="H81" s="8">
        <v>2</v>
      </c>
      <c r="I81" s="19">
        <v>6.8499999999999995E-4</v>
      </c>
      <c r="J81" s="8">
        <v>5</v>
      </c>
      <c r="K81" s="8" t="s">
        <v>169</v>
      </c>
      <c r="L81" s="8">
        <v>5</v>
      </c>
      <c r="M81" s="8">
        <v>1</v>
      </c>
      <c r="N81" s="10" t="s">
        <v>21</v>
      </c>
      <c r="O81" s="17" t="s">
        <v>328</v>
      </c>
      <c r="P81" s="10" t="str">
        <f t="shared" si="38"/>
        <v>MPI-M-MPI-ESM-LR_Scaled_Cluster5_repl5.sqlite</v>
      </c>
      <c r="Q81" s="11">
        <f t="shared" si="39"/>
        <v>14</v>
      </c>
      <c r="R81" s="16" t="str">
        <f t="shared" si="40"/>
        <v>climate_db_MPI-M-MPI-ESM-LR_historical_v4.sqlite</v>
      </c>
      <c r="S81" s="16" t="str">
        <f t="shared" si="41"/>
        <v>log/MPI-M-MPI-ESM-LR_Scaled_Cluster5_repl5.txt</v>
      </c>
      <c r="T81" s="16" t="str">
        <f t="shared" si="42"/>
        <v>init/env_file_CLUSTER05_REPL5_MPI-M-MPI-ESM-LR_historical.csv</v>
      </c>
      <c r="U81" s="16" t="str">
        <f t="shared" si="43"/>
        <v>init/env_grid_CLUSTER05_REPL5.asc</v>
      </c>
      <c r="V81" s="16" t="str">
        <f t="shared" si="44"/>
        <v>init/env_grid_CLUSTER05_REPL5.asc</v>
      </c>
      <c r="W81" s="16" t="str">
        <f t="shared" si="45"/>
        <v>trees_CLUSTER05.csv</v>
      </c>
      <c r="X81" s="16" t="str">
        <f t="shared" si="46"/>
        <v>saplings_CLUSTER05.csv</v>
      </c>
      <c r="Y81" s="16">
        <f t="shared" si="47"/>
        <v>350</v>
      </c>
      <c r="Z81" s="16" t="str">
        <f t="shared" si="48"/>
        <v>abe/no_mgmt.csv</v>
      </c>
      <c r="AA81" s="16" t="str">
        <f t="shared" si="49"/>
        <v>gis/WindModifier_cl5.asc</v>
      </c>
      <c r="AB81" s="16">
        <f t="shared" si="50"/>
        <v>6.8500009999999999E-4</v>
      </c>
      <c r="AC81" s="16" t="str">
        <f t="shared" si="51"/>
        <v>MPI-M-MPI-ESM-LR_historical_point31054</v>
      </c>
      <c r="AD81" s="16" t="str">
        <f t="shared" si="52"/>
        <v>wind_Events/Scaled_cl5_repl5.txt</v>
      </c>
      <c r="AE81" s="16" t="str">
        <f t="shared" si="53"/>
        <v>MPI-M-MPI-ESM-LR_Scaled_Cluster5_repl5</v>
      </c>
      <c r="AF81" s="21" t="s">
        <v>556</v>
      </c>
      <c r="AG81" s="21" t="s">
        <v>557</v>
      </c>
    </row>
    <row r="82" spans="1:33" ht="13.8">
      <c r="A82" s="7" t="str">
        <f t="shared" si="36"/>
        <v>MPI-M-MPI-ESM-LR_Scaled_Cluster6_repl1</v>
      </c>
      <c r="B82" s="8" t="s">
        <v>16</v>
      </c>
      <c r="C82" s="8" t="s">
        <v>54</v>
      </c>
      <c r="D82" s="9" t="s">
        <v>17</v>
      </c>
      <c r="E82" s="9" t="str">
        <f t="shared" si="37"/>
        <v>historical</v>
      </c>
      <c r="F82" s="8">
        <v>350</v>
      </c>
      <c r="G82" s="8" t="s">
        <v>63</v>
      </c>
      <c r="H82" s="8">
        <v>2</v>
      </c>
      <c r="I82" s="19">
        <v>6.8499999999999995E-4</v>
      </c>
      <c r="J82" s="8">
        <v>6</v>
      </c>
      <c r="K82" s="8" t="s">
        <v>170</v>
      </c>
      <c r="L82" s="8">
        <v>1</v>
      </c>
      <c r="M82" s="8">
        <v>1</v>
      </c>
      <c r="N82" s="10" t="s">
        <v>21</v>
      </c>
      <c r="O82" s="17" t="s">
        <v>328</v>
      </c>
      <c r="P82" s="10" t="str">
        <f t="shared" si="38"/>
        <v>MPI-M-MPI-ESM-LR_Scaled_Cluster6_repl1.sqlite</v>
      </c>
      <c r="Q82" s="11">
        <f t="shared" si="39"/>
        <v>2</v>
      </c>
      <c r="R82" s="16" t="str">
        <f t="shared" si="40"/>
        <v>climate_db_MPI-M-MPI-ESM-LR_historical_v4.sqlite</v>
      </c>
      <c r="S82" s="16" t="str">
        <f t="shared" si="41"/>
        <v>log/MPI-M-MPI-ESM-LR_Scaled_Cluster6_repl1.txt</v>
      </c>
      <c r="T82" s="16" t="str">
        <f t="shared" si="42"/>
        <v>init/env_file_CLUSTER06_REPL1_MPI-M-MPI-ESM-LR_historical.csv</v>
      </c>
      <c r="U82" s="16" t="str">
        <f t="shared" si="43"/>
        <v>init/env_grid_CLUSTER06_REPL1.asc</v>
      </c>
      <c r="V82" s="16" t="str">
        <f t="shared" si="44"/>
        <v>init/env_grid_CLUSTER06_REPL1.asc</v>
      </c>
      <c r="W82" s="16" t="str">
        <f t="shared" si="45"/>
        <v>trees_CLUSTER06.csv</v>
      </c>
      <c r="X82" s="16" t="str">
        <f t="shared" si="46"/>
        <v>saplings_CLUSTER06.csv</v>
      </c>
      <c r="Y82" s="16">
        <f t="shared" si="47"/>
        <v>350</v>
      </c>
      <c r="Z82" s="16" t="str">
        <f t="shared" si="48"/>
        <v>abe/no_mgmt.csv</v>
      </c>
      <c r="AA82" s="16" t="str">
        <f t="shared" si="49"/>
        <v>gis/WindModifier_cl6.asc</v>
      </c>
      <c r="AB82" s="16">
        <f t="shared" si="50"/>
        <v>6.8500009999999999E-4</v>
      </c>
      <c r="AC82" s="16" t="str">
        <f t="shared" si="51"/>
        <v>MPI-M-MPI-ESM-LR_historical_point29033</v>
      </c>
      <c r="AD82" s="16" t="str">
        <f t="shared" si="52"/>
        <v>wind_Events/Scaled_cl6_repl1.txt</v>
      </c>
      <c r="AE82" s="16" t="str">
        <f t="shared" si="53"/>
        <v>MPI-M-MPI-ESM-LR_Scaled_Cluster6_repl1</v>
      </c>
      <c r="AF82" s="21" t="s">
        <v>365</v>
      </c>
      <c r="AG82" s="21" t="s">
        <v>77</v>
      </c>
    </row>
    <row r="83" spans="1:33" ht="13.8">
      <c r="A83" s="7" t="str">
        <f t="shared" si="36"/>
        <v>MPI-M-MPI-ESM-LR_Scaled_Cluster6_repl2</v>
      </c>
      <c r="B83" s="8" t="s">
        <v>16</v>
      </c>
      <c r="C83" s="8" t="s">
        <v>54</v>
      </c>
      <c r="D83" s="9" t="s">
        <v>17</v>
      </c>
      <c r="E83" s="9" t="str">
        <f t="shared" si="37"/>
        <v>historical</v>
      </c>
      <c r="F83" s="8">
        <v>350</v>
      </c>
      <c r="G83" s="8" t="s">
        <v>63</v>
      </c>
      <c r="H83" s="8">
        <v>2</v>
      </c>
      <c r="I83" s="19">
        <v>6.8499999999999995E-4</v>
      </c>
      <c r="J83" s="8">
        <v>6</v>
      </c>
      <c r="K83" s="8" t="s">
        <v>170</v>
      </c>
      <c r="L83" s="8">
        <v>2</v>
      </c>
      <c r="M83" s="8">
        <v>1</v>
      </c>
      <c r="N83" s="10" t="s">
        <v>21</v>
      </c>
      <c r="O83" s="17" t="s">
        <v>328</v>
      </c>
      <c r="P83" s="10" t="str">
        <f t="shared" si="38"/>
        <v>MPI-M-MPI-ESM-LR_Scaled_Cluster6_repl2.sqlite</v>
      </c>
      <c r="Q83" s="11">
        <f t="shared" si="39"/>
        <v>5</v>
      </c>
      <c r="R83" s="16" t="str">
        <f t="shared" si="40"/>
        <v>climate_db_MPI-M-MPI-ESM-LR_historical_v4.sqlite</v>
      </c>
      <c r="S83" s="16" t="str">
        <f t="shared" si="41"/>
        <v>log/MPI-M-MPI-ESM-LR_Scaled_Cluster6_repl2.txt</v>
      </c>
      <c r="T83" s="16" t="str">
        <f t="shared" si="42"/>
        <v>init/env_file_CLUSTER06_REPL2_MPI-M-MPI-ESM-LR_historical.csv</v>
      </c>
      <c r="U83" s="16" t="str">
        <f t="shared" si="43"/>
        <v>init/env_grid_CLUSTER06_REPL2.asc</v>
      </c>
      <c r="V83" s="16" t="str">
        <f t="shared" si="44"/>
        <v>init/env_grid_CLUSTER06_REPL2.asc</v>
      </c>
      <c r="W83" s="16" t="str">
        <f t="shared" si="45"/>
        <v>trees_CLUSTER06.csv</v>
      </c>
      <c r="X83" s="16" t="str">
        <f t="shared" si="46"/>
        <v>saplings_CLUSTER06.csv</v>
      </c>
      <c r="Y83" s="16">
        <f t="shared" si="47"/>
        <v>350</v>
      </c>
      <c r="Z83" s="16" t="str">
        <f t="shared" si="48"/>
        <v>abe/no_mgmt.csv</v>
      </c>
      <c r="AA83" s="16" t="str">
        <f t="shared" si="49"/>
        <v>gis/WindModifier_cl6.asc</v>
      </c>
      <c r="AB83" s="16">
        <f t="shared" si="50"/>
        <v>6.8500009999999999E-4</v>
      </c>
      <c r="AC83" s="16" t="str">
        <f t="shared" si="51"/>
        <v>MPI-M-MPI-ESM-LR_historical_point29033</v>
      </c>
      <c r="AD83" s="16" t="str">
        <f t="shared" si="52"/>
        <v>wind_Events/Scaled_cl6_repl2.txt</v>
      </c>
      <c r="AE83" s="16" t="str">
        <f t="shared" si="53"/>
        <v>MPI-M-MPI-ESM-LR_Scaled_Cluster6_repl2</v>
      </c>
      <c r="AF83" s="21" t="s">
        <v>558</v>
      </c>
      <c r="AG83" s="21" t="s">
        <v>559</v>
      </c>
    </row>
    <row r="84" spans="1:33" ht="13.8">
      <c r="A84" s="7" t="str">
        <f t="shared" si="36"/>
        <v>MPI-M-MPI-ESM-LR_Scaled_Cluster6_repl3</v>
      </c>
      <c r="B84" s="8" t="s">
        <v>16</v>
      </c>
      <c r="C84" s="8" t="s">
        <v>54</v>
      </c>
      <c r="D84" s="9" t="s">
        <v>17</v>
      </c>
      <c r="E84" s="9" t="str">
        <f t="shared" si="37"/>
        <v>historical</v>
      </c>
      <c r="F84" s="8">
        <v>350</v>
      </c>
      <c r="G84" s="8" t="s">
        <v>63</v>
      </c>
      <c r="H84" s="8">
        <v>2</v>
      </c>
      <c r="I84" s="19">
        <v>6.8499999999999995E-4</v>
      </c>
      <c r="J84" s="8">
        <v>6</v>
      </c>
      <c r="K84" s="8" t="s">
        <v>170</v>
      </c>
      <c r="L84" s="8">
        <v>3</v>
      </c>
      <c r="M84" s="8">
        <v>1</v>
      </c>
      <c r="N84" s="10" t="s">
        <v>21</v>
      </c>
      <c r="O84" s="17" t="s">
        <v>328</v>
      </c>
      <c r="P84" s="10" t="str">
        <f t="shared" si="38"/>
        <v>MPI-M-MPI-ESM-LR_Scaled_Cluster6_repl3.sqlite</v>
      </c>
      <c r="Q84" s="11">
        <f t="shared" si="39"/>
        <v>8</v>
      </c>
      <c r="R84" s="16" t="str">
        <f t="shared" si="40"/>
        <v>climate_db_MPI-M-MPI-ESM-LR_historical_v4.sqlite</v>
      </c>
      <c r="S84" s="16" t="str">
        <f t="shared" si="41"/>
        <v>log/MPI-M-MPI-ESM-LR_Scaled_Cluster6_repl3.txt</v>
      </c>
      <c r="T84" s="16" t="str">
        <f t="shared" si="42"/>
        <v>init/env_file_CLUSTER06_REPL3_MPI-M-MPI-ESM-LR_historical.csv</v>
      </c>
      <c r="U84" s="16" t="str">
        <f t="shared" si="43"/>
        <v>init/env_grid_CLUSTER06_REPL3.asc</v>
      </c>
      <c r="V84" s="16" t="str">
        <f t="shared" si="44"/>
        <v>init/env_grid_CLUSTER06_REPL3.asc</v>
      </c>
      <c r="W84" s="16" t="str">
        <f t="shared" si="45"/>
        <v>trees_CLUSTER06.csv</v>
      </c>
      <c r="X84" s="16" t="str">
        <f t="shared" si="46"/>
        <v>saplings_CLUSTER06.csv</v>
      </c>
      <c r="Y84" s="16">
        <f t="shared" si="47"/>
        <v>350</v>
      </c>
      <c r="Z84" s="16" t="str">
        <f t="shared" si="48"/>
        <v>abe/no_mgmt.csv</v>
      </c>
      <c r="AA84" s="16" t="str">
        <f t="shared" si="49"/>
        <v>gis/WindModifier_cl6.asc</v>
      </c>
      <c r="AB84" s="16">
        <f t="shared" si="50"/>
        <v>6.8500009999999999E-4</v>
      </c>
      <c r="AC84" s="16" t="str">
        <f t="shared" si="51"/>
        <v>MPI-M-MPI-ESM-LR_historical_point29033</v>
      </c>
      <c r="AD84" s="16" t="str">
        <f t="shared" si="52"/>
        <v>wind_Events/Scaled_cl6_repl3.txt</v>
      </c>
      <c r="AE84" s="16" t="str">
        <f t="shared" si="53"/>
        <v>MPI-M-MPI-ESM-LR_Scaled_Cluster6_repl3</v>
      </c>
      <c r="AF84" s="21" t="s">
        <v>560</v>
      </c>
      <c r="AG84" s="21" t="s">
        <v>561</v>
      </c>
    </row>
    <row r="85" spans="1:33" ht="13.8">
      <c r="A85" s="7" t="str">
        <f t="shared" si="36"/>
        <v>MPI-M-MPI-ESM-LR_Scaled_Cluster6_repl4</v>
      </c>
      <c r="B85" s="8" t="s">
        <v>16</v>
      </c>
      <c r="C85" s="8" t="s">
        <v>54</v>
      </c>
      <c r="D85" s="9" t="s">
        <v>17</v>
      </c>
      <c r="E85" s="9" t="str">
        <f t="shared" si="37"/>
        <v>historical</v>
      </c>
      <c r="F85" s="8">
        <v>350</v>
      </c>
      <c r="G85" s="8" t="s">
        <v>63</v>
      </c>
      <c r="H85" s="8">
        <v>2</v>
      </c>
      <c r="I85" s="19">
        <v>6.8499999999999995E-4</v>
      </c>
      <c r="J85" s="8">
        <v>6</v>
      </c>
      <c r="K85" s="8" t="s">
        <v>170</v>
      </c>
      <c r="L85" s="8">
        <v>4</v>
      </c>
      <c r="M85" s="8">
        <v>1</v>
      </c>
      <c r="N85" s="10" t="s">
        <v>21</v>
      </c>
      <c r="O85" s="17" t="s">
        <v>328</v>
      </c>
      <c r="P85" s="10" t="str">
        <f t="shared" si="38"/>
        <v>MPI-M-MPI-ESM-LR_Scaled_Cluster6_repl4.sqlite</v>
      </c>
      <c r="Q85" s="11">
        <f t="shared" si="39"/>
        <v>11</v>
      </c>
      <c r="R85" s="16" t="str">
        <f t="shared" si="40"/>
        <v>climate_db_MPI-M-MPI-ESM-LR_historical_v4.sqlite</v>
      </c>
      <c r="S85" s="16" t="str">
        <f t="shared" si="41"/>
        <v>log/MPI-M-MPI-ESM-LR_Scaled_Cluster6_repl4.txt</v>
      </c>
      <c r="T85" s="16" t="str">
        <f t="shared" si="42"/>
        <v>init/env_file_CLUSTER06_REPL4_MPI-M-MPI-ESM-LR_historical.csv</v>
      </c>
      <c r="U85" s="16" t="str">
        <f t="shared" si="43"/>
        <v>init/env_grid_CLUSTER06_REPL4.asc</v>
      </c>
      <c r="V85" s="16" t="str">
        <f t="shared" si="44"/>
        <v>init/env_grid_CLUSTER06_REPL4.asc</v>
      </c>
      <c r="W85" s="16" t="str">
        <f t="shared" si="45"/>
        <v>trees_CLUSTER06.csv</v>
      </c>
      <c r="X85" s="16" t="str">
        <f t="shared" si="46"/>
        <v>saplings_CLUSTER06.csv</v>
      </c>
      <c r="Y85" s="16">
        <f t="shared" si="47"/>
        <v>350</v>
      </c>
      <c r="Z85" s="16" t="str">
        <f t="shared" si="48"/>
        <v>abe/no_mgmt.csv</v>
      </c>
      <c r="AA85" s="16" t="str">
        <f t="shared" si="49"/>
        <v>gis/WindModifier_cl6.asc</v>
      </c>
      <c r="AB85" s="16">
        <f t="shared" si="50"/>
        <v>6.8500009999999999E-4</v>
      </c>
      <c r="AC85" s="16" t="str">
        <f t="shared" si="51"/>
        <v>MPI-M-MPI-ESM-LR_historical_point29033</v>
      </c>
      <c r="AD85" s="16" t="str">
        <f t="shared" si="52"/>
        <v>wind_Events/Scaled_cl6_repl4.txt</v>
      </c>
      <c r="AE85" s="16" t="str">
        <f t="shared" si="53"/>
        <v>MPI-M-MPI-ESM-LR_Scaled_Cluster6_repl4</v>
      </c>
      <c r="AF85" s="21" t="s">
        <v>562</v>
      </c>
      <c r="AG85" s="21" t="s">
        <v>563</v>
      </c>
    </row>
    <row r="86" spans="1:33" ht="13.8">
      <c r="A86" s="7" t="str">
        <f t="shared" si="36"/>
        <v>MPI-M-MPI-ESM-LR_Scaled_Cluster6_repl5</v>
      </c>
      <c r="B86" s="8" t="s">
        <v>16</v>
      </c>
      <c r="C86" s="8" t="s">
        <v>54</v>
      </c>
      <c r="D86" s="9" t="s">
        <v>17</v>
      </c>
      <c r="E86" s="9" t="str">
        <f t="shared" si="37"/>
        <v>historical</v>
      </c>
      <c r="F86" s="8">
        <v>350</v>
      </c>
      <c r="G86" s="8" t="s">
        <v>63</v>
      </c>
      <c r="H86" s="8">
        <v>2</v>
      </c>
      <c r="I86" s="19">
        <v>6.8499999999999995E-4</v>
      </c>
      <c r="J86" s="8">
        <v>6</v>
      </c>
      <c r="K86" s="8" t="s">
        <v>170</v>
      </c>
      <c r="L86" s="8">
        <v>5</v>
      </c>
      <c r="M86" s="8">
        <v>1</v>
      </c>
      <c r="N86" s="10" t="s">
        <v>21</v>
      </c>
      <c r="O86" s="17" t="s">
        <v>328</v>
      </c>
      <c r="P86" s="10" t="str">
        <f t="shared" si="38"/>
        <v>MPI-M-MPI-ESM-LR_Scaled_Cluster6_repl5.sqlite</v>
      </c>
      <c r="Q86" s="11">
        <f t="shared" si="39"/>
        <v>14</v>
      </c>
      <c r="R86" s="16" t="str">
        <f t="shared" si="40"/>
        <v>climate_db_MPI-M-MPI-ESM-LR_historical_v4.sqlite</v>
      </c>
      <c r="S86" s="16" t="str">
        <f t="shared" si="41"/>
        <v>log/MPI-M-MPI-ESM-LR_Scaled_Cluster6_repl5.txt</v>
      </c>
      <c r="T86" s="16" t="str">
        <f t="shared" si="42"/>
        <v>init/env_file_CLUSTER06_REPL5_MPI-M-MPI-ESM-LR_historical.csv</v>
      </c>
      <c r="U86" s="16" t="str">
        <f t="shared" si="43"/>
        <v>init/env_grid_CLUSTER06_REPL5.asc</v>
      </c>
      <c r="V86" s="16" t="str">
        <f t="shared" si="44"/>
        <v>init/env_grid_CLUSTER06_REPL5.asc</v>
      </c>
      <c r="W86" s="16" t="str">
        <f t="shared" si="45"/>
        <v>trees_CLUSTER06.csv</v>
      </c>
      <c r="X86" s="16" t="str">
        <f t="shared" si="46"/>
        <v>saplings_CLUSTER06.csv</v>
      </c>
      <c r="Y86" s="16">
        <f t="shared" si="47"/>
        <v>350</v>
      </c>
      <c r="Z86" s="16" t="str">
        <f t="shared" si="48"/>
        <v>abe/no_mgmt.csv</v>
      </c>
      <c r="AA86" s="16" t="str">
        <f t="shared" si="49"/>
        <v>gis/WindModifier_cl6.asc</v>
      </c>
      <c r="AB86" s="16">
        <f t="shared" si="50"/>
        <v>6.8500009999999999E-4</v>
      </c>
      <c r="AC86" s="16" t="str">
        <f t="shared" si="51"/>
        <v>MPI-M-MPI-ESM-LR_historical_point29033</v>
      </c>
      <c r="AD86" s="16" t="str">
        <f t="shared" si="52"/>
        <v>wind_Events/Scaled_cl6_repl5.txt</v>
      </c>
      <c r="AE86" s="16" t="str">
        <f t="shared" si="53"/>
        <v>MPI-M-MPI-ESM-LR_Scaled_Cluster6_repl5</v>
      </c>
      <c r="AF86" s="21" t="s">
        <v>564</v>
      </c>
      <c r="AG86" s="21" t="s">
        <v>565</v>
      </c>
    </row>
    <row r="87" spans="1:33" ht="13.8">
      <c r="A87" s="7" t="str">
        <f t="shared" si="36"/>
        <v>MPI-M-MPI-ESM-LR_Scaled_Cluster7_repl1</v>
      </c>
      <c r="B87" s="8" t="s">
        <v>16</v>
      </c>
      <c r="C87" s="8" t="s">
        <v>54</v>
      </c>
      <c r="D87" s="9" t="s">
        <v>17</v>
      </c>
      <c r="E87" s="9" t="str">
        <f t="shared" si="37"/>
        <v>historical</v>
      </c>
      <c r="F87" s="8">
        <v>350</v>
      </c>
      <c r="G87" s="8" t="s">
        <v>63</v>
      </c>
      <c r="H87" s="8">
        <v>2</v>
      </c>
      <c r="I87" s="19">
        <v>6.8499999999999995E-4</v>
      </c>
      <c r="J87" s="8">
        <v>7</v>
      </c>
      <c r="K87" s="8" t="s">
        <v>162</v>
      </c>
      <c r="L87" s="8">
        <v>1</v>
      </c>
      <c r="M87" s="8">
        <v>1</v>
      </c>
      <c r="N87" s="10" t="s">
        <v>21</v>
      </c>
      <c r="O87" s="17" t="s">
        <v>328</v>
      </c>
      <c r="P87" s="10" t="str">
        <f t="shared" si="38"/>
        <v>MPI-M-MPI-ESM-LR_Scaled_Cluster7_repl1.sqlite</v>
      </c>
      <c r="Q87" s="11">
        <f t="shared" si="39"/>
        <v>2</v>
      </c>
      <c r="R87" s="16" t="str">
        <f t="shared" si="40"/>
        <v>climate_db_MPI-M-MPI-ESM-LR_historical_v4.sqlite</v>
      </c>
      <c r="S87" s="16" t="str">
        <f t="shared" si="41"/>
        <v>log/MPI-M-MPI-ESM-LR_Scaled_Cluster7_repl1.txt</v>
      </c>
      <c r="T87" s="16" t="str">
        <f t="shared" si="42"/>
        <v>init/env_file_CLUSTER07_REPL1_MPI-M-MPI-ESM-LR_historical.csv</v>
      </c>
      <c r="U87" s="16" t="str">
        <f t="shared" si="43"/>
        <v>init/env_grid_CLUSTER07_REPL1.asc</v>
      </c>
      <c r="V87" s="16" t="str">
        <f t="shared" si="44"/>
        <v>init/env_grid_CLUSTER07_REPL1.asc</v>
      </c>
      <c r="W87" s="16" t="str">
        <f t="shared" si="45"/>
        <v>trees_CLUSTER07.csv</v>
      </c>
      <c r="X87" s="16" t="str">
        <f t="shared" si="46"/>
        <v>saplings_CLUSTER07.csv</v>
      </c>
      <c r="Y87" s="16">
        <f t="shared" si="47"/>
        <v>350</v>
      </c>
      <c r="Z87" s="16" t="str">
        <f t="shared" si="48"/>
        <v>abe/no_mgmt.csv</v>
      </c>
      <c r="AA87" s="16" t="str">
        <f t="shared" si="49"/>
        <v>gis/WindModifier_cl7.asc</v>
      </c>
      <c r="AB87" s="16">
        <f t="shared" si="50"/>
        <v>6.8500009999999999E-4</v>
      </c>
      <c r="AC87" s="16" t="str">
        <f t="shared" si="51"/>
        <v>MPI-M-MPI-ESM-LR_historical_point26530</v>
      </c>
      <c r="AD87" s="16" t="str">
        <f t="shared" si="52"/>
        <v>wind_Events/Scaled_cl7_repl1.txt</v>
      </c>
      <c r="AE87" s="16" t="str">
        <f t="shared" si="53"/>
        <v>MPI-M-MPI-ESM-LR_Scaled_Cluster7_repl1</v>
      </c>
      <c r="AF87" s="21" t="s">
        <v>367</v>
      </c>
      <c r="AG87" s="21" t="s">
        <v>79</v>
      </c>
    </row>
    <row r="88" spans="1:33" ht="13.8">
      <c r="A88" s="7" t="str">
        <f t="shared" si="36"/>
        <v>MPI-M-MPI-ESM-LR_Scaled_Cluster7_repl2</v>
      </c>
      <c r="B88" s="8" t="s">
        <v>16</v>
      </c>
      <c r="C88" s="8" t="s">
        <v>54</v>
      </c>
      <c r="D88" s="9" t="s">
        <v>17</v>
      </c>
      <c r="E88" s="9" t="str">
        <f t="shared" si="37"/>
        <v>historical</v>
      </c>
      <c r="F88" s="8">
        <v>350</v>
      </c>
      <c r="G88" s="8" t="s">
        <v>63</v>
      </c>
      <c r="H88" s="8">
        <v>2</v>
      </c>
      <c r="I88" s="19">
        <v>6.8499999999999995E-4</v>
      </c>
      <c r="J88" s="8">
        <v>7</v>
      </c>
      <c r="K88" s="8" t="s">
        <v>162</v>
      </c>
      <c r="L88" s="8">
        <v>2</v>
      </c>
      <c r="M88" s="8">
        <v>1</v>
      </c>
      <c r="N88" s="10" t="s">
        <v>21</v>
      </c>
      <c r="O88" s="17" t="s">
        <v>328</v>
      </c>
      <c r="P88" s="10" t="str">
        <f t="shared" si="38"/>
        <v>MPI-M-MPI-ESM-LR_Scaled_Cluster7_repl2.sqlite</v>
      </c>
      <c r="Q88" s="11">
        <f t="shared" si="39"/>
        <v>5</v>
      </c>
      <c r="R88" s="16" t="str">
        <f t="shared" si="40"/>
        <v>climate_db_MPI-M-MPI-ESM-LR_historical_v4.sqlite</v>
      </c>
      <c r="S88" s="16" t="str">
        <f t="shared" si="41"/>
        <v>log/MPI-M-MPI-ESM-LR_Scaled_Cluster7_repl2.txt</v>
      </c>
      <c r="T88" s="16" t="str">
        <f t="shared" si="42"/>
        <v>init/env_file_CLUSTER07_REPL2_MPI-M-MPI-ESM-LR_historical.csv</v>
      </c>
      <c r="U88" s="16" t="str">
        <f t="shared" si="43"/>
        <v>init/env_grid_CLUSTER07_REPL2.asc</v>
      </c>
      <c r="V88" s="16" t="str">
        <f t="shared" si="44"/>
        <v>init/env_grid_CLUSTER07_REPL2.asc</v>
      </c>
      <c r="W88" s="16" t="str">
        <f t="shared" si="45"/>
        <v>trees_CLUSTER07.csv</v>
      </c>
      <c r="X88" s="16" t="str">
        <f t="shared" si="46"/>
        <v>saplings_CLUSTER07.csv</v>
      </c>
      <c r="Y88" s="16">
        <f t="shared" si="47"/>
        <v>350</v>
      </c>
      <c r="Z88" s="16" t="str">
        <f t="shared" si="48"/>
        <v>abe/no_mgmt.csv</v>
      </c>
      <c r="AA88" s="16" t="str">
        <f t="shared" si="49"/>
        <v>gis/WindModifier_cl7.asc</v>
      </c>
      <c r="AB88" s="16">
        <f t="shared" si="50"/>
        <v>6.8500009999999999E-4</v>
      </c>
      <c r="AC88" s="16" t="str">
        <f t="shared" si="51"/>
        <v>MPI-M-MPI-ESM-LR_historical_point26530</v>
      </c>
      <c r="AD88" s="16" t="str">
        <f t="shared" si="52"/>
        <v>wind_Events/Scaled_cl7_repl2.txt</v>
      </c>
      <c r="AE88" s="16" t="str">
        <f t="shared" si="53"/>
        <v>MPI-M-MPI-ESM-LR_Scaled_Cluster7_repl2</v>
      </c>
      <c r="AF88" s="21" t="s">
        <v>566</v>
      </c>
      <c r="AG88" s="21" t="s">
        <v>567</v>
      </c>
    </row>
    <row r="89" spans="1:33" ht="13.8">
      <c r="A89" s="7" t="str">
        <f t="shared" si="36"/>
        <v>MPI-M-MPI-ESM-LR_Scaled_Cluster7_repl3</v>
      </c>
      <c r="B89" s="8" t="s">
        <v>16</v>
      </c>
      <c r="C89" s="8" t="s">
        <v>54</v>
      </c>
      <c r="D89" s="9" t="s">
        <v>17</v>
      </c>
      <c r="E89" s="9" t="str">
        <f t="shared" si="37"/>
        <v>historical</v>
      </c>
      <c r="F89" s="8">
        <v>350</v>
      </c>
      <c r="G89" s="8" t="s">
        <v>63</v>
      </c>
      <c r="H89" s="8">
        <v>2</v>
      </c>
      <c r="I89" s="19">
        <v>6.8499999999999995E-4</v>
      </c>
      <c r="J89" s="8">
        <v>7</v>
      </c>
      <c r="K89" s="8" t="s">
        <v>162</v>
      </c>
      <c r="L89" s="8">
        <v>3</v>
      </c>
      <c r="M89" s="8">
        <v>1</v>
      </c>
      <c r="N89" s="10" t="s">
        <v>21</v>
      </c>
      <c r="O89" s="17" t="s">
        <v>328</v>
      </c>
      <c r="P89" s="10" t="str">
        <f t="shared" si="38"/>
        <v>MPI-M-MPI-ESM-LR_Scaled_Cluster7_repl3.sqlite</v>
      </c>
      <c r="Q89" s="11">
        <f t="shared" si="39"/>
        <v>8</v>
      </c>
      <c r="R89" s="16" t="str">
        <f t="shared" si="40"/>
        <v>climate_db_MPI-M-MPI-ESM-LR_historical_v4.sqlite</v>
      </c>
      <c r="S89" s="16" t="str">
        <f t="shared" si="41"/>
        <v>log/MPI-M-MPI-ESM-LR_Scaled_Cluster7_repl3.txt</v>
      </c>
      <c r="T89" s="16" t="str">
        <f t="shared" si="42"/>
        <v>init/env_file_CLUSTER07_REPL3_MPI-M-MPI-ESM-LR_historical.csv</v>
      </c>
      <c r="U89" s="16" t="str">
        <f t="shared" si="43"/>
        <v>init/env_grid_CLUSTER07_REPL3.asc</v>
      </c>
      <c r="V89" s="16" t="str">
        <f t="shared" si="44"/>
        <v>init/env_grid_CLUSTER07_REPL3.asc</v>
      </c>
      <c r="W89" s="16" t="str">
        <f t="shared" si="45"/>
        <v>trees_CLUSTER07.csv</v>
      </c>
      <c r="X89" s="16" t="str">
        <f t="shared" si="46"/>
        <v>saplings_CLUSTER07.csv</v>
      </c>
      <c r="Y89" s="16">
        <f t="shared" si="47"/>
        <v>350</v>
      </c>
      <c r="Z89" s="16" t="str">
        <f t="shared" si="48"/>
        <v>abe/no_mgmt.csv</v>
      </c>
      <c r="AA89" s="16" t="str">
        <f t="shared" si="49"/>
        <v>gis/WindModifier_cl7.asc</v>
      </c>
      <c r="AB89" s="16">
        <f t="shared" si="50"/>
        <v>6.8500009999999999E-4</v>
      </c>
      <c r="AC89" s="16" t="str">
        <f t="shared" si="51"/>
        <v>MPI-M-MPI-ESM-LR_historical_point26530</v>
      </c>
      <c r="AD89" s="16" t="str">
        <f t="shared" si="52"/>
        <v>wind_Events/Scaled_cl7_repl3.txt</v>
      </c>
      <c r="AE89" s="16" t="str">
        <f t="shared" si="53"/>
        <v>MPI-M-MPI-ESM-LR_Scaled_Cluster7_repl3</v>
      </c>
      <c r="AF89" s="21" t="s">
        <v>568</v>
      </c>
      <c r="AG89" s="21" t="s">
        <v>569</v>
      </c>
    </row>
    <row r="90" spans="1:33" ht="13.8">
      <c r="A90" s="7" t="str">
        <f t="shared" si="36"/>
        <v>MPI-M-MPI-ESM-LR_Scaled_Cluster7_repl4</v>
      </c>
      <c r="B90" s="8" t="s">
        <v>16</v>
      </c>
      <c r="C90" s="8" t="s">
        <v>54</v>
      </c>
      <c r="D90" s="9" t="s">
        <v>17</v>
      </c>
      <c r="E90" s="9" t="str">
        <f t="shared" si="37"/>
        <v>historical</v>
      </c>
      <c r="F90" s="8">
        <v>350</v>
      </c>
      <c r="G90" s="8" t="s">
        <v>63</v>
      </c>
      <c r="H90" s="8">
        <v>2</v>
      </c>
      <c r="I90" s="19">
        <v>6.8499999999999995E-4</v>
      </c>
      <c r="J90" s="8">
        <v>7</v>
      </c>
      <c r="K90" s="8" t="s">
        <v>162</v>
      </c>
      <c r="L90" s="8">
        <v>4</v>
      </c>
      <c r="M90" s="8">
        <v>1</v>
      </c>
      <c r="N90" s="10" t="s">
        <v>21</v>
      </c>
      <c r="O90" s="17" t="s">
        <v>328</v>
      </c>
      <c r="P90" s="10" t="str">
        <f t="shared" si="38"/>
        <v>MPI-M-MPI-ESM-LR_Scaled_Cluster7_repl4.sqlite</v>
      </c>
      <c r="Q90" s="11">
        <f t="shared" si="39"/>
        <v>11</v>
      </c>
      <c r="R90" s="16" t="str">
        <f t="shared" si="40"/>
        <v>climate_db_MPI-M-MPI-ESM-LR_historical_v4.sqlite</v>
      </c>
      <c r="S90" s="16" t="str">
        <f t="shared" si="41"/>
        <v>log/MPI-M-MPI-ESM-LR_Scaled_Cluster7_repl4.txt</v>
      </c>
      <c r="T90" s="16" t="str">
        <f t="shared" si="42"/>
        <v>init/env_file_CLUSTER07_REPL4_MPI-M-MPI-ESM-LR_historical.csv</v>
      </c>
      <c r="U90" s="16" t="str">
        <f t="shared" si="43"/>
        <v>init/env_grid_CLUSTER07_REPL4.asc</v>
      </c>
      <c r="V90" s="16" t="str">
        <f t="shared" si="44"/>
        <v>init/env_grid_CLUSTER07_REPL4.asc</v>
      </c>
      <c r="W90" s="16" t="str">
        <f t="shared" si="45"/>
        <v>trees_CLUSTER07.csv</v>
      </c>
      <c r="X90" s="16" t="str">
        <f t="shared" si="46"/>
        <v>saplings_CLUSTER07.csv</v>
      </c>
      <c r="Y90" s="16">
        <f t="shared" si="47"/>
        <v>350</v>
      </c>
      <c r="Z90" s="16" t="str">
        <f t="shared" si="48"/>
        <v>abe/no_mgmt.csv</v>
      </c>
      <c r="AA90" s="16" t="str">
        <f t="shared" si="49"/>
        <v>gis/WindModifier_cl7.asc</v>
      </c>
      <c r="AB90" s="16">
        <f t="shared" si="50"/>
        <v>6.8500009999999999E-4</v>
      </c>
      <c r="AC90" s="16" t="str">
        <f t="shared" si="51"/>
        <v>MPI-M-MPI-ESM-LR_historical_point26530</v>
      </c>
      <c r="AD90" s="16" t="str">
        <f t="shared" si="52"/>
        <v>wind_Events/Scaled_cl7_repl4.txt</v>
      </c>
      <c r="AE90" s="16" t="str">
        <f t="shared" si="53"/>
        <v>MPI-M-MPI-ESM-LR_Scaled_Cluster7_repl4</v>
      </c>
      <c r="AF90" s="21" t="s">
        <v>570</v>
      </c>
      <c r="AG90" s="21" t="s">
        <v>571</v>
      </c>
    </row>
    <row r="91" spans="1:33" ht="13.8">
      <c r="A91" s="7" t="str">
        <f t="shared" si="36"/>
        <v>MPI-M-MPI-ESM-LR_Scaled_Cluster7_repl5</v>
      </c>
      <c r="B91" s="8" t="s">
        <v>16</v>
      </c>
      <c r="C91" s="8" t="s">
        <v>54</v>
      </c>
      <c r="D91" s="9" t="s">
        <v>17</v>
      </c>
      <c r="E91" s="9" t="str">
        <f t="shared" si="37"/>
        <v>historical</v>
      </c>
      <c r="F91" s="8">
        <v>350</v>
      </c>
      <c r="G91" s="8" t="s">
        <v>63</v>
      </c>
      <c r="H91" s="8">
        <v>2</v>
      </c>
      <c r="I91" s="19">
        <v>6.8499999999999995E-4</v>
      </c>
      <c r="J91" s="8">
        <v>7</v>
      </c>
      <c r="K91" s="8" t="s">
        <v>162</v>
      </c>
      <c r="L91" s="8">
        <v>5</v>
      </c>
      <c r="M91" s="8">
        <v>1</v>
      </c>
      <c r="N91" s="10" t="s">
        <v>21</v>
      </c>
      <c r="O91" s="17" t="s">
        <v>328</v>
      </c>
      <c r="P91" s="10" t="str">
        <f t="shared" si="38"/>
        <v>MPI-M-MPI-ESM-LR_Scaled_Cluster7_repl5.sqlite</v>
      </c>
      <c r="Q91" s="11">
        <f t="shared" si="39"/>
        <v>14</v>
      </c>
      <c r="R91" s="16" t="str">
        <f t="shared" si="40"/>
        <v>climate_db_MPI-M-MPI-ESM-LR_historical_v4.sqlite</v>
      </c>
      <c r="S91" s="16" t="str">
        <f t="shared" si="41"/>
        <v>log/MPI-M-MPI-ESM-LR_Scaled_Cluster7_repl5.txt</v>
      </c>
      <c r="T91" s="16" t="str">
        <f t="shared" si="42"/>
        <v>init/env_file_CLUSTER07_REPL5_MPI-M-MPI-ESM-LR_historical.csv</v>
      </c>
      <c r="U91" s="16" t="str">
        <f t="shared" si="43"/>
        <v>init/env_grid_CLUSTER07_REPL5.asc</v>
      </c>
      <c r="V91" s="16" t="str">
        <f t="shared" si="44"/>
        <v>init/env_grid_CLUSTER07_REPL5.asc</v>
      </c>
      <c r="W91" s="16" t="str">
        <f t="shared" si="45"/>
        <v>trees_CLUSTER07.csv</v>
      </c>
      <c r="X91" s="16" t="str">
        <f t="shared" si="46"/>
        <v>saplings_CLUSTER07.csv</v>
      </c>
      <c r="Y91" s="16">
        <f t="shared" si="47"/>
        <v>350</v>
      </c>
      <c r="Z91" s="16" t="str">
        <f t="shared" si="48"/>
        <v>abe/no_mgmt.csv</v>
      </c>
      <c r="AA91" s="16" t="str">
        <f t="shared" si="49"/>
        <v>gis/WindModifier_cl7.asc</v>
      </c>
      <c r="AB91" s="16">
        <f t="shared" si="50"/>
        <v>6.8500009999999999E-4</v>
      </c>
      <c r="AC91" s="16" t="str">
        <f t="shared" si="51"/>
        <v>MPI-M-MPI-ESM-LR_historical_point26530</v>
      </c>
      <c r="AD91" s="16" t="str">
        <f t="shared" si="52"/>
        <v>wind_Events/Scaled_cl7_repl5.txt</v>
      </c>
      <c r="AE91" s="16" t="str">
        <f t="shared" si="53"/>
        <v>MPI-M-MPI-ESM-LR_Scaled_Cluster7_repl5</v>
      </c>
      <c r="AF91" s="21" t="s">
        <v>572</v>
      </c>
      <c r="AG91" s="21" t="s">
        <v>573</v>
      </c>
    </row>
    <row r="92" spans="1:33" ht="13.8">
      <c r="A92" s="7" t="str">
        <f t="shared" si="36"/>
        <v>MPI-M-MPI-ESM-LR_Scaled_Cluster8_repl1</v>
      </c>
      <c r="B92" s="8" t="s">
        <v>16</v>
      </c>
      <c r="C92" s="8" t="s">
        <v>54</v>
      </c>
      <c r="D92" s="9" t="s">
        <v>17</v>
      </c>
      <c r="E92" s="9" t="str">
        <f t="shared" si="37"/>
        <v>historical</v>
      </c>
      <c r="F92" s="8">
        <v>350</v>
      </c>
      <c r="G92" s="8" t="s">
        <v>63</v>
      </c>
      <c r="H92" s="8">
        <v>2</v>
      </c>
      <c r="I92" s="19">
        <v>6.8499999999999995E-4</v>
      </c>
      <c r="J92" s="8">
        <v>8</v>
      </c>
      <c r="K92" s="8" t="s">
        <v>171</v>
      </c>
      <c r="L92" s="8">
        <v>1</v>
      </c>
      <c r="M92" s="8">
        <v>1</v>
      </c>
      <c r="N92" s="10" t="s">
        <v>21</v>
      </c>
      <c r="O92" s="17" t="s">
        <v>328</v>
      </c>
      <c r="P92" s="10" t="str">
        <f t="shared" si="38"/>
        <v>MPI-M-MPI-ESM-LR_Scaled_Cluster8_repl1.sqlite</v>
      </c>
      <c r="Q92" s="11">
        <f t="shared" si="39"/>
        <v>2</v>
      </c>
      <c r="R92" s="16" t="str">
        <f t="shared" si="40"/>
        <v>climate_db_MPI-M-MPI-ESM-LR_historical_v4.sqlite</v>
      </c>
      <c r="S92" s="16" t="str">
        <f t="shared" si="41"/>
        <v>log/MPI-M-MPI-ESM-LR_Scaled_Cluster8_repl1.txt</v>
      </c>
      <c r="T92" s="16" t="str">
        <f t="shared" si="42"/>
        <v>init/env_file_CLUSTER08_REPL1_MPI-M-MPI-ESM-LR_historical.csv</v>
      </c>
      <c r="U92" s="16" t="str">
        <f t="shared" si="43"/>
        <v>init/env_grid_CLUSTER08_REPL1.asc</v>
      </c>
      <c r="V92" s="16" t="str">
        <f t="shared" si="44"/>
        <v>init/env_grid_CLUSTER08_REPL1.asc</v>
      </c>
      <c r="W92" s="16" t="str">
        <f t="shared" si="45"/>
        <v>trees_CLUSTER08.csv</v>
      </c>
      <c r="X92" s="16" t="str">
        <f t="shared" si="46"/>
        <v>saplings_CLUSTER08.csv</v>
      </c>
      <c r="Y92" s="16">
        <f t="shared" si="47"/>
        <v>350</v>
      </c>
      <c r="Z92" s="16" t="str">
        <f t="shared" si="48"/>
        <v>abe/no_mgmt.csv</v>
      </c>
      <c r="AA92" s="16" t="str">
        <f t="shared" si="49"/>
        <v>gis/WindModifier_cl8.asc</v>
      </c>
      <c r="AB92" s="16">
        <f t="shared" si="50"/>
        <v>6.8500009999999999E-4</v>
      </c>
      <c r="AC92" s="16" t="str">
        <f t="shared" si="51"/>
        <v>MPI-M-MPI-ESM-LR_historical_point34253</v>
      </c>
      <c r="AD92" s="16" t="str">
        <f t="shared" si="52"/>
        <v>wind_Events/Scaled_cl8_repl1.txt</v>
      </c>
      <c r="AE92" s="16" t="str">
        <f t="shared" si="53"/>
        <v>MPI-M-MPI-ESM-LR_Scaled_Cluster8_repl1</v>
      </c>
      <c r="AF92" s="21" t="s">
        <v>369</v>
      </c>
      <c r="AG92" s="21" t="s">
        <v>370</v>
      </c>
    </row>
    <row r="93" spans="1:33" ht="13.8">
      <c r="A93" s="7" t="str">
        <f t="shared" si="36"/>
        <v>MPI-M-MPI-ESM-LR_Scaled_Cluster8_repl2</v>
      </c>
      <c r="B93" s="8" t="s">
        <v>16</v>
      </c>
      <c r="C93" s="8" t="s">
        <v>54</v>
      </c>
      <c r="D93" s="9" t="s">
        <v>17</v>
      </c>
      <c r="E93" s="9" t="str">
        <f t="shared" si="37"/>
        <v>historical</v>
      </c>
      <c r="F93" s="8">
        <v>350</v>
      </c>
      <c r="G93" s="8" t="s">
        <v>63</v>
      </c>
      <c r="H93" s="8">
        <v>2</v>
      </c>
      <c r="I93" s="19">
        <v>6.8499999999999995E-4</v>
      </c>
      <c r="J93" s="8">
        <v>8</v>
      </c>
      <c r="K93" s="8" t="s">
        <v>171</v>
      </c>
      <c r="L93" s="8">
        <v>2</v>
      </c>
      <c r="M93" s="8">
        <v>1</v>
      </c>
      <c r="N93" s="10" t="s">
        <v>21</v>
      </c>
      <c r="O93" s="17" t="s">
        <v>328</v>
      </c>
      <c r="P93" s="10" t="str">
        <f t="shared" si="38"/>
        <v>MPI-M-MPI-ESM-LR_Scaled_Cluster8_repl2.sqlite</v>
      </c>
      <c r="Q93" s="11">
        <f t="shared" si="39"/>
        <v>5</v>
      </c>
      <c r="R93" s="16" t="str">
        <f t="shared" si="40"/>
        <v>climate_db_MPI-M-MPI-ESM-LR_historical_v4.sqlite</v>
      </c>
      <c r="S93" s="16" t="str">
        <f t="shared" si="41"/>
        <v>log/MPI-M-MPI-ESM-LR_Scaled_Cluster8_repl2.txt</v>
      </c>
      <c r="T93" s="16" t="str">
        <f t="shared" si="42"/>
        <v>init/env_file_CLUSTER08_REPL2_MPI-M-MPI-ESM-LR_historical.csv</v>
      </c>
      <c r="U93" s="16" t="str">
        <f t="shared" si="43"/>
        <v>init/env_grid_CLUSTER08_REPL2.asc</v>
      </c>
      <c r="V93" s="16" t="str">
        <f t="shared" si="44"/>
        <v>init/env_grid_CLUSTER08_REPL2.asc</v>
      </c>
      <c r="W93" s="16" t="str">
        <f t="shared" si="45"/>
        <v>trees_CLUSTER08.csv</v>
      </c>
      <c r="X93" s="16" t="str">
        <f t="shared" si="46"/>
        <v>saplings_CLUSTER08.csv</v>
      </c>
      <c r="Y93" s="16">
        <f t="shared" si="47"/>
        <v>350</v>
      </c>
      <c r="Z93" s="16" t="str">
        <f t="shared" si="48"/>
        <v>abe/no_mgmt.csv</v>
      </c>
      <c r="AA93" s="16" t="str">
        <f t="shared" si="49"/>
        <v>gis/WindModifier_cl8.asc</v>
      </c>
      <c r="AB93" s="16">
        <f t="shared" si="50"/>
        <v>6.8500009999999999E-4</v>
      </c>
      <c r="AC93" s="16" t="str">
        <f t="shared" si="51"/>
        <v>MPI-M-MPI-ESM-LR_historical_point34253</v>
      </c>
      <c r="AD93" s="16" t="str">
        <f t="shared" si="52"/>
        <v>wind_Events/Scaled_cl8_repl2.txt</v>
      </c>
      <c r="AE93" s="16" t="str">
        <f t="shared" si="53"/>
        <v>MPI-M-MPI-ESM-LR_Scaled_Cluster8_repl2</v>
      </c>
      <c r="AF93" s="21" t="s">
        <v>574</v>
      </c>
      <c r="AG93" s="21" t="s">
        <v>575</v>
      </c>
    </row>
    <row r="94" spans="1:33" ht="13.8">
      <c r="A94" s="7" t="str">
        <f t="shared" si="36"/>
        <v>MPI-M-MPI-ESM-LR_Scaled_Cluster8_repl3</v>
      </c>
      <c r="B94" s="8" t="s">
        <v>16</v>
      </c>
      <c r="C94" s="8" t="s">
        <v>54</v>
      </c>
      <c r="D94" s="9" t="s">
        <v>17</v>
      </c>
      <c r="E94" s="9" t="str">
        <f t="shared" si="37"/>
        <v>historical</v>
      </c>
      <c r="F94" s="8">
        <v>350</v>
      </c>
      <c r="G94" s="8" t="s">
        <v>63</v>
      </c>
      <c r="H94" s="8">
        <v>2</v>
      </c>
      <c r="I94" s="19">
        <v>6.8499999999999995E-4</v>
      </c>
      <c r="J94" s="8">
        <v>8</v>
      </c>
      <c r="K94" s="8" t="s">
        <v>171</v>
      </c>
      <c r="L94" s="8">
        <v>3</v>
      </c>
      <c r="M94" s="8">
        <v>1</v>
      </c>
      <c r="N94" s="10" t="s">
        <v>21</v>
      </c>
      <c r="O94" s="17" t="s">
        <v>328</v>
      </c>
      <c r="P94" s="10" t="str">
        <f t="shared" si="38"/>
        <v>MPI-M-MPI-ESM-LR_Scaled_Cluster8_repl3.sqlite</v>
      </c>
      <c r="Q94" s="11">
        <f t="shared" si="39"/>
        <v>8</v>
      </c>
      <c r="R94" s="16" t="str">
        <f t="shared" si="40"/>
        <v>climate_db_MPI-M-MPI-ESM-LR_historical_v4.sqlite</v>
      </c>
      <c r="S94" s="16" t="str">
        <f t="shared" si="41"/>
        <v>log/MPI-M-MPI-ESM-LR_Scaled_Cluster8_repl3.txt</v>
      </c>
      <c r="T94" s="16" t="str">
        <f t="shared" si="42"/>
        <v>init/env_file_CLUSTER08_REPL3_MPI-M-MPI-ESM-LR_historical.csv</v>
      </c>
      <c r="U94" s="16" t="str">
        <f t="shared" si="43"/>
        <v>init/env_grid_CLUSTER08_REPL3.asc</v>
      </c>
      <c r="V94" s="16" t="str">
        <f t="shared" si="44"/>
        <v>init/env_grid_CLUSTER08_REPL3.asc</v>
      </c>
      <c r="W94" s="16" t="str">
        <f t="shared" si="45"/>
        <v>trees_CLUSTER08.csv</v>
      </c>
      <c r="X94" s="16" t="str">
        <f t="shared" si="46"/>
        <v>saplings_CLUSTER08.csv</v>
      </c>
      <c r="Y94" s="16">
        <f t="shared" si="47"/>
        <v>350</v>
      </c>
      <c r="Z94" s="16" t="str">
        <f t="shared" si="48"/>
        <v>abe/no_mgmt.csv</v>
      </c>
      <c r="AA94" s="16" t="str">
        <f t="shared" si="49"/>
        <v>gis/WindModifier_cl8.asc</v>
      </c>
      <c r="AB94" s="16">
        <f t="shared" si="50"/>
        <v>6.8500009999999999E-4</v>
      </c>
      <c r="AC94" s="16" t="str">
        <f t="shared" si="51"/>
        <v>MPI-M-MPI-ESM-LR_historical_point34253</v>
      </c>
      <c r="AD94" s="16" t="str">
        <f t="shared" si="52"/>
        <v>wind_Events/Scaled_cl8_repl3.txt</v>
      </c>
      <c r="AE94" s="16" t="str">
        <f t="shared" si="53"/>
        <v>MPI-M-MPI-ESM-LR_Scaled_Cluster8_repl3</v>
      </c>
      <c r="AF94" s="21" t="s">
        <v>576</v>
      </c>
      <c r="AG94" s="21" t="s">
        <v>577</v>
      </c>
    </row>
    <row r="95" spans="1:33" ht="13.8">
      <c r="A95" s="7" t="str">
        <f t="shared" si="36"/>
        <v>MPI-M-MPI-ESM-LR_Scaled_Cluster8_repl4</v>
      </c>
      <c r="B95" s="8" t="s">
        <v>16</v>
      </c>
      <c r="C95" s="8" t="s">
        <v>54</v>
      </c>
      <c r="D95" s="9" t="s">
        <v>17</v>
      </c>
      <c r="E95" s="9" t="str">
        <f t="shared" si="37"/>
        <v>historical</v>
      </c>
      <c r="F95" s="8">
        <v>350</v>
      </c>
      <c r="G95" s="8" t="s">
        <v>63</v>
      </c>
      <c r="H95" s="8">
        <v>2</v>
      </c>
      <c r="I95" s="19">
        <v>6.8499999999999995E-4</v>
      </c>
      <c r="J95" s="8">
        <v>8</v>
      </c>
      <c r="K95" s="8" t="s">
        <v>171</v>
      </c>
      <c r="L95" s="8">
        <v>4</v>
      </c>
      <c r="M95" s="8">
        <v>1</v>
      </c>
      <c r="N95" s="10" t="s">
        <v>21</v>
      </c>
      <c r="O95" s="17" t="s">
        <v>328</v>
      </c>
      <c r="P95" s="10" t="str">
        <f t="shared" si="38"/>
        <v>MPI-M-MPI-ESM-LR_Scaled_Cluster8_repl4.sqlite</v>
      </c>
      <c r="Q95" s="11">
        <f t="shared" si="39"/>
        <v>11</v>
      </c>
      <c r="R95" s="16" t="str">
        <f t="shared" si="40"/>
        <v>climate_db_MPI-M-MPI-ESM-LR_historical_v4.sqlite</v>
      </c>
      <c r="S95" s="16" t="str">
        <f t="shared" si="41"/>
        <v>log/MPI-M-MPI-ESM-LR_Scaled_Cluster8_repl4.txt</v>
      </c>
      <c r="T95" s="16" t="str">
        <f t="shared" si="42"/>
        <v>init/env_file_CLUSTER08_REPL4_MPI-M-MPI-ESM-LR_historical.csv</v>
      </c>
      <c r="U95" s="16" t="str">
        <f t="shared" si="43"/>
        <v>init/env_grid_CLUSTER08_REPL4.asc</v>
      </c>
      <c r="V95" s="16" t="str">
        <f t="shared" si="44"/>
        <v>init/env_grid_CLUSTER08_REPL4.asc</v>
      </c>
      <c r="W95" s="16" t="str">
        <f t="shared" si="45"/>
        <v>trees_CLUSTER08.csv</v>
      </c>
      <c r="X95" s="16" t="str">
        <f t="shared" si="46"/>
        <v>saplings_CLUSTER08.csv</v>
      </c>
      <c r="Y95" s="16">
        <f t="shared" si="47"/>
        <v>350</v>
      </c>
      <c r="Z95" s="16" t="str">
        <f t="shared" si="48"/>
        <v>abe/no_mgmt.csv</v>
      </c>
      <c r="AA95" s="16" t="str">
        <f t="shared" si="49"/>
        <v>gis/WindModifier_cl8.asc</v>
      </c>
      <c r="AB95" s="16">
        <f t="shared" si="50"/>
        <v>6.8500009999999999E-4</v>
      </c>
      <c r="AC95" s="16" t="str">
        <f t="shared" si="51"/>
        <v>MPI-M-MPI-ESM-LR_historical_point34253</v>
      </c>
      <c r="AD95" s="16" t="str">
        <f t="shared" si="52"/>
        <v>wind_Events/Scaled_cl8_repl4.txt</v>
      </c>
      <c r="AE95" s="16" t="str">
        <f t="shared" si="53"/>
        <v>MPI-M-MPI-ESM-LR_Scaled_Cluster8_repl4</v>
      </c>
      <c r="AF95" s="21" t="s">
        <v>578</v>
      </c>
      <c r="AG95" s="21" t="s">
        <v>579</v>
      </c>
    </row>
    <row r="96" spans="1:33" ht="13.8">
      <c r="A96" s="7" t="str">
        <f t="shared" si="36"/>
        <v>MPI-M-MPI-ESM-LR_Scaled_Cluster8_repl5</v>
      </c>
      <c r="B96" s="8" t="s">
        <v>16</v>
      </c>
      <c r="C96" s="8" t="s">
        <v>54</v>
      </c>
      <c r="D96" s="9" t="s">
        <v>17</v>
      </c>
      <c r="E96" s="9" t="str">
        <f t="shared" si="37"/>
        <v>historical</v>
      </c>
      <c r="F96" s="8">
        <v>350</v>
      </c>
      <c r="G96" s="8" t="s">
        <v>63</v>
      </c>
      <c r="H96" s="8">
        <v>2</v>
      </c>
      <c r="I96" s="19">
        <v>6.8499999999999995E-4</v>
      </c>
      <c r="J96" s="8">
        <v>8</v>
      </c>
      <c r="K96" s="8" t="s">
        <v>171</v>
      </c>
      <c r="L96" s="8">
        <v>5</v>
      </c>
      <c r="M96" s="8">
        <v>1</v>
      </c>
      <c r="N96" s="10" t="s">
        <v>21</v>
      </c>
      <c r="O96" s="17" t="s">
        <v>328</v>
      </c>
      <c r="P96" s="10" t="str">
        <f t="shared" si="38"/>
        <v>MPI-M-MPI-ESM-LR_Scaled_Cluster8_repl5.sqlite</v>
      </c>
      <c r="Q96" s="11">
        <f t="shared" si="39"/>
        <v>14</v>
      </c>
      <c r="R96" s="16" t="str">
        <f t="shared" si="40"/>
        <v>climate_db_MPI-M-MPI-ESM-LR_historical_v4.sqlite</v>
      </c>
      <c r="S96" s="16" t="str">
        <f t="shared" si="41"/>
        <v>log/MPI-M-MPI-ESM-LR_Scaled_Cluster8_repl5.txt</v>
      </c>
      <c r="T96" s="16" t="str">
        <f t="shared" si="42"/>
        <v>init/env_file_CLUSTER08_REPL5_MPI-M-MPI-ESM-LR_historical.csv</v>
      </c>
      <c r="U96" s="16" t="str">
        <f t="shared" si="43"/>
        <v>init/env_grid_CLUSTER08_REPL5.asc</v>
      </c>
      <c r="V96" s="16" t="str">
        <f t="shared" si="44"/>
        <v>init/env_grid_CLUSTER08_REPL5.asc</v>
      </c>
      <c r="W96" s="16" t="str">
        <f t="shared" si="45"/>
        <v>trees_CLUSTER08.csv</v>
      </c>
      <c r="X96" s="16" t="str">
        <f t="shared" si="46"/>
        <v>saplings_CLUSTER08.csv</v>
      </c>
      <c r="Y96" s="16">
        <f t="shared" si="47"/>
        <v>350</v>
      </c>
      <c r="Z96" s="16" t="str">
        <f t="shared" si="48"/>
        <v>abe/no_mgmt.csv</v>
      </c>
      <c r="AA96" s="16" t="str">
        <f t="shared" si="49"/>
        <v>gis/WindModifier_cl8.asc</v>
      </c>
      <c r="AB96" s="16">
        <f t="shared" si="50"/>
        <v>6.8500009999999999E-4</v>
      </c>
      <c r="AC96" s="16" t="str">
        <f t="shared" si="51"/>
        <v>MPI-M-MPI-ESM-LR_historical_point34253</v>
      </c>
      <c r="AD96" s="16" t="str">
        <f t="shared" si="52"/>
        <v>wind_Events/Scaled_cl8_repl5.txt</v>
      </c>
      <c r="AE96" s="16" t="str">
        <f t="shared" si="53"/>
        <v>MPI-M-MPI-ESM-LR_Scaled_Cluster8_repl5</v>
      </c>
      <c r="AF96" s="21" t="s">
        <v>580</v>
      </c>
      <c r="AG96" s="21" t="s">
        <v>581</v>
      </c>
    </row>
    <row r="97" spans="1:33" ht="13.8">
      <c r="A97" s="7" t="str">
        <f t="shared" si="36"/>
        <v>MPI-M-MPI-ESM-LR_Scaled_Cluster10_repl1</v>
      </c>
      <c r="B97" s="8" t="s">
        <v>16</v>
      </c>
      <c r="C97" s="8" t="s">
        <v>54</v>
      </c>
      <c r="D97" s="9" t="s">
        <v>17</v>
      </c>
      <c r="E97" s="9" t="str">
        <f t="shared" si="37"/>
        <v>historical</v>
      </c>
      <c r="F97" s="8">
        <v>350</v>
      </c>
      <c r="G97" s="8" t="s">
        <v>63</v>
      </c>
      <c r="H97" s="8">
        <v>2</v>
      </c>
      <c r="I97" s="19">
        <v>6.8499999999999995E-4</v>
      </c>
      <c r="J97" s="8">
        <v>10</v>
      </c>
      <c r="K97" s="8" t="s">
        <v>172</v>
      </c>
      <c r="L97" s="8">
        <v>1</v>
      </c>
      <c r="M97" s="8">
        <v>1</v>
      </c>
      <c r="N97" s="10" t="s">
        <v>21</v>
      </c>
      <c r="O97" s="17" t="s">
        <v>328</v>
      </c>
      <c r="P97" s="10" t="str">
        <f t="shared" si="38"/>
        <v>MPI-M-MPI-ESM-LR_Scaled_Cluster10_repl1.sqlite</v>
      </c>
      <c r="Q97" s="11">
        <f t="shared" si="39"/>
        <v>2</v>
      </c>
      <c r="R97" s="16" t="str">
        <f t="shared" si="40"/>
        <v>climate_db_MPI-M-MPI-ESM-LR_historical_v4.sqlite</v>
      </c>
      <c r="S97" s="16" t="str">
        <f t="shared" si="41"/>
        <v>log/MPI-M-MPI-ESM-LR_Scaled_Cluster10_repl1.txt</v>
      </c>
      <c r="T97" s="16" t="str">
        <f t="shared" si="42"/>
        <v>init/env_file_CLUSTER10_REPL1_MPI-M-MPI-ESM-LR_historical.csv</v>
      </c>
      <c r="U97" s="16" t="str">
        <f t="shared" si="43"/>
        <v>init/env_grid_CLUSTER10_REPL1.asc</v>
      </c>
      <c r="V97" s="16" t="str">
        <f t="shared" si="44"/>
        <v>init/env_grid_CLUSTER10_REPL1.asc</v>
      </c>
      <c r="W97" s="16" t="str">
        <f t="shared" si="45"/>
        <v>trees_CLUSTER10.csv</v>
      </c>
      <c r="X97" s="16" t="str">
        <f t="shared" si="46"/>
        <v>saplings_CLUSTER10.csv</v>
      </c>
      <c r="Y97" s="16">
        <f t="shared" si="47"/>
        <v>350</v>
      </c>
      <c r="Z97" s="16" t="str">
        <f t="shared" si="48"/>
        <v>abe/no_mgmt.csv</v>
      </c>
      <c r="AA97" s="16" t="str">
        <f t="shared" si="49"/>
        <v>gis/WindModifier_cl10.asc</v>
      </c>
      <c r="AB97" s="16">
        <f t="shared" si="50"/>
        <v>6.8500009999999999E-4</v>
      </c>
      <c r="AC97" s="16" t="str">
        <f t="shared" si="51"/>
        <v>MPI-M-MPI-ESM-LR_historical_point37861</v>
      </c>
      <c r="AD97" s="16" t="str">
        <f t="shared" si="52"/>
        <v>wind_Events/Scaled_cl10_repl1.txt</v>
      </c>
      <c r="AE97" s="16" t="str">
        <f t="shared" si="53"/>
        <v>MPI-M-MPI-ESM-LR_Scaled_Cluster10_repl1</v>
      </c>
      <c r="AF97" s="21" t="s">
        <v>372</v>
      </c>
      <c r="AG97" s="21" t="s">
        <v>82</v>
      </c>
    </row>
    <row r="98" spans="1:33" ht="13.8">
      <c r="A98" s="7" t="str">
        <f t="shared" ref="A98:A129" si="54" xml:space="preserve"> G98 &amp; "_" &amp; C98 &amp;"Cluster" &amp; J98 &amp; "_repl" &amp; L98</f>
        <v>MPI-M-MPI-ESM-LR_Scaled_Cluster10_repl2</v>
      </c>
      <c r="B98" s="8" t="s">
        <v>16</v>
      </c>
      <c r="C98" s="8" t="s">
        <v>54</v>
      </c>
      <c r="D98" s="9" t="s">
        <v>17</v>
      </c>
      <c r="E98" s="9" t="str">
        <f t="shared" ref="E98:E129" si="55">IF(D98="historical", "historical", IF(D98="RCP26", "rcp_2_6", IF(D98="RCP45", "rcp_4_5", "rcp_8_5")))</f>
        <v>historical</v>
      </c>
      <c r="F98" s="8">
        <v>350</v>
      </c>
      <c r="G98" s="8" t="s">
        <v>63</v>
      </c>
      <c r="H98" s="8">
        <v>2</v>
      </c>
      <c r="I98" s="19">
        <v>6.8499999999999995E-4</v>
      </c>
      <c r="J98" s="8">
        <v>10</v>
      </c>
      <c r="K98" s="8" t="s">
        <v>172</v>
      </c>
      <c r="L98" s="8">
        <v>2</v>
      </c>
      <c r="M98" s="8">
        <v>1</v>
      </c>
      <c r="N98" s="10" t="s">
        <v>21</v>
      </c>
      <c r="O98" s="17" t="s">
        <v>328</v>
      </c>
      <c r="P98" s="10" t="str">
        <f t="shared" ref="P98:P129" si="56">A98  &amp; ".sqlite"</f>
        <v>MPI-M-MPI-ESM-LR_Scaled_Cluster10_repl2.sqlite</v>
      </c>
      <c r="Q98" s="11">
        <f t="shared" ref="Q98:Q129" si="57">(L98-1)*3+H98</f>
        <v>5</v>
      </c>
      <c r="R98" s="16" t="str">
        <f t="shared" ref="R98:R129" si="58">"climate_db_" &amp; G98&amp; "_" &amp;  E98&amp; "_v4.sqlite"</f>
        <v>climate_db_MPI-M-MPI-ESM-LR_historical_v4.sqlite</v>
      </c>
      <c r="S98" s="16" t="str">
        <f t="shared" ref="S98:S129" si="59">"log/" &amp;A98  &amp; ".txt"</f>
        <v>log/MPI-M-MPI-ESM-LR_Scaled_Cluster10_repl2.txt</v>
      </c>
      <c r="T98" s="16" t="str">
        <f t="shared" ref="T98:T129" si="60">"init/env_file_CLUSTER" &amp; TEXT(J98, "00") &amp; "_REPL" &amp; L98 &amp; "_" &amp; G98 &amp; "_" &amp; E98 &amp; ".csv"</f>
        <v>init/env_file_CLUSTER10_REPL2_MPI-M-MPI-ESM-LR_historical.csv</v>
      </c>
      <c r="U98" s="16" t="str">
        <f t="shared" ref="U98:U129" si="61">"init/env_grid_CLUSTER" &amp; TEXT(J98, "00") &amp; "_REPL" &amp; L98 &amp; ".asc"</f>
        <v>init/env_grid_CLUSTER10_REPL2.asc</v>
      </c>
      <c r="V98" s="16" t="str">
        <f t="shared" ref="V98:V129" si="62">U98</f>
        <v>init/env_grid_CLUSTER10_REPL2.asc</v>
      </c>
      <c r="W98" s="16" t="str">
        <f t="shared" ref="W98:W129" si="63">"trees_CLUSTER" &amp; TEXT(J98, "00")  &amp; ".csv"</f>
        <v>trees_CLUSTER10.csv</v>
      </c>
      <c r="X98" s="16" t="str">
        <f t="shared" ref="X98:X129" si="64">"saplings_CLUSTER" &amp; TEXT(J98, "00")  &amp; ".csv"</f>
        <v>saplings_CLUSTER10.csv</v>
      </c>
      <c r="Y98" s="16">
        <f t="shared" ref="Y98:Y129" si="65">F98</f>
        <v>350</v>
      </c>
      <c r="Z98" s="16" t="str">
        <f t="shared" ref="Z98:Z129" si="66">"abe/no_mgmt.csv"</f>
        <v>abe/no_mgmt.csv</v>
      </c>
      <c r="AA98" s="16" t="str">
        <f t="shared" ref="AA98:AA129" si="67">"gis/WindModifier_cl" &amp; J98 &amp; ".asc"</f>
        <v>gis/WindModifier_cl10.asc</v>
      </c>
      <c r="AB98" s="16">
        <f t="shared" ref="AB98:AB129" si="68">IF(C98="Scaled_", I98+0.0000000001,  0.000685)</f>
        <v>6.8500009999999999E-4</v>
      </c>
      <c r="AC98" s="16" t="str">
        <f t="shared" ref="AC98:AC129" si="69">G98 &amp; "_" &amp; E98 &amp; "_point" &amp; K98</f>
        <v>MPI-M-MPI-ESM-LR_historical_point37861</v>
      </c>
      <c r="AD98" s="16" t="str">
        <f t="shared" ref="AD98:AD129" si="70">"wind_Events/" &amp; C98 &amp; "cl" &amp; J98 &amp; "_repl" &amp; L98 &amp; ".txt"</f>
        <v>wind_Events/Scaled_cl10_repl2.txt</v>
      </c>
      <c r="AE98" s="16" t="str">
        <f t="shared" ref="AE98:AE129" si="71">A98</f>
        <v>MPI-M-MPI-ESM-LR_Scaled_Cluster10_repl2</v>
      </c>
      <c r="AF98" s="21" t="s">
        <v>582</v>
      </c>
      <c r="AG98" s="21" t="s">
        <v>583</v>
      </c>
    </row>
    <row r="99" spans="1:33" ht="13.8">
      <c r="A99" s="7" t="str">
        <f t="shared" si="54"/>
        <v>MPI-M-MPI-ESM-LR_Scaled_Cluster10_repl3</v>
      </c>
      <c r="B99" s="8" t="s">
        <v>16</v>
      </c>
      <c r="C99" s="8" t="s">
        <v>54</v>
      </c>
      <c r="D99" s="9" t="s">
        <v>17</v>
      </c>
      <c r="E99" s="9" t="str">
        <f t="shared" si="55"/>
        <v>historical</v>
      </c>
      <c r="F99" s="8">
        <v>350</v>
      </c>
      <c r="G99" s="8" t="s">
        <v>63</v>
      </c>
      <c r="H99" s="8">
        <v>2</v>
      </c>
      <c r="I99" s="19">
        <v>6.8499999999999995E-4</v>
      </c>
      <c r="J99" s="8">
        <v>10</v>
      </c>
      <c r="K99" s="8" t="s">
        <v>172</v>
      </c>
      <c r="L99" s="8">
        <v>3</v>
      </c>
      <c r="M99" s="8">
        <v>1</v>
      </c>
      <c r="N99" s="10" t="s">
        <v>21</v>
      </c>
      <c r="O99" s="17" t="s">
        <v>328</v>
      </c>
      <c r="P99" s="10" t="str">
        <f t="shared" si="56"/>
        <v>MPI-M-MPI-ESM-LR_Scaled_Cluster10_repl3.sqlite</v>
      </c>
      <c r="Q99" s="11">
        <f t="shared" si="57"/>
        <v>8</v>
      </c>
      <c r="R99" s="16" t="str">
        <f t="shared" si="58"/>
        <v>climate_db_MPI-M-MPI-ESM-LR_historical_v4.sqlite</v>
      </c>
      <c r="S99" s="16" t="str">
        <f t="shared" si="59"/>
        <v>log/MPI-M-MPI-ESM-LR_Scaled_Cluster10_repl3.txt</v>
      </c>
      <c r="T99" s="16" t="str">
        <f t="shared" si="60"/>
        <v>init/env_file_CLUSTER10_REPL3_MPI-M-MPI-ESM-LR_historical.csv</v>
      </c>
      <c r="U99" s="16" t="str">
        <f t="shared" si="61"/>
        <v>init/env_grid_CLUSTER10_REPL3.asc</v>
      </c>
      <c r="V99" s="16" t="str">
        <f t="shared" si="62"/>
        <v>init/env_grid_CLUSTER10_REPL3.asc</v>
      </c>
      <c r="W99" s="16" t="str">
        <f t="shared" si="63"/>
        <v>trees_CLUSTER10.csv</v>
      </c>
      <c r="X99" s="16" t="str">
        <f t="shared" si="64"/>
        <v>saplings_CLUSTER10.csv</v>
      </c>
      <c r="Y99" s="16">
        <f t="shared" si="65"/>
        <v>350</v>
      </c>
      <c r="Z99" s="16" t="str">
        <f t="shared" si="66"/>
        <v>abe/no_mgmt.csv</v>
      </c>
      <c r="AA99" s="16" t="str">
        <f t="shared" si="67"/>
        <v>gis/WindModifier_cl10.asc</v>
      </c>
      <c r="AB99" s="16">
        <f t="shared" si="68"/>
        <v>6.8500009999999999E-4</v>
      </c>
      <c r="AC99" s="16" t="str">
        <f t="shared" si="69"/>
        <v>MPI-M-MPI-ESM-LR_historical_point37861</v>
      </c>
      <c r="AD99" s="16" t="str">
        <f t="shared" si="70"/>
        <v>wind_Events/Scaled_cl10_repl3.txt</v>
      </c>
      <c r="AE99" s="16" t="str">
        <f t="shared" si="71"/>
        <v>MPI-M-MPI-ESM-LR_Scaled_Cluster10_repl3</v>
      </c>
      <c r="AF99" s="21" t="s">
        <v>584</v>
      </c>
      <c r="AG99" s="21" t="s">
        <v>585</v>
      </c>
    </row>
    <row r="100" spans="1:33" ht="13.8">
      <c r="A100" s="7" t="str">
        <f t="shared" si="54"/>
        <v>MPI-M-MPI-ESM-LR_Scaled_Cluster10_repl4</v>
      </c>
      <c r="B100" s="8" t="s">
        <v>16</v>
      </c>
      <c r="C100" s="8" t="s">
        <v>54</v>
      </c>
      <c r="D100" s="9" t="s">
        <v>17</v>
      </c>
      <c r="E100" s="9" t="str">
        <f t="shared" si="55"/>
        <v>historical</v>
      </c>
      <c r="F100" s="8">
        <v>350</v>
      </c>
      <c r="G100" s="8" t="s">
        <v>63</v>
      </c>
      <c r="H100" s="8">
        <v>2</v>
      </c>
      <c r="I100" s="19">
        <v>6.8499999999999995E-4</v>
      </c>
      <c r="J100" s="8">
        <v>10</v>
      </c>
      <c r="K100" s="8" t="s">
        <v>172</v>
      </c>
      <c r="L100" s="8">
        <v>4</v>
      </c>
      <c r="M100" s="8">
        <v>1</v>
      </c>
      <c r="N100" s="10" t="s">
        <v>21</v>
      </c>
      <c r="O100" s="17" t="s">
        <v>328</v>
      </c>
      <c r="P100" s="10" t="str">
        <f t="shared" si="56"/>
        <v>MPI-M-MPI-ESM-LR_Scaled_Cluster10_repl4.sqlite</v>
      </c>
      <c r="Q100" s="11">
        <f t="shared" si="57"/>
        <v>11</v>
      </c>
      <c r="R100" s="16" t="str">
        <f t="shared" si="58"/>
        <v>climate_db_MPI-M-MPI-ESM-LR_historical_v4.sqlite</v>
      </c>
      <c r="S100" s="16" t="str">
        <f t="shared" si="59"/>
        <v>log/MPI-M-MPI-ESM-LR_Scaled_Cluster10_repl4.txt</v>
      </c>
      <c r="T100" s="16" t="str">
        <f t="shared" si="60"/>
        <v>init/env_file_CLUSTER10_REPL4_MPI-M-MPI-ESM-LR_historical.csv</v>
      </c>
      <c r="U100" s="16" t="str">
        <f t="shared" si="61"/>
        <v>init/env_grid_CLUSTER10_REPL4.asc</v>
      </c>
      <c r="V100" s="16" t="str">
        <f t="shared" si="62"/>
        <v>init/env_grid_CLUSTER10_REPL4.asc</v>
      </c>
      <c r="W100" s="16" t="str">
        <f t="shared" si="63"/>
        <v>trees_CLUSTER10.csv</v>
      </c>
      <c r="X100" s="16" t="str">
        <f t="shared" si="64"/>
        <v>saplings_CLUSTER10.csv</v>
      </c>
      <c r="Y100" s="16">
        <f t="shared" si="65"/>
        <v>350</v>
      </c>
      <c r="Z100" s="16" t="str">
        <f t="shared" si="66"/>
        <v>abe/no_mgmt.csv</v>
      </c>
      <c r="AA100" s="16" t="str">
        <f t="shared" si="67"/>
        <v>gis/WindModifier_cl10.asc</v>
      </c>
      <c r="AB100" s="16">
        <f t="shared" si="68"/>
        <v>6.8500009999999999E-4</v>
      </c>
      <c r="AC100" s="16" t="str">
        <f t="shared" si="69"/>
        <v>MPI-M-MPI-ESM-LR_historical_point37861</v>
      </c>
      <c r="AD100" s="16" t="str">
        <f t="shared" si="70"/>
        <v>wind_Events/Scaled_cl10_repl4.txt</v>
      </c>
      <c r="AE100" s="16" t="str">
        <f t="shared" si="71"/>
        <v>MPI-M-MPI-ESM-LR_Scaled_Cluster10_repl4</v>
      </c>
      <c r="AF100" s="21" t="s">
        <v>586</v>
      </c>
      <c r="AG100" s="21" t="s">
        <v>587</v>
      </c>
    </row>
    <row r="101" spans="1:33" ht="13.8">
      <c r="A101" s="7" t="str">
        <f t="shared" si="54"/>
        <v>MPI-M-MPI-ESM-LR_Scaled_Cluster10_repl5</v>
      </c>
      <c r="B101" s="8" t="s">
        <v>16</v>
      </c>
      <c r="C101" s="8" t="s">
        <v>54</v>
      </c>
      <c r="D101" s="9" t="s">
        <v>17</v>
      </c>
      <c r="E101" s="9" t="str">
        <f t="shared" si="55"/>
        <v>historical</v>
      </c>
      <c r="F101" s="8">
        <v>350</v>
      </c>
      <c r="G101" s="8" t="s">
        <v>63</v>
      </c>
      <c r="H101" s="8">
        <v>2</v>
      </c>
      <c r="I101" s="19">
        <v>6.8499999999999995E-4</v>
      </c>
      <c r="J101" s="8">
        <v>10</v>
      </c>
      <c r="K101" s="8" t="s">
        <v>172</v>
      </c>
      <c r="L101" s="8">
        <v>5</v>
      </c>
      <c r="M101" s="8">
        <v>1</v>
      </c>
      <c r="N101" s="10" t="s">
        <v>21</v>
      </c>
      <c r="O101" s="17" t="s">
        <v>328</v>
      </c>
      <c r="P101" s="10" t="str">
        <f t="shared" si="56"/>
        <v>MPI-M-MPI-ESM-LR_Scaled_Cluster10_repl5.sqlite</v>
      </c>
      <c r="Q101" s="11">
        <f t="shared" si="57"/>
        <v>14</v>
      </c>
      <c r="R101" s="16" t="str">
        <f t="shared" si="58"/>
        <v>climate_db_MPI-M-MPI-ESM-LR_historical_v4.sqlite</v>
      </c>
      <c r="S101" s="16" t="str">
        <f t="shared" si="59"/>
        <v>log/MPI-M-MPI-ESM-LR_Scaled_Cluster10_repl5.txt</v>
      </c>
      <c r="T101" s="16" t="str">
        <f t="shared" si="60"/>
        <v>init/env_file_CLUSTER10_REPL5_MPI-M-MPI-ESM-LR_historical.csv</v>
      </c>
      <c r="U101" s="16" t="str">
        <f t="shared" si="61"/>
        <v>init/env_grid_CLUSTER10_REPL5.asc</v>
      </c>
      <c r="V101" s="16" t="str">
        <f t="shared" si="62"/>
        <v>init/env_grid_CLUSTER10_REPL5.asc</v>
      </c>
      <c r="W101" s="16" t="str">
        <f t="shared" si="63"/>
        <v>trees_CLUSTER10.csv</v>
      </c>
      <c r="X101" s="16" t="str">
        <f t="shared" si="64"/>
        <v>saplings_CLUSTER10.csv</v>
      </c>
      <c r="Y101" s="16">
        <f t="shared" si="65"/>
        <v>350</v>
      </c>
      <c r="Z101" s="16" t="str">
        <f t="shared" si="66"/>
        <v>abe/no_mgmt.csv</v>
      </c>
      <c r="AA101" s="16" t="str">
        <f t="shared" si="67"/>
        <v>gis/WindModifier_cl10.asc</v>
      </c>
      <c r="AB101" s="16">
        <f t="shared" si="68"/>
        <v>6.8500009999999999E-4</v>
      </c>
      <c r="AC101" s="16" t="str">
        <f t="shared" si="69"/>
        <v>MPI-M-MPI-ESM-LR_historical_point37861</v>
      </c>
      <c r="AD101" s="16" t="str">
        <f t="shared" si="70"/>
        <v>wind_Events/Scaled_cl10_repl5.txt</v>
      </c>
      <c r="AE101" s="16" t="str">
        <f t="shared" si="71"/>
        <v>MPI-M-MPI-ESM-LR_Scaled_Cluster10_repl5</v>
      </c>
      <c r="AF101" s="21" t="s">
        <v>588</v>
      </c>
      <c r="AG101" s="21" t="s">
        <v>589</v>
      </c>
    </row>
    <row r="102" spans="1:33" ht="13.8">
      <c r="A102" s="7" t="str">
        <f t="shared" si="54"/>
        <v>MPI-M-MPI-ESM-LR_Scaled_Cluster11_repl1</v>
      </c>
      <c r="B102" s="8" t="s">
        <v>16</v>
      </c>
      <c r="C102" s="8" t="s">
        <v>54</v>
      </c>
      <c r="D102" s="9" t="s">
        <v>17</v>
      </c>
      <c r="E102" s="9" t="str">
        <f t="shared" si="55"/>
        <v>historical</v>
      </c>
      <c r="F102" s="8">
        <v>350</v>
      </c>
      <c r="G102" s="8" t="s">
        <v>63</v>
      </c>
      <c r="H102" s="8">
        <v>2</v>
      </c>
      <c r="I102" s="19">
        <v>6.8499999999999995E-4</v>
      </c>
      <c r="J102" s="8">
        <v>11</v>
      </c>
      <c r="K102" s="8" t="s">
        <v>165</v>
      </c>
      <c r="L102" s="8">
        <v>1</v>
      </c>
      <c r="M102" s="8">
        <v>1</v>
      </c>
      <c r="N102" s="10" t="s">
        <v>21</v>
      </c>
      <c r="O102" s="17" t="s">
        <v>328</v>
      </c>
      <c r="P102" s="10" t="str">
        <f t="shared" si="56"/>
        <v>MPI-M-MPI-ESM-LR_Scaled_Cluster11_repl1.sqlite</v>
      </c>
      <c r="Q102" s="11">
        <f t="shared" si="57"/>
        <v>2</v>
      </c>
      <c r="R102" s="16" t="str">
        <f t="shared" si="58"/>
        <v>climate_db_MPI-M-MPI-ESM-LR_historical_v4.sqlite</v>
      </c>
      <c r="S102" s="16" t="str">
        <f t="shared" si="59"/>
        <v>log/MPI-M-MPI-ESM-LR_Scaled_Cluster11_repl1.txt</v>
      </c>
      <c r="T102" s="16" t="str">
        <f t="shared" si="60"/>
        <v>init/env_file_CLUSTER11_REPL1_MPI-M-MPI-ESM-LR_historical.csv</v>
      </c>
      <c r="U102" s="16" t="str">
        <f t="shared" si="61"/>
        <v>init/env_grid_CLUSTER11_REPL1.asc</v>
      </c>
      <c r="V102" s="16" t="str">
        <f t="shared" si="62"/>
        <v>init/env_grid_CLUSTER11_REPL1.asc</v>
      </c>
      <c r="W102" s="16" t="str">
        <f t="shared" si="63"/>
        <v>trees_CLUSTER11.csv</v>
      </c>
      <c r="X102" s="16" t="str">
        <f t="shared" si="64"/>
        <v>saplings_CLUSTER11.csv</v>
      </c>
      <c r="Y102" s="16">
        <f t="shared" si="65"/>
        <v>350</v>
      </c>
      <c r="Z102" s="16" t="str">
        <f t="shared" si="66"/>
        <v>abe/no_mgmt.csv</v>
      </c>
      <c r="AA102" s="16" t="str">
        <f t="shared" si="67"/>
        <v>gis/WindModifier_cl11.asc</v>
      </c>
      <c r="AB102" s="16">
        <f t="shared" si="68"/>
        <v>6.8500009999999999E-4</v>
      </c>
      <c r="AC102" s="16" t="str">
        <f t="shared" si="69"/>
        <v>MPI-M-MPI-ESM-LR_historical_point29711</v>
      </c>
      <c r="AD102" s="16" t="str">
        <f t="shared" si="70"/>
        <v>wind_Events/Scaled_cl11_repl1.txt</v>
      </c>
      <c r="AE102" s="16" t="str">
        <f t="shared" si="71"/>
        <v>MPI-M-MPI-ESM-LR_Scaled_Cluster11_repl1</v>
      </c>
      <c r="AF102" s="21" t="s">
        <v>374</v>
      </c>
      <c r="AG102" s="21" t="s">
        <v>375</v>
      </c>
    </row>
    <row r="103" spans="1:33" ht="13.8">
      <c r="A103" s="7" t="str">
        <f t="shared" si="54"/>
        <v>MPI-M-MPI-ESM-LR_Scaled_Cluster11_repl2</v>
      </c>
      <c r="B103" s="8" t="s">
        <v>16</v>
      </c>
      <c r="C103" s="8" t="s">
        <v>54</v>
      </c>
      <c r="D103" s="9" t="s">
        <v>17</v>
      </c>
      <c r="E103" s="9" t="str">
        <f t="shared" si="55"/>
        <v>historical</v>
      </c>
      <c r="F103" s="8">
        <v>350</v>
      </c>
      <c r="G103" s="8" t="s">
        <v>63</v>
      </c>
      <c r="H103" s="8">
        <v>2</v>
      </c>
      <c r="I103" s="19">
        <v>6.8499999999999995E-4</v>
      </c>
      <c r="J103" s="8">
        <v>11</v>
      </c>
      <c r="K103" s="8" t="s">
        <v>165</v>
      </c>
      <c r="L103" s="8">
        <v>2</v>
      </c>
      <c r="M103" s="8">
        <v>1</v>
      </c>
      <c r="N103" s="10" t="s">
        <v>21</v>
      </c>
      <c r="O103" s="17" t="s">
        <v>328</v>
      </c>
      <c r="P103" s="10" t="str">
        <f t="shared" si="56"/>
        <v>MPI-M-MPI-ESM-LR_Scaled_Cluster11_repl2.sqlite</v>
      </c>
      <c r="Q103" s="11">
        <f t="shared" si="57"/>
        <v>5</v>
      </c>
      <c r="R103" s="16" t="str">
        <f t="shared" si="58"/>
        <v>climate_db_MPI-M-MPI-ESM-LR_historical_v4.sqlite</v>
      </c>
      <c r="S103" s="16" t="str">
        <f t="shared" si="59"/>
        <v>log/MPI-M-MPI-ESM-LR_Scaled_Cluster11_repl2.txt</v>
      </c>
      <c r="T103" s="16" t="str">
        <f t="shared" si="60"/>
        <v>init/env_file_CLUSTER11_REPL2_MPI-M-MPI-ESM-LR_historical.csv</v>
      </c>
      <c r="U103" s="16" t="str">
        <f t="shared" si="61"/>
        <v>init/env_grid_CLUSTER11_REPL2.asc</v>
      </c>
      <c r="V103" s="16" t="str">
        <f t="shared" si="62"/>
        <v>init/env_grid_CLUSTER11_REPL2.asc</v>
      </c>
      <c r="W103" s="16" t="str">
        <f t="shared" si="63"/>
        <v>trees_CLUSTER11.csv</v>
      </c>
      <c r="X103" s="16" t="str">
        <f t="shared" si="64"/>
        <v>saplings_CLUSTER11.csv</v>
      </c>
      <c r="Y103" s="16">
        <f t="shared" si="65"/>
        <v>350</v>
      </c>
      <c r="Z103" s="16" t="str">
        <f t="shared" si="66"/>
        <v>abe/no_mgmt.csv</v>
      </c>
      <c r="AA103" s="16" t="str">
        <f t="shared" si="67"/>
        <v>gis/WindModifier_cl11.asc</v>
      </c>
      <c r="AB103" s="16">
        <f t="shared" si="68"/>
        <v>6.8500009999999999E-4</v>
      </c>
      <c r="AC103" s="16" t="str">
        <f t="shared" si="69"/>
        <v>MPI-M-MPI-ESM-LR_historical_point29711</v>
      </c>
      <c r="AD103" s="16" t="str">
        <f t="shared" si="70"/>
        <v>wind_Events/Scaled_cl11_repl2.txt</v>
      </c>
      <c r="AE103" s="16" t="str">
        <f t="shared" si="71"/>
        <v>MPI-M-MPI-ESM-LR_Scaled_Cluster11_repl2</v>
      </c>
      <c r="AF103" s="21" t="s">
        <v>590</v>
      </c>
      <c r="AG103" s="21" t="s">
        <v>591</v>
      </c>
    </row>
    <row r="104" spans="1:33" ht="13.8">
      <c r="A104" s="7" t="str">
        <f t="shared" si="54"/>
        <v>MPI-M-MPI-ESM-LR_Scaled_Cluster11_repl3</v>
      </c>
      <c r="B104" s="8" t="s">
        <v>16</v>
      </c>
      <c r="C104" s="8" t="s">
        <v>54</v>
      </c>
      <c r="D104" s="9" t="s">
        <v>17</v>
      </c>
      <c r="E104" s="9" t="str">
        <f t="shared" si="55"/>
        <v>historical</v>
      </c>
      <c r="F104" s="8">
        <v>350</v>
      </c>
      <c r="G104" s="8" t="s">
        <v>63</v>
      </c>
      <c r="H104" s="8">
        <v>2</v>
      </c>
      <c r="I104" s="19">
        <v>6.8499999999999995E-4</v>
      </c>
      <c r="J104" s="8">
        <v>11</v>
      </c>
      <c r="K104" s="8" t="s">
        <v>165</v>
      </c>
      <c r="L104" s="8">
        <v>3</v>
      </c>
      <c r="M104" s="8">
        <v>1</v>
      </c>
      <c r="N104" s="10" t="s">
        <v>21</v>
      </c>
      <c r="O104" s="17" t="s">
        <v>328</v>
      </c>
      <c r="P104" s="10" t="str">
        <f t="shared" si="56"/>
        <v>MPI-M-MPI-ESM-LR_Scaled_Cluster11_repl3.sqlite</v>
      </c>
      <c r="Q104" s="11">
        <f t="shared" si="57"/>
        <v>8</v>
      </c>
      <c r="R104" s="16" t="str">
        <f t="shared" si="58"/>
        <v>climate_db_MPI-M-MPI-ESM-LR_historical_v4.sqlite</v>
      </c>
      <c r="S104" s="16" t="str">
        <f t="shared" si="59"/>
        <v>log/MPI-M-MPI-ESM-LR_Scaled_Cluster11_repl3.txt</v>
      </c>
      <c r="T104" s="16" t="str">
        <f t="shared" si="60"/>
        <v>init/env_file_CLUSTER11_REPL3_MPI-M-MPI-ESM-LR_historical.csv</v>
      </c>
      <c r="U104" s="16" t="str">
        <f t="shared" si="61"/>
        <v>init/env_grid_CLUSTER11_REPL3.asc</v>
      </c>
      <c r="V104" s="16" t="str">
        <f t="shared" si="62"/>
        <v>init/env_grid_CLUSTER11_REPL3.asc</v>
      </c>
      <c r="W104" s="16" t="str">
        <f t="shared" si="63"/>
        <v>trees_CLUSTER11.csv</v>
      </c>
      <c r="X104" s="16" t="str">
        <f t="shared" si="64"/>
        <v>saplings_CLUSTER11.csv</v>
      </c>
      <c r="Y104" s="16">
        <f t="shared" si="65"/>
        <v>350</v>
      </c>
      <c r="Z104" s="16" t="str">
        <f t="shared" si="66"/>
        <v>abe/no_mgmt.csv</v>
      </c>
      <c r="AA104" s="16" t="str">
        <f t="shared" si="67"/>
        <v>gis/WindModifier_cl11.asc</v>
      </c>
      <c r="AB104" s="16">
        <f t="shared" si="68"/>
        <v>6.8500009999999999E-4</v>
      </c>
      <c r="AC104" s="16" t="str">
        <f t="shared" si="69"/>
        <v>MPI-M-MPI-ESM-LR_historical_point29711</v>
      </c>
      <c r="AD104" s="16" t="str">
        <f t="shared" si="70"/>
        <v>wind_Events/Scaled_cl11_repl3.txt</v>
      </c>
      <c r="AE104" s="16" t="str">
        <f t="shared" si="71"/>
        <v>MPI-M-MPI-ESM-LR_Scaled_Cluster11_repl3</v>
      </c>
      <c r="AF104" s="21" t="s">
        <v>592</v>
      </c>
      <c r="AG104" s="21" t="s">
        <v>593</v>
      </c>
    </row>
    <row r="105" spans="1:33" ht="13.8">
      <c r="A105" s="7" t="str">
        <f t="shared" si="54"/>
        <v>MPI-M-MPI-ESM-LR_Scaled_Cluster11_repl4</v>
      </c>
      <c r="B105" s="8" t="s">
        <v>16</v>
      </c>
      <c r="C105" s="8" t="s">
        <v>54</v>
      </c>
      <c r="D105" s="9" t="s">
        <v>17</v>
      </c>
      <c r="E105" s="9" t="str">
        <f t="shared" si="55"/>
        <v>historical</v>
      </c>
      <c r="F105" s="8">
        <v>350</v>
      </c>
      <c r="G105" s="8" t="s">
        <v>63</v>
      </c>
      <c r="H105" s="8">
        <v>2</v>
      </c>
      <c r="I105" s="19">
        <v>6.8499999999999995E-4</v>
      </c>
      <c r="J105" s="8">
        <v>11</v>
      </c>
      <c r="K105" s="8" t="s">
        <v>165</v>
      </c>
      <c r="L105" s="8">
        <v>4</v>
      </c>
      <c r="M105" s="8">
        <v>1</v>
      </c>
      <c r="N105" s="10" t="s">
        <v>21</v>
      </c>
      <c r="O105" s="17" t="s">
        <v>328</v>
      </c>
      <c r="P105" s="10" t="str">
        <f t="shared" si="56"/>
        <v>MPI-M-MPI-ESM-LR_Scaled_Cluster11_repl4.sqlite</v>
      </c>
      <c r="Q105" s="11">
        <f t="shared" si="57"/>
        <v>11</v>
      </c>
      <c r="R105" s="16" t="str">
        <f t="shared" si="58"/>
        <v>climate_db_MPI-M-MPI-ESM-LR_historical_v4.sqlite</v>
      </c>
      <c r="S105" s="16" t="str">
        <f t="shared" si="59"/>
        <v>log/MPI-M-MPI-ESM-LR_Scaled_Cluster11_repl4.txt</v>
      </c>
      <c r="T105" s="16" t="str">
        <f t="shared" si="60"/>
        <v>init/env_file_CLUSTER11_REPL4_MPI-M-MPI-ESM-LR_historical.csv</v>
      </c>
      <c r="U105" s="16" t="str">
        <f t="shared" si="61"/>
        <v>init/env_grid_CLUSTER11_REPL4.asc</v>
      </c>
      <c r="V105" s="16" t="str">
        <f t="shared" si="62"/>
        <v>init/env_grid_CLUSTER11_REPL4.asc</v>
      </c>
      <c r="W105" s="16" t="str">
        <f t="shared" si="63"/>
        <v>trees_CLUSTER11.csv</v>
      </c>
      <c r="X105" s="16" t="str">
        <f t="shared" si="64"/>
        <v>saplings_CLUSTER11.csv</v>
      </c>
      <c r="Y105" s="16">
        <f t="shared" si="65"/>
        <v>350</v>
      </c>
      <c r="Z105" s="16" t="str">
        <f t="shared" si="66"/>
        <v>abe/no_mgmt.csv</v>
      </c>
      <c r="AA105" s="16" t="str">
        <f t="shared" si="67"/>
        <v>gis/WindModifier_cl11.asc</v>
      </c>
      <c r="AB105" s="16">
        <f t="shared" si="68"/>
        <v>6.8500009999999999E-4</v>
      </c>
      <c r="AC105" s="16" t="str">
        <f t="shared" si="69"/>
        <v>MPI-M-MPI-ESM-LR_historical_point29711</v>
      </c>
      <c r="AD105" s="16" t="str">
        <f t="shared" si="70"/>
        <v>wind_Events/Scaled_cl11_repl4.txt</v>
      </c>
      <c r="AE105" s="16" t="str">
        <f t="shared" si="71"/>
        <v>MPI-M-MPI-ESM-LR_Scaled_Cluster11_repl4</v>
      </c>
      <c r="AF105" s="21" t="s">
        <v>594</v>
      </c>
      <c r="AG105" s="21" t="s">
        <v>595</v>
      </c>
    </row>
    <row r="106" spans="1:33" ht="13.8">
      <c r="A106" s="7" t="str">
        <f t="shared" si="54"/>
        <v>MPI-M-MPI-ESM-LR_Scaled_Cluster11_repl5</v>
      </c>
      <c r="B106" s="8" t="s">
        <v>16</v>
      </c>
      <c r="C106" s="8" t="s">
        <v>54</v>
      </c>
      <c r="D106" s="9" t="s">
        <v>17</v>
      </c>
      <c r="E106" s="9" t="str">
        <f t="shared" si="55"/>
        <v>historical</v>
      </c>
      <c r="F106" s="8">
        <v>350</v>
      </c>
      <c r="G106" s="8" t="s">
        <v>63</v>
      </c>
      <c r="H106" s="8">
        <v>2</v>
      </c>
      <c r="I106" s="19">
        <v>6.8499999999999995E-4</v>
      </c>
      <c r="J106" s="8">
        <v>11</v>
      </c>
      <c r="K106" s="8" t="s">
        <v>165</v>
      </c>
      <c r="L106" s="8">
        <v>5</v>
      </c>
      <c r="M106" s="8">
        <v>1</v>
      </c>
      <c r="N106" s="10" t="s">
        <v>21</v>
      </c>
      <c r="O106" s="17" t="s">
        <v>328</v>
      </c>
      <c r="P106" s="10" t="str">
        <f t="shared" si="56"/>
        <v>MPI-M-MPI-ESM-LR_Scaled_Cluster11_repl5.sqlite</v>
      </c>
      <c r="Q106" s="11">
        <f t="shared" si="57"/>
        <v>14</v>
      </c>
      <c r="R106" s="16" t="str">
        <f t="shared" si="58"/>
        <v>climate_db_MPI-M-MPI-ESM-LR_historical_v4.sqlite</v>
      </c>
      <c r="S106" s="16" t="str">
        <f t="shared" si="59"/>
        <v>log/MPI-M-MPI-ESM-LR_Scaled_Cluster11_repl5.txt</v>
      </c>
      <c r="T106" s="16" t="str">
        <f t="shared" si="60"/>
        <v>init/env_file_CLUSTER11_REPL5_MPI-M-MPI-ESM-LR_historical.csv</v>
      </c>
      <c r="U106" s="16" t="str">
        <f t="shared" si="61"/>
        <v>init/env_grid_CLUSTER11_REPL5.asc</v>
      </c>
      <c r="V106" s="16" t="str">
        <f t="shared" si="62"/>
        <v>init/env_grid_CLUSTER11_REPL5.asc</v>
      </c>
      <c r="W106" s="16" t="str">
        <f t="shared" si="63"/>
        <v>trees_CLUSTER11.csv</v>
      </c>
      <c r="X106" s="16" t="str">
        <f t="shared" si="64"/>
        <v>saplings_CLUSTER11.csv</v>
      </c>
      <c r="Y106" s="16">
        <f t="shared" si="65"/>
        <v>350</v>
      </c>
      <c r="Z106" s="16" t="str">
        <f t="shared" si="66"/>
        <v>abe/no_mgmt.csv</v>
      </c>
      <c r="AA106" s="16" t="str">
        <f t="shared" si="67"/>
        <v>gis/WindModifier_cl11.asc</v>
      </c>
      <c r="AB106" s="16">
        <f t="shared" si="68"/>
        <v>6.8500009999999999E-4</v>
      </c>
      <c r="AC106" s="16" t="str">
        <f t="shared" si="69"/>
        <v>MPI-M-MPI-ESM-LR_historical_point29711</v>
      </c>
      <c r="AD106" s="16" t="str">
        <f t="shared" si="70"/>
        <v>wind_Events/Scaled_cl11_repl5.txt</v>
      </c>
      <c r="AE106" s="16" t="str">
        <f t="shared" si="71"/>
        <v>MPI-M-MPI-ESM-LR_Scaled_Cluster11_repl5</v>
      </c>
      <c r="AF106" s="21" t="s">
        <v>596</v>
      </c>
      <c r="AG106" s="21" t="s">
        <v>597</v>
      </c>
    </row>
    <row r="107" spans="1:33" ht="13.8">
      <c r="A107" s="7" t="str">
        <f t="shared" si="54"/>
        <v>MPI-M-MPI-ESM-LR_Scaled_Cluster12_repl1</v>
      </c>
      <c r="B107" s="8" t="s">
        <v>16</v>
      </c>
      <c r="C107" s="8" t="s">
        <v>54</v>
      </c>
      <c r="D107" s="9" t="s">
        <v>17</v>
      </c>
      <c r="E107" s="9" t="str">
        <f t="shared" si="55"/>
        <v>historical</v>
      </c>
      <c r="F107" s="8">
        <v>350</v>
      </c>
      <c r="G107" s="8" t="s">
        <v>63</v>
      </c>
      <c r="H107" s="8">
        <v>2</v>
      </c>
      <c r="I107" s="19">
        <v>6.8499999999999995E-4</v>
      </c>
      <c r="J107" s="8">
        <v>12</v>
      </c>
      <c r="K107" s="8" t="s">
        <v>166</v>
      </c>
      <c r="L107" s="8">
        <v>1</v>
      </c>
      <c r="M107" s="8">
        <v>1</v>
      </c>
      <c r="N107" s="10" t="s">
        <v>21</v>
      </c>
      <c r="O107" s="17" t="s">
        <v>328</v>
      </c>
      <c r="P107" s="10" t="str">
        <f t="shared" si="56"/>
        <v>MPI-M-MPI-ESM-LR_Scaled_Cluster12_repl1.sqlite</v>
      </c>
      <c r="Q107" s="11">
        <f t="shared" si="57"/>
        <v>2</v>
      </c>
      <c r="R107" s="16" t="str">
        <f t="shared" si="58"/>
        <v>climate_db_MPI-M-MPI-ESM-LR_historical_v4.sqlite</v>
      </c>
      <c r="S107" s="16" t="str">
        <f t="shared" si="59"/>
        <v>log/MPI-M-MPI-ESM-LR_Scaled_Cluster12_repl1.txt</v>
      </c>
      <c r="T107" s="16" t="str">
        <f t="shared" si="60"/>
        <v>init/env_file_CLUSTER12_REPL1_MPI-M-MPI-ESM-LR_historical.csv</v>
      </c>
      <c r="U107" s="16" t="str">
        <f t="shared" si="61"/>
        <v>init/env_grid_CLUSTER12_REPL1.asc</v>
      </c>
      <c r="V107" s="16" t="str">
        <f t="shared" si="62"/>
        <v>init/env_grid_CLUSTER12_REPL1.asc</v>
      </c>
      <c r="W107" s="16" t="str">
        <f t="shared" si="63"/>
        <v>trees_CLUSTER12.csv</v>
      </c>
      <c r="X107" s="16" t="str">
        <f t="shared" si="64"/>
        <v>saplings_CLUSTER12.csv</v>
      </c>
      <c r="Y107" s="16">
        <f t="shared" si="65"/>
        <v>350</v>
      </c>
      <c r="Z107" s="16" t="str">
        <f t="shared" si="66"/>
        <v>abe/no_mgmt.csv</v>
      </c>
      <c r="AA107" s="16" t="str">
        <f t="shared" si="67"/>
        <v>gis/WindModifier_cl12.asc</v>
      </c>
      <c r="AB107" s="16">
        <f t="shared" si="68"/>
        <v>6.8500009999999999E-4</v>
      </c>
      <c r="AC107" s="16" t="str">
        <f t="shared" si="69"/>
        <v>MPI-M-MPI-ESM-LR_historical_point32670</v>
      </c>
      <c r="AD107" s="16" t="str">
        <f t="shared" si="70"/>
        <v>wind_Events/Scaled_cl12_repl1.txt</v>
      </c>
      <c r="AE107" s="16" t="str">
        <f t="shared" si="71"/>
        <v>MPI-M-MPI-ESM-LR_Scaled_Cluster12_repl1</v>
      </c>
      <c r="AF107" s="21" t="s">
        <v>377</v>
      </c>
      <c r="AG107" s="21" t="s">
        <v>378</v>
      </c>
    </row>
    <row r="108" spans="1:33" ht="13.8">
      <c r="A108" s="7" t="str">
        <f t="shared" si="54"/>
        <v>MPI-M-MPI-ESM-LR_Scaled_Cluster12_repl2</v>
      </c>
      <c r="B108" s="8" t="s">
        <v>16</v>
      </c>
      <c r="C108" s="8" t="s">
        <v>54</v>
      </c>
      <c r="D108" s="9" t="s">
        <v>17</v>
      </c>
      <c r="E108" s="9" t="str">
        <f t="shared" si="55"/>
        <v>historical</v>
      </c>
      <c r="F108" s="8">
        <v>350</v>
      </c>
      <c r="G108" s="8" t="s">
        <v>63</v>
      </c>
      <c r="H108" s="8">
        <v>2</v>
      </c>
      <c r="I108" s="19">
        <v>6.8499999999999995E-4</v>
      </c>
      <c r="J108" s="8">
        <v>12</v>
      </c>
      <c r="K108" s="8" t="s">
        <v>166</v>
      </c>
      <c r="L108" s="8">
        <v>2</v>
      </c>
      <c r="M108" s="8">
        <v>1</v>
      </c>
      <c r="N108" s="10" t="s">
        <v>21</v>
      </c>
      <c r="O108" s="17" t="s">
        <v>328</v>
      </c>
      <c r="P108" s="10" t="str">
        <f t="shared" si="56"/>
        <v>MPI-M-MPI-ESM-LR_Scaled_Cluster12_repl2.sqlite</v>
      </c>
      <c r="Q108" s="11">
        <f t="shared" si="57"/>
        <v>5</v>
      </c>
      <c r="R108" s="16" t="str">
        <f t="shared" si="58"/>
        <v>climate_db_MPI-M-MPI-ESM-LR_historical_v4.sqlite</v>
      </c>
      <c r="S108" s="16" t="str">
        <f t="shared" si="59"/>
        <v>log/MPI-M-MPI-ESM-LR_Scaled_Cluster12_repl2.txt</v>
      </c>
      <c r="T108" s="16" t="str">
        <f t="shared" si="60"/>
        <v>init/env_file_CLUSTER12_REPL2_MPI-M-MPI-ESM-LR_historical.csv</v>
      </c>
      <c r="U108" s="16" t="str">
        <f t="shared" si="61"/>
        <v>init/env_grid_CLUSTER12_REPL2.asc</v>
      </c>
      <c r="V108" s="16" t="str">
        <f t="shared" si="62"/>
        <v>init/env_grid_CLUSTER12_REPL2.asc</v>
      </c>
      <c r="W108" s="16" t="str">
        <f t="shared" si="63"/>
        <v>trees_CLUSTER12.csv</v>
      </c>
      <c r="X108" s="16" t="str">
        <f t="shared" si="64"/>
        <v>saplings_CLUSTER12.csv</v>
      </c>
      <c r="Y108" s="16">
        <f t="shared" si="65"/>
        <v>350</v>
      </c>
      <c r="Z108" s="16" t="str">
        <f t="shared" si="66"/>
        <v>abe/no_mgmt.csv</v>
      </c>
      <c r="AA108" s="16" t="str">
        <f t="shared" si="67"/>
        <v>gis/WindModifier_cl12.asc</v>
      </c>
      <c r="AB108" s="16">
        <f t="shared" si="68"/>
        <v>6.8500009999999999E-4</v>
      </c>
      <c r="AC108" s="16" t="str">
        <f t="shared" si="69"/>
        <v>MPI-M-MPI-ESM-LR_historical_point32670</v>
      </c>
      <c r="AD108" s="16" t="str">
        <f t="shared" si="70"/>
        <v>wind_Events/Scaled_cl12_repl2.txt</v>
      </c>
      <c r="AE108" s="16" t="str">
        <f t="shared" si="71"/>
        <v>MPI-M-MPI-ESM-LR_Scaled_Cluster12_repl2</v>
      </c>
      <c r="AF108" s="21" t="s">
        <v>598</v>
      </c>
      <c r="AG108" s="21" t="s">
        <v>599</v>
      </c>
    </row>
    <row r="109" spans="1:33" ht="13.8">
      <c r="A109" s="7" t="str">
        <f t="shared" si="54"/>
        <v>MPI-M-MPI-ESM-LR_Scaled_Cluster12_repl3</v>
      </c>
      <c r="B109" s="8" t="s">
        <v>16</v>
      </c>
      <c r="C109" s="8" t="s">
        <v>54</v>
      </c>
      <c r="D109" s="9" t="s">
        <v>17</v>
      </c>
      <c r="E109" s="9" t="str">
        <f t="shared" si="55"/>
        <v>historical</v>
      </c>
      <c r="F109" s="8">
        <v>350</v>
      </c>
      <c r="G109" s="8" t="s">
        <v>63</v>
      </c>
      <c r="H109" s="8">
        <v>2</v>
      </c>
      <c r="I109" s="19">
        <v>6.8499999999999995E-4</v>
      </c>
      <c r="J109" s="8">
        <v>12</v>
      </c>
      <c r="K109" s="8" t="s">
        <v>166</v>
      </c>
      <c r="L109" s="8">
        <v>3</v>
      </c>
      <c r="M109" s="8">
        <v>1</v>
      </c>
      <c r="N109" s="10" t="s">
        <v>21</v>
      </c>
      <c r="O109" s="17" t="s">
        <v>328</v>
      </c>
      <c r="P109" s="10" t="str">
        <f t="shared" si="56"/>
        <v>MPI-M-MPI-ESM-LR_Scaled_Cluster12_repl3.sqlite</v>
      </c>
      <c r="Q109" s="11">
        <f t="shared" si="57"/>
        <v>8</v>
      </c>
      <c r="R109" s="16" t="str">
        <f t="shared" si="58"/>
        <v>climate_db_MPI-M-MPI-ESM-LR_historical_v4.sqlite</v>
      </c>
      <c r="S109" s="16" t="str">
        <f t="shared" si="59"/>
        <v>log/MPI-M-MPI-ESM-LR_Scaled_Cluster12_repl3.txt</v>
      </c>
      <c r="T109" s="16" t="str">
        <f t="shared" si="60"/>
        <v>init/env_file_CLUSTER12_REPL3_MPI-M-MPI-ESM-LR_historical.csv</v>
      </c>
      <c r="U109" s="16" t="str">
        <f t="shared" si="61"/>
        <v>init/env_grid_CLUSTER12_REPL3.asc</v>
      </c>
      <c r="V109" s="16" t="str">
        <f t="shared" si="62"/>
        <v>init/env_grid_CLUSTER12_REPL3.asc</v>
      </c>
      <c r="W109" s="16" t="str">
        <f t="shared" si="63"/>
        <v>trees_CLUSTER12.csv</v>
      </c>
      <c r="X109" s="16" t="str">
        <f t="shared" si="64"/>
        <v>saplings_CLUSTER12.csv</v>
      </c>
      <c r="Y109" s="16">
        <f t="shared" si="65"/>
        <v>350</v>
      </c>
      <c r="Z109" s="16" t="str">
        <f t="shared" si="66"/>
        <v>abe/no_mgmt.csv</v>
      </c>
      <c r="AA109" s="16" t="str">
        <f t="shared" si="67"/>
        <v>gis/WindModifier_cl12.asc</v>
      </c>
      <c r="AB109" s="16">
        <f t="shared" si="68"/>
        <v>6.8500009999999999E-4</v>
      </c>
      <c r="AC109" s="16" t="str">
        <f t="shared" si="69"/>
        <v>MPI-M-MPI-ESM-LR_historical_point32670</v>
      </c>
      <c r="AD109" s="16" t="str">
        <f t="shared" si="70"/>
        <v>wind_Events/Scaled_cl12_repl3.txt</v>
      </c>
      <c r="AE109" s="16" t="str">
        <f t="shared" si="71"/>
        <v>MPI-M-MPI-ESM-LR_Scaled_Cluster12_repl3</v>
      </c>
      <c r="AF109" s="21" t="s">
        <v>600</v>
      </c>
      <c r="AG109" s="21" t="s">
        <v>601</v>
      </c>
    </row>
    <row r="110" spans="1:33" ht="13.8">
      <c r="A110" s="7" t="str">
        <f t="shared" si="54"/>
        <v>MPI-M-MPI-ESM-LR_Scaled_Cluster12_repl4</v>
      </c>
      <c r="B110" s="8" t="s">
        <v>16</v>
      </c>
      <c r="C110" s="8" t="s">
        <v>54</v>
      </c>
      <c r="D110" s="9" t="s">
        <v>17</v>
      </c>
      <c r="E110" s="9" t="str">
        <f t="shared" si="55"/>
        <v>historical</v>
      </c>
      <c r="F110" s="8">
        <v>350</v>
      </c>
      <c r="G110" s="8" t="s">
        <v>63</v>
      </c>
      <c r="H110" s="8">
        <v>2</v>
      </c>
      <c r="I110" s="19">
        <v>6.8499999999999995E-4</v>
      </c>
      <c r="J110" s="8">
        <v>12</v>
      </c>
      <c r="K110" s="8" t="s">
        <v>166</v>
      </c>
      <c r="L110" s="8">
        <v>4</v>
      </c>
      <c r="M110" s="8">
        <v>1</v>
      </c>
      <c r="N110" s="10" t="s">
        <v>21</v>
      </c>
      <c r="O110" s="17" t="s">
        <v>328</v>
      </c>
      <c r="P110" s="10" t="str">
        <f t="shared" si="56"/>
        <v>MPI-M-MPI-ESM-LR_Scaled_Cluster12_repl4.sqlite</v>
      </c>
      <c r="Q110" s="11">
        <f t="shared" si="57"/>
        <v>11</v>
      </c>
      <c r="R110" s="16" t="str">
        <f t="shared" si="58"/>
        <v>climate_db_MPI-M-MPI-ESM-LR_historical_v4.sqlite</v>
      </c>
      <c r="S110" s="16" t="str">
        <f t="shared" si="59"/>
        <v>log/MPI-M-MPI-ESM-LR_Scaled_Cluster12_repl4.txt</v>
      </c>
      <c r="T110" s="16" t="str">
        <f t="shared" si="60"/>
        <v>init/env_file_CLUSTER12_REPL4_MPI-M-MPI-ESM-LR_historical.csv</v>
      </c>
      <c r="U110" s="16" t="str">
        <f t="shared" si="61"/>
        <v>init/env_grid_CLUSTER12_REPL4.asc</v>
      </c>
      <c r="V110" s="16" t="str">
        <f t="shared" si="62"/>
        <v>init/env_grid_CLUSTER12_REPL4.asc</v>
      </c>
      <c r="W110" s="16" t="str">
        <f t="shared" si="63"/>
        <v>trees_CLUSTER12.csv</v>
      </c>
      <c r="X110" s="16" t="str">
        <f t="shared" si="64"/>
        <v>saplings_CLUSTER12.csv</v>
      </c>
      <c r="Y110" s="16">
        <f t="shared" si="65"/>
        <v>350</v>
      </c>
      <c r="Z110" s="16" t="str">
        <f t="shared" si="66"/>
        <v>abe/no_mgmt.csv</v>
      </c>
      <c r="AA110" s="16" t="str">
        <f t="shared" si="67"/>
        <v>gis/WindModifier_cl12.asc</v>
      </c>
      <c r="AB110" s="16">
        <f t="shared" si="68"/>
        <v>6.8500009999999999E-4</v>
      </c>
      <c r="AC110" s="16" t="str">
        <f t="shared" si="69"/>
        <v>MPI-M-MPI-ESM-LR_historical_point32670</v>
      </c>
      <c r="AD110" s="16" t="str">
        <f t="shared" si="70"/>
        <v>wind_Events/Scaled_cl12_repl4.txt</v>
      </c>
      <c r="AE110" s="16" t="str">
        <f t="shared" si="71"/>
        <v>MPI-M-MPI-ESM-LR_Scaled_Cluster12_repl4</v>
      </c>
      <c r="AF110" s="21" t="s">
        <v>602</v>
      </c>
      <c r="AG110" s="21" t="s">
        <v>603</v>
      </c>
    </row>
    <row r="111" spans="1:33" ht="13.8">
      <c r="A111" s="7" t="str">
        <f t="shared" si="54"/>
        <v>MPI-M-MPI-ESM-LR_Scaled_Cluster12_repl5</v>
      </c>
      <c r="B111" s="8" t="s">
        <v>16</v>
      </c>
      <c r="C111" s="8" t="s">
        <v>54</v>
      </c>
      <c r="D111" s="9" t="s">
        <v>17</v>
      </c>
      <c r="E111" s="9" t="str">
        <f t="shared" si="55"/>
        <v>historical</v>
      </c>
      <c r="F111" s="8">
        <v>350</v>
      </c>
      <c r="G111" s="8" t="s">
        <v>63</v>
      </c>
      <c r="H111" s="8">
        <v>2</v>
      </c>
      <c r="I111" s="19">
        <v>6.8499999999999995E-4</v>
      </c>
      <c r="J111" s="8">
        <v>12</v>
      </c>
      <c r="K111" s="8" t="s">
        <v>166</v>
      </c>
      <c r="L111" s="8">
        <v>5</v>
      </c>
      <c r="M111" s="8">
        <v>1</v>
      </c>
      <c r="N111" s="10" t="s">
        <v>21</v>
      </c>
      <c r="O111" s="17" t="s">
        <v>328</v>
      </c>
      <c r="P111" s="10" t="str">
        <f t="shared" si="56"/>
        <v>MPI-M-MPI-ESM-LR_Scaled_Cluster12_repl5.sqlite</v>
      </c>
      <c r="Q111" s="11">
        <f t="shared" si="57"/>
        <v>14</v>
      </c>
      <c r="R111" s="16" t="str">
        <f t="shared" si="58"/>
        <v>climate_db_MPI-M-MPI-ESM-LR_historical_v4.sqlite</v>
      </c>
      <c r="S111" s="16" t="str">
        <f t="shared" si="59"/>
        <v>log/MPI-M-MPI-ESM-LR_Scaled_Cluster12_repl5.txt</v>
      </c>
      <c r="T111" s="16" t="str">
        <f t="shared" si="60"/>
        <v>init/env_file_CLUSTER12_REPL5_MPI-M-MPI-ESM-LR_historical.csv</v>
      </c>
      <c r="U111" s="16" t="str">
        <f t="shared" si="61"/>
        <v>init/env_grid_CLUSTER12_REPL5.asc</v>
      </c>
      <c r="V111" s="16" t="str">
        <f t="shared" si="62"/>
        <v>init/env_grid_CLUSTER12_REPL5.asc</v>
      </c>
      <c r="W111" s="16" t="str">
        <f t="shared" si="63"/>
        <v>trees_CLUSTER12.csv</v>
      </c>
      <c r="X111" s="16" t="str">
        <f t="shared" si="64"/>
        <v>saplings_CLUSTER12.csv</v>
      </c>
      <c r="Y111" s="16">
        <f t="shared" si="65"/>
        <v>350</v>
      </c>
      <c r="Z111" s="16" t="str">
        <f t="shared" si="66"/>
        <v>abe/no_mgmt.csv</v>
      </c>
      <c r="AA111" s="16" t="str">
        <f t="shared" si="67"/>
        <v>gis/WindModifier_cl12.asc</v>
      </c>
      <c r="AB111" s="16">
        <f t="shared" si="68"/>
        <v>6.8500009999999999E-4</v>
      </c>
      <c r="AC111" s="16" t="str">
        <f t="shared" si="69"/>
        <v>MPI-M-MPI-ESM-LR_historical_point32670</v>
      </c>
      <c r="AD111" s="16" t="str">
        <f t="shared" si="70"/>
        <v>wind_Events/Scaled_cl12_repl5.txt</v>
      </c>
      <c r="AE111" s="16" t="str">
        <f t="shared" si="71"/>
        <v>MPI-M-MPI-ESM-LR_Scaled_Cluster12_repl5</v>
      </c>
      <c r="AF111" s="21" t="s">
        <v>604</v>
      </c>
      <c r="AG111" s="21" t="s">
        <v>605</v>
      </c>
    </row>
    <row r="112" spans="1:33" ht="13.8">
      <c r="A112" s="7" t="str">
        <f t="shared" si="54"/>
        <v>MPI-M-MPI-ESM-LR_Scaled_Cluster13_repl1</v>
      </c>
      <c r="B112" s="8" t="s">
        <v>16</v>
      </c>
      <c r="C112" s="8" t="s">
        <v>54</v>
      </c>
      <c r="D112" s="9" t="s">
        <v>17</v>
      </c>
      <c r="E112" s="9" t="str">
        <f t="shared" si="55"/>
        <v>historical</v>
      </c>
      <c r="F112" s="8">
        <v>350</v>
      </c>
      <c r="G112" s="8" t="s">
        <v>63</v>
      </c>
      <c r="H112" s="8">
        <v>2</v>
      </c>
      <c r="I112" s="19">
        <v>6.8499999999999995E-4</v>
      </c>
      <c r="J112" s="8">
        <v>13</v>
      </c>
      <c r="K112" s="8" t="s">
        <v>167</v>
      </c>
      <c r="L112" s="8">
        <v>1</v>
      </c>
      <c r="M112" s="8">
        <v>1</v>
      </c>
      <c r="N112" s="10" t="s">
        <v>21</v>
      </c>
      <c r="O112" s="17" t="s">
        <v>328</v>
      </c>
      <c r="P112" s="10" t="str">
        <f t="shared" si="56"/>
        <v>MPI-M-MPI-ESM-LR_Scaled_Cluster13_repl1.sqlite</v>
      </c>
      <c r="Q112" s="11">
        <f t="shared" si="57"/>
        <v>2</v>
      </c>
      <c r="R112" s="16" t="str">
        <f t="shared" si="58"/>
        <v>climate_db_MPI-M-MPI-ESM-LR_historical_v4.sqlite</v>
      </c>
      <c r="S112" s="16" t="str">
        <f t="shared" si="59"/>
        <v>log/MPI-M-MPI-ESM-LR_Scaled_Cluster13_repl1.txt</v>
      </c>
      <c r="T112" s="16" t="str">
        <f t="shared" si="60"/>
        <v>init/env_file_CLUSTER13_REPL1_MPI-M-MPI-ESM-LR_historical.csv</v>
      </c>
      <c r="U112" s="16" t="str">
        <f t="shared" si="61"/>
        <v>init/env_grid_CLUSTER13_REPL1.asc</v>
      </c>
      <c r="V112" s="16" t="str">
        <f t="shared" si="62"/>
        <v>init/env_grid_CLUSTER13_REPL1.asc</v>
      </c>
      <c r="W112" s="16" t="str">
        <f t="shared" si="63"/>
        <v>trees_CLUSTER13.csv</v>
      </c>
      <c r="X112" s="16" t="str">
        <f t="shared" si="64"/>
        <v>saplings_CLUSTER13.csv</v>
      </c>
      <c r="Y112" s="16">
        <f t="shared" si="65"/>
        <v>350</v>
      </c>
      <c r="Z112" s="16" t="str">
        <f t="shared" si="66"/>
        <v>abe/no_mgmt.csv</v>
      </c>
      <c r="AA112" s="16" t="str">
        <f t="shared" si="67"/>
        <v>gis/WindModifier_cl13.asc</v>
      </c>
      <c r="AB112" s="16">
        <f t="shared" si="68"/>
        <v>6.8500009999999999E-4</v>
      </c>
      <c r="AC112" s="16" t="str">
        <f t="shared" si="69"/>
        <v>MPI-M-MPI-ESM-LR_historical_point33292</v>
      </c>
      <c r="AD112" s="16" t="str">
        <f t="shared" si="70"/>
        <v>wind_Events/Scaled_cl13_repl1.txt</v>
      </c>
      <c r="AE112" s="16" t="str">
        <f t="shared" si="71"/>
        <v>MPI-M-MPI-ESM-LR_Scaled_Cluster13_repl1</v>
      </c>
      <c r="AF112" s="21" t="s">
        <v>380</v>
      </c>
      <c r="AG112" s="21" t="s">
        <v>381</v>
      </c>
    </row>
    <row r="113" spans="1:33" ht="13.8">
      <c r="A113" s="7" t="str">
        <f t="shared" si="54"/>
        <v>MPI-M-MPI-ESM-LR_Scaled_Cluster13_repl2</v>
      </c>
      <c r="B113" s="8" t="s">
        <v>16</v>
      </c>
      <c r="C113" s="8" t="s">
        <v>54</v>
      </c>
      <c r="D113" s="9" t="s">
        <v>17</v>
      </c>
      <c r="E113" s="9" t="str">
        <f t="shared" si="55"/>
        <v>historical</v>
      </c>
      <c r="F113" s="8">
        <v>350</v>
      </c>
      <c r="G113" s="8" t="s">
        <v>63</v>
      </c>
      <c r="H113" s="8">
        <v>2</v>
      </c>
      <c r="I113" s="19">
        <v>6.8499999999999995E-4</v>
      </c>
      <c r="J113" s="8">
        <v>13</v>
      </c>
      <c r="K113" s="8" t="s">
        <v>167</v>
      </c>
      <c r="L113" s="8">
        <v>2</v>
      </c>
      <c r="M113" s="8">
        <v>1</v>
      </c>
      <c r="N113" s="10" t="s">
        <v>21</v>
      </c>
      <c r="O113" s="17" t="s">
        <v>328</v>
      </c>
      <c r="P113" s="10" t="str">
        <f t="shared" si="56"/>
        <v>MPI-M-MPI-ESM-LR_Scaled_Cluster13_repl2.sqlite</v>
      </c>
      <c r="Q113" s="11">
        <f t="shared" si="57"/>
        <v>5</v>
      </c>
      <c r="R113" s="16" t="str">
        <f t="shared" si="58"/>
        <v>climate_db_MPI-M-MPI-ESM-LR_historical_v4.sqlite</v>
      </c>
      <c r="S113" s="16" t="str">
        <f t="shared" si="59"/>
        <v>log/MPI-M-MPI-ESM-LR_Scaled_Cluster13_repl2.txt</v>
      </c>
      <c r="T113" s="16" t="str">
        <f t="shared" si="60"/>
        <v>init/env_file_CLUSTER13_REPL2_MPI-M-MPI-ESM-LR_historical.csv</v>
      </c>
      <c r="U113" s="16" t="str">
        <f t="shared" si="61"/>
        <v>init/env_grid_CLUSTER13_REPL2.asc</v>
      </c>
      <c r="V113" s="16" t="str">
        <f t="shared" si="62"/>
        <v>init/env_grid_CLUSTER13_REPL2.asc</v>
      </c>
      <c r="W113" s="16" t="str">
        <f t="shared" si="63"/>
        <v>trees_CLUSTER13.csv</v>
      </c>
      <c r="X113" s="16" t="str">
        <f t="shared" si="64"/>
        <v>saplings_CLUSTER13.csv</v>
      </c>
      <c r="Y113" s="16">
        <f t="shared" si="65"/>
        <v>350</v>
      </c>
      <c r="Z113" s="16" t="str">
        <f t="shared" si="66"/>
        <v>abe/no_mgmt.csv</v>
      </c>
      <c r="AA113" s="16" t="str">
        <f t="shared" si="67"/>
        <v>gis/WindModifier_cl13.asc</v>
      </c>
      <c r="AB113" s="16">
        <f t="shared" si="68"/>
        <v>6.8500009999999999E-4</v>
      </c>
      <c r="AC113" s="16" t="str">
        <f t="shared" si="69"/>
        <v>MPI-M-MPI-ESM-LR_historical_point33292</v>
      </c>
      <c r="AD113" s="16" t="str">
        <f t="shared" si="70"/>
        <v>wind_Events/Scaled_cl13_repl2.txt</v>
      </c>
      <c r="AE113" s="16" t="str">
        <f t="shared" si="71"/>
        <v>MPI-M-MPI-ESM-LR_Scaled_Cluster13_repl2</v>
      </c>
      <c r="AF113" s="21" t="s">
        <v>606</v>
      </c>
      <c r="AG113" s="21" t="s">
        <v>607</v>
      </c>
    </row>
    <row r="114" spans="1:33" ht="13.8">
      <c r="A114" s="7" t="str">
        <f t="shared" si="54"/>
        <v>MPI-M-MPI-ESM-LR_Scaled_Cluster13_repl3</v>
      </c>
      <c r="B114" s="8" t="s">
        <v>16</v>
      </c>
      <c r="C114" s="8" t="s">
        <v>54</v>
      </c>
      <c r="D114" s="9" t="s">
        <v>17</v>
      </c>
      <c r="E114" s="9" t="str">
        <f t="shared" si="55"/>
        <v>historical</v>
      </c>
      <c r="F114" s="8">
        <v>350</v>
      </c>
      <c r="G114" s="8" t="s">
        <v>63</v>
      </c>
      <c r="H114" s="8">
        <v>2</v>
      </c>
      <c r="I114" s="19">
        <v>6.8499999999999995E-4</v>
      </c>
      <c r="J114" s="8">
        <v>13</v>
      </c>
      <c r="K114" s="8" t="s">
        <v>167</v>
      </c>
      <c r="L114" s="8">
        <v>3</v>
      </c>
      <c r="M114" s="8">
        <v>1</v>
      </c>
      <c r="N114" s="10" t="s">
        <v>21</v>
      </c>
      <c r="O114" s="17" t="s">
        <v>328</v>
      </c>
      <c r="P114" s="10" t="str">
        <f t="shared" si="56"/>
        <v>MPI-M-MPI-ESM-LR_Scaled_Cluster13_repl3.sqlite</v>
      </c>
      <c r="Q114" s="11">
        <f t="shared" si="57"/>
        <v>8</v>
      </c>
      <c r="R114" s="16" t="str">
        <f t="shared" si="58"/>
        <v>climate_db_MPI-M-MPI-ESM-LR_historical_v4.sqlite</v>
      </c>
      <c r="S114" s="16" t="str">
        <f t="shared" si="59"/>
        <v>log/MPI-M-MPI-ESM-LR_Scaled_Cluster13_repl3.txt</v>
      </c>
      <c r="T114" s="16" t="str">
        <f t="shared" si="60"/>
        <v>init/env_file_CLUSTER13_REPL3_MPI-M-MPI-ESM-LR_historical.csv</v>
      </c>
      <c r="U114" s="16" t="str">
        <f t="shared" si="61"/>
        <v>init/env_grid_CLUSTER13_REPL3.asc</v>
      </c>
      <c r="V114" s="16" t="str">
        <f t="shared" si="62"/>
        <v>init/env_grid_CLUSTER13_REPL3.asc</v>
      </c>
      <c r="W114" s="16" t="str">
        <f t="shared" si="63"/>
        <v>trees_CLUSTER13.csv</v>
      </c>
      <c r="X114" s="16" t="str">
        <f t="shared" si="64"/>
        <v>saplings_CLUSTER13.csv</v>
      </c>
      <c r="Y114" s="16">
        <f t="shared" si="65"/>
        <v>350</v>
      </c>
      <c r="Z114" s="16" t="str">
        <f t="shared" si="66"/>
        <v>abe/no_mgmt.csv</v>
      </c>
      <c r="AA114" s="16" t="str">
        <f t="shared" si="67"/>
        <v>gis/WindModifier_cl13.asc</v>
      </c>
      <c r="AB114" s="16">
        <f t="shared" si="68"/>
        <v>6.8500009999999999E-4</v>
      </c>
      <c r="AC114" s="16" t="str">
        <f t="shared" si="69"/>
        <v>MPI-M-MPI-ESM-LR_historical_point33292</v>
      </c>
      <c r="AD114" s="16" t="str">
        <f t="shared" si="70"/>
        <v>wind_Events/Scaled_cl13_repl3.txt</v>
      </c>
      <c r="AE114" s="16" t="str">
        <f t="shared" si="71"/>
        <v>MPI-M-MPI-ESM-LR_Scaled_Cluster13_repl3</v>
      </c>
      <c r="AF114" s="21" t="s">
        <v>608</v>
      </c>
      <c r="AG114" s="21" t="s">
        <v>609</v>
      </c>
    </row>
    <row r="115" spans="1:33" ht="13.8">
      <c r="A115" s="7" t="str">
        <f t="shared" si="54"/>
        <v>MPI-M-MPI-ESM-LR_Scaled_Cluster13_repl4</v>
      </c>
      <c r="B115" s="8" t="s">
        <v>16</v>
      </c>
      <c r="C115" s="8" t="s">
        <v>54</v>
      </c>
      <c r="D115" s="9" t="s">
        <v>17</v>
      </c>
      <c r="E115" s="9" t="str">
        <f t="shared" si="55"/>
        <v>historical</v>
      </c>
      <c r="F115" s="8">
        <v>350</v>
      </c>
      <c r="G115" s="8" t="s">
        <v>63</v>
      </c>
      <c r="H115" s="8">
        <v>2</v>
      </c>
      <c r="I115" s="19">
        <v>6.8499999999999995E-4</v>
      </c>
      <c r="J115" s="8">
        <v>13</v>
      </c>
      <c r="K115" s="8" t="s">
        <v>167</v>
      </c>
      <c r="L115" s="8">
        <v>4</v>
      </c>
      <c r="M115" s="8">
        <v>1</v>
      </c>
      <c r="N115" s="10" t="s">
        <v>21</v>
      </c>
      <c r="O115" s="17" t="s">
        <v>328</v>
      </c>
      <c r="P115" s="10" t="str">
        <f t="shared" si="56"/>
        <v>MPI-M-MPI-ESM-LR_Scaled_Cluster13_repl4.sqlite</v>
      </c>
      <c r="Q115" s="11">
        <f t="shared" si="57"/>
        <v>11</v>
      </c>
      <c r="R115" s="16" t="str">
        <f t="shared" si="58"/>
        <v>climate_db_MPI-M-MPI-ESM-LR_historical_v4.sqlite</v>
      </c>
      <c r="S115" s="16" t="str">
        <f t="shared" si="59"/>
        <v>log/MPI-M-MPI-ESM-LR_Scaled_Cluster13_repl4.txt</v>
      </c>
      <c r="T115" s="16" t="str">
        <f t="shared" si="60"/>
        <v>init/env_file_CLUSTER13_REPL4_MPI-M-MPI-ESM-LR_historical.csv</v>
      </c>
      <c r="U115" s="16" t="str">
        <f t="shared" si="61"/>
        <v>init/env_grid_CLUSTER13_REPL4.asc</v>
      </c>
      <c r="V115" s="16" t="str">
        <f t="shared" si="62"/>
        <v>init/env_grid_CLUSTER13_REPL4.asc</v>
      </c>
      <c r="W115" s="16" t="str">
        <f t="shared" si="63"/>
        <v>trees_CLUSTER13.csv</v>
      </c>
      <c r="X115" s="16" t="str">
        <f t="shared" si="64"/>
        <v>saplings_CLUSTER13.csv</v>
      </c>
      <c r="Y115" s="16">
        <f t="shared" si="65"/>
        <v>350</v>
      </c>
      <c r="Z115" s="16" t="str">
        <f t="shared" si="66"/>
        <v>abe/no_mgmt.csv</v>
      </c>
      <c r="AA115" s="16" t="str">
        <f t="shared" si="67"/>
        <v>gis/WindModifier_cl13.asc</v>
      </c>
      <c r="AB115" s="16">
        <f t="shared" si="68"/>
        <v>6.8500009999999999E-4</v>
      </c>
      <c r="AC115" s="16" t="str">
        <f t="shared" si="69"/>
        <v>MPI-M-MPI-ESM-LR_historical_point33292</v>
      </c>
      <c r="AD115" s="16" t="str">
        <f t="shared" si="70"/>
        <v>wind_Events/Scaled_cl13_repl4.txt</v>
      </c>
      <c r="AE115" s="16" t="str">
        <f t="shared" si="71"/>
        <v>MPI-M-MPI-ESM-LR_Scaled_Cluster13_repl4</v>
      </c>
      <c r="AF115" s="21" t="s">
        <v>610</v>
      </c>
      <c r="AG115" s="21" t="s">
        <v>611</v>
      </c>
    </row>
    <row r="116" spans="1:33" ht="13.8">
      <c r="A116" s="7" t="str">
        <f t="shared" si="54"/>
        <v>MPI-M-MPI-ESM-LR_Scaled_Cluster13_repl5</v>
      </c>
      <c r="B116" s="8" t="s">
        <v>16</v>
      </c>
      <c r="C116" s="8" t="s">
        <v>54</v>
      </c>
      <c r="D116" s="9" t="s">
        <v>17</v>
      </c>
      <c r="E116" s="9" t="str">
        <f t="shared" si="55"/>
        <v>historical</v>
      </c>
      <c r="F116" s="8">
        <v>350</v>
      </c>
      <c r="G116" s="8" t="s">
        <v>63</v>
      </c>
      <c r="H116" s="8">
        <v>2</v>
      </c>
      <c r="I116" s="19">
        <v>6.8499999999999995E-4</v>
      </c>
      <c r="J116" s="8">
        <v>13</v>
      </c>
      <c r="K116" s="8" t="s">
        <v>167</v>
      </c>
      <c r="L116" s="8">
        <v>5</v>
      </c>
      <c r="M116" s="8">
        <v>1</v>
      </c>
      <c r="N116" s="10" t="s">
        <v>21</v>
      </c>
      <c r="O116" s="17" t="s">
        <v>328</v>
      </c>
      <c r="P116" s="10" t="str">
        <f t="shared" si="56"/>
        <v>MPI-M-MPI-ESM-LR_Scaled_Cluster13_repl5.sqlite</v>
      </c>
      <c r="Q116" s="11">
        <f t="shared" si="57"/>
        <v>14</v>
      </c>
      <c r="R116" s="16" t="str">
        <f t="shared" si="58"/>
        <v>climate_db_MPI-M-MPI-ESM-LR_historical_v4.sqlite</v>
      </c>
      <c r="S116" s="16" t="str">
        <f t="shared" si="59"/>
        <v>log/MPI-M-MPI-ESM-LR_Scaled_Cluster13_repl5.txt</v>
      </c>
      <c r="T116" s="16" t="str">
        <f t="shared" si="60"/>
        <v>init/env_file_CLUSTER13_REPL5_MPI-M-MPI-ESM-LR_historical.csv</v>
      </c>
      <c r="U116" s="16" t="str">
        <f t="shared" si="61"/>
        <v>init/env_grid_CLUSTER13_REPL5.asc</v>
      </c>
      <c r="V116" s="16" t="str">
        <f t="shared" si="62"/>
        <v>init/env_grid_CLUSTER13_REPL5.asc</v>
      </c>
      <c r="W116" s="16" t="str">
        <f t="shared" si="63"/>
        <v>trees_CLUSTER13.csv</v>
      </c>
      <c r="X116" s="16" t="str">
        <f t="shared" si="64"/>
        <v>saplings_CLUSTER13.csv</v>
      </c>
      <c r="Y116" s="16">
        <f t="shared" si="65"/>
        <v>350</v>
      </c>
      <c r="Z116" s="16" t="str">
        <f t="shared" si="66"/>
        <v>abe/no_mgmt.csv</v>
      </c>
      <c r="AA116" s="16" t="str">
        <f t="shared" si="67"/>
        <v>gis/WindModifier_cl13.asc</v>
      </c>
      <c r="AB116" s="16">
        <f t="shared" si="68"/>
        <v>6.8500009999999999E-4</v>
      </c>
      <c r="AC116" s="16" t="str">
        <f t="shared" si="69"/>
        <v>MPI-M-MPI-ESM-LR_historical_point33292</v>
      </c>
      <c r="AD116" s="16" t="str">
        <f t="shared" si="70"/>
        <v>wind_Events/Scaled_cl13_repl5.txt</v>
      </c>
      <c r="AE116" s="16" t="str">
        <f t="shared" si="71"/>
        <v>MPI-M-MPI-ESM-LR_Scaled_Cluster13_repl5</v>
      </c>
      <c r="AF116" s="21" t="s">
        <v>612</v>
      </c>
      <c r="AG116" s="21" t="s">
        <v>613</v>
      </c>
    </row>
    <row r="117" spans="1:33" ht="13.8">
      <c r="A117" s="7" t="str">
        <f t="shared" si="54"/>
        <v>MPI-M-MPI-ESM-LR_Scaled_Cluster14_repl1</v>
      </c>
      <c r="B117" s="8" t="s">
        <v>16</v>
      </c>
      <c r="C117" s="8" t="s">
        <v>54</v>
      </c>
      <c r="D117" s="9" t="s">
        <v>17</v>
      </c>
      <c r="E117" s="9" t="str">
        <f t="shared" si="55"/>
        <v>historical</v>
      </c>
      <c r="F117" s="8">
        <v>350</v>
      </c>
      <c r="G117" s="8" t="s">
        <v>63</v>
      </c>
      <c r="H117" s="8">
        <v>2</v>
      </c>
      <c r="I117" s="19">
        <v>6.8499999999999995E-4</v>
      </c>
      <c r="J117" s="8">
        <v>14</v>
      </c>
      <c r="K117" s="8" t="s">
        <v>173</v>
      </c>
      <c r="L117" s="8">
        <v>1</v>
      </c>
      <c r="M117" s="8">
        <v>1</v>
      </c>
      <c r="N117" s="10" t="s">
        <v>21</v>
      </c>
      <c r="O117" s="17" t="s">
        <v>328</v>
      </c>
      <c r="P117" s="10" t="str">
        <f t="shared" si="56"/>
        <v>MPI-M-MPI-ESM-LR_Scaled_Cluster14_repl1.sqlite</v>
      </c>
      <c r="Q117" s="11">
        <f t="shared" si="57"/>
        <v>2</v>
      </c>
      <c r="R117" s="16" t="str">
        <f t="shared" si="58"/>
        <v>climate_db_MPI-M-MPI-ESM-LR_historical_v4.sqlite</v>
      </c>
      <c r="S117" s="16" t="str">
        <f t="shared" si="59"/>
        <v>log/MPI-M-MPI-ESM-LR_Scaled_Cluster14_repl1.txt</v>
      </c>
      <c r="T117" s="16" t="str">
        <f t="shared" si="60"/>
        <v>init/env_file_CLUSTER14_REPL1_MPI-M-MPI-ESM-LR_historical.csv</v>
      </c>
      <c r="U117" s="16" t="str">
        <f t="shared" si="61"/>
        <v>init/env_grid_CLUSTER14_REPL1.asc</v>
      </c>
      <c r="V117" s="16" t="str">
        <f t="shared" si="62"/>
        <v>init/env_grid_CLUSTER14_REPL1.asc</v>
      </c>
      <c r="W117" s="16" t="str">
        <f t="shared" si="63"/>
        <v>trees_CLUSTER14.csv</v>
      </c>
      <c r="X117" s="16" t="str">
        <f t="shared" si="64"/>
        <v>saplings_CLUSTER14.csv</v>
      </c>
      <c r="Y117" s="16">
        <f t="shared" si="65"/>
        <v>350</v>
      </c>
      <c r="Z117" s="16" t="str">
        <f t="shared" si="66"/>
        <v>abe/no_mgmt.csv</v>
      </c>
      <c r="AA117" s="16" t="str">
        <f t="shared" si="67"/>
        <v>gis/WindModifier_cl14.asc</v>
      </c>
      <c r="AB117" s="16">
        <f t="shared" si="68"/>
        <v>6.8500009999999999E-4</v>
      </c>
      <c r="AC117" s="16" t="str">
        <f t="shared" si="69"/>
        <v>MPI-M-MPI-ESM-LR_historical_point36494</v>
      </c>
      <c r="AD117" s="16" t="str">
        <f t="shared" si="70"/>
        <v>wind_Events/Scaled_cl14_repl1.txt</v>
      </c>
      <c r="AE117" s="16" t="str">
        <f t="shared" si="71"/>
        <v>MPI-M-MPI-ESM-LR_Scaled_Cluster14_repl1</v>
      </c>
      <c r="AF117" s="21" t="s">
        <v>383</v>
      </c>
      <c r="AG117" s="21" t="s">
        <v>384</v>
      </c>
    </row>
    <row r="118" spans="1:33" ht="13.8">
      <c r="A118" s="7" t="str">
        <f t="shared" si="54"/>
        <v>MPI-M-MPI-ESM-LR_Scaled_Cluster14_repl2</v>
      </c>
      <c r="B118" s="8" t="s">
        <v>16</v>
      </c>
      <c r="C118" s="8" t="s">
        <v>54</v>
      </c>
      <c r="D118" s="9" t="s">
        <v>17</v>
      </c>
      <c r="E118" s="9" t="str">
        <f t="shared" si="55"/>
        <v>historical</v>
      </c>
      <c r="F118" s="8">
        <v>350</v>
      </c>
      <c r="G118" s="8" t="s">
        <v>63</v>
      </c>
      <c r="H118" s="8">
        <v>2</v>
      </c>
      <c r="I118" s="19">
        <v>6.8499999999999995E-4</v>
      </c>
      <c r="J118" s="8">
        <v>14</v>
      </c>
      <c r="K118" s="8" t="s">
        <v>173</v>
      </c>
      <c r="L118" s="8">
        <v>2</v>
      </c>
      <c r="M118" s="8">
        <v>1</v>
      </c>
      <c r="N118" s="10" t="s">
        <v>21</v>
      </c>
      <c r="O118" s="17" t="s">
        <v>328</v>
      </c>
      <c r="P118" s="10" t="str">
        <f t="shared" si="56"/>
        <v>MPI-M-MPI-ESM-LR_Scaled_Cluster14_repl2.sqlite</v>
      </c>
      <c r="Q118" s="11">
        <f t="shared" si="57"/>
        <v>5</v>
      </c>
      <c r="R118" s="16" t="str">
        <f t="shared" si="58"/>
        <v>climate_db_MPI-M-MPI-ESM-LR_historical_v4.sqlite</v>
      </c>
      <c r="S118" s="16" t="str">
        <f t="shared" si="59"/>
        <v>log/MPI-M-MPI-ESM-LR_Scaled_Cluster14_repl2.txt</v>
      </c>
      <c r="T118" s="16" t="str">
        <f t="shared" si="60"/>
        <v>init/env_file_CLUSTER14_REPL2_MPI-M-MPI-ESM-LR_historical.csv</v>
      </c>
      <c r="U118" s="16" t="str">
        <f t="shared" si="61"/>
        <v>init/env_grid_CLUSTER14_REPL2.asc</v>
      </c>
      <c r="V118" s="16" t="str">
        <f t="shared" si="62"/>
        <v>init/env_grid_CLUSTER14_REPL2.asc</v>
      </c>
      <c r="W118" s="16" t="str">
        <f t="shared" si="63"/>
        <v>trees_CLUSTER14.csv</v>
      </c>
      <c r="X118" s="16" t="str">
        <f t="shared" si="64"/>
        <v>saplings_CLUSTER14.csv</v>
      </c>
      <c r="Y118" s="16">
        <f t="shared" si="65"/>
        <v>350</v>
      </c>
      <c r="Z118" s="16" t="str">
        <f t="shared" si="66"/>
        <v>abe/no_mgmt.csv</v>
      </c>
      <c r="AA118" s="16" t="str">
        <f t="shared" si="67"/>
        <v>gis/WindModifier_cl14.asc</v>
      </c>
      <c r="AB118" s="16">
        <f t="shared" si="68"/>
        <v>6.8500009999999999E-4</v>
      </c>
      <c r="AC118" s="16" t="str">
        <f t="shared" si="69"/>
        <v>MPI-M-MPI-ESM-LR_historical_point36494</v>
      </c>
      <c r="AD118" s="16" t="str">
        <f t="shared" si="70"/>
        <v>wind_Events/Scaled_cl14_repl2.txt</v>
      </c>
      <c r="AE118" s="16" t="str">
        <f t="shared" si="71"/>
        <v>MPI-M-MPI-ESM-LR_Scaled_Cluster14_repl2</v>
      </c>
      <c r="AF118" s="21" t="s">
        <v>614</v>
      </c>
      <c r="AG118" s="21" t="s">
        <v>615</v>
      </c>
    </row>
    <row r="119" spans="1:33" ht="13.8">
      <c r="A119" s="7" t="str">
        <f t="shared" si="54"/>
        <v>MPI-M-MPI-ESM-LR_Scaled_Cluster14_repl3</v>
      </c>
      <c r="B119" s="8" t="s">
        <v>16</v>
      </c>
      <c r="C119" s="8" t="s">
        <v>54</v>
      </c>
      <c r="D119" s="9" t="s">
        <v>17</v>
      </c>
      <c r="E119" s="9" t="str">
        <f t="shared" si="55"/>
        <v>historical</v>
      </c>
      <c r="F119" s="8">
        <v>350</v>
      </c>
      <c r="G119" s="8" t="s">
        <v>63</v>
      </c>
      <c r="H119" s="8">
        <v>2</v>
      </c>
      <c r="I119" s="19">
        <v>6.8499999999999995E-4</v>
      </c>
      <c r="J119" s="8">
        <v>14</v>
      </c>
      <c r="K119" s="8" t="s">
        <v>173</v>
      </c>
      <c r="L119" s="8">
        <v>3</v>
      </c>
      <c r="M119" s="8">
        <v>1</v>
      </c>
      <c r="N119" s="10" t="s">
        <v>21</v>
      </c>
      <c r="O119" s="17" t="s">
        <v>328</v>
      </c>
      <c r="P119" s="10" t="str">
        <f t="shared" si="56"/>
        <v>MPI-M-MPI-ESM-LR_Scaled_Cluster14_repl3.sqlite</v>
      </c>
      <c r="Q119" s="11">
        <f t="shared" si="57"/>
        <v>8</v>
      </c>
      <c r="R119" s="16" t="str">
        <f t="shared" si="58"/>
        <v>climate_db_MPI-M-MPI-ESM-LR_historical_v4.sqlite</v>
      </c>
      <c r="S119" s="16" t="str">
        <f t="shared" si="59"/>
        <v>log/MPI-M-MPI-ESM-LR_Scaled_Cluster14_repl3.txt</v>
      </c>
      <c r="T119" s="16" t="str">
        <f t="shared" si="60"/>
        <v>init/env_file_CLUSTER14_REPL3_MPI-M-MPI-ESM-LR_historical.csv</v>
      </c>
      <c r="U119" s="16" t="str">
        <f t="shared" si="61"/>
        <v>init/env_grid_CLUSTER14_REPL3.asc</v>
      </c>
      <c r="V119" s="16" t="str">
        <f t="shared" si="62"/>
        <v>init/env_grid_CLUSTER14_REPL3.asc</v>
      </c>
      <c r="W119" s="16" t="str">
        <f t="shared" si="63"/>
        <v>trees_CLUSTER14.csv</v>
      </c>
      <c r="X119" s="16" t="str">
        <f t="shared" si="64"/>
        <v>saplings_CLUSTER14.csv</v>
      </c>
      <c r="Y119" s="16">
        <f t="shared" si="65"/>
        <v>350</v>
      </c>
      <c r="Z119" s="16" t="str">
        <f t="shared" si="66"/>
        <v>abe/no_mgmt.csv</v>
      </c>
      <c r="AA119" s="16" t="str">
        <f t="shared" si="67"/>
        <v>gis/WindModifier_cl14.asc</v>
      </c>
      <c r="AB119" s="16">
        <f t="shared" si="68"/>
        <v>6.8500009999999999E-4</v>
      </c>
      <c r="AC119" s="16" t="str">
        <f t="shared" si="69"/>
        <v>MPI-M-MPI-ESM-LR_historical_point36494</v>
      </c>
      <c r="AD119" s="16" t="str">
        <f t="shared" si="70"/>
        <v>wind_Events/Scaled_cl14_repl3.txt</v>
      </c>
      <c r="AE119" s="16" t="str">
        <f t="shared" si="71"/>
        <v>MPI-M-MPI-ESM-LR_Scaled_Cluster14_repl3</v>
      </c>
      <c r="AF119" s="21" t="s">
        <v>616</v>
      </c>
      <c r="AG119" s="21" t="s">
        <v>617</v>
      </c>
    </row>
    <row r="120" spans="1:33" ht="13.8">
      <c r="A120" s="7" t="str">
        <f t="shared" si="54"/>
        <v>MPI-M-MPI-ESM-LR_Scaled_Cluster14_repl4</v>
      </c>
      <c r="B120" s="8" t="s">
        <v>16</v>
      </c>
      <c r="C120" s="8" t="s">
        <v>54</v>
      </c>
      <c r="D120" s="9" t="s">
        <v>17</v>
      </c>
      <c r="E120" s="9" t="str">
        <f t="shared" si="55"/>
        <v>historical</v>
      </c>
      <c r="F120" s="8">
        <v>350</v>
      </c>
      <c r="G120" s="8" t="s">
        <v>63</v>
      </c>
      <c r="H120" s="8">
        <v>2</v>
      </c>
      <c r="I120" s="19">
        <v>6.8499999999999995E-4</v>
      </c>
      <c r="J120" s="8">
        <v>14</v>
      </c>
      <c r="K120" s="8" t="s">
        <v>173</v>
      </c>
      <c r="L120" s="8">
        <v>4</v>
      </c>
      <c r="M120" s="8">
        <v>1</v>
      </c>
      <c r="N120" s="10" t="s">
        <v>21</v>
      </c>
      <c r="O120" s="17" t="s">
        <v>328</v>
      </c>
      <c r="P120" s="10" t="str">
        <f t="shared" si="56"/>
        <v>MPI-M-MPI-ESM-LR_Scaled_Cluster14_repl4.sqlite</v>
      </c>
      <c r="Q120" s="11">
        <f t="shared" si="57"/>
        <v>11</v>
      </c>
      <c r="R120" s="16" t="str">
        <f t="shared" si="58"/>
        <v>climate_db_MPI-M-MPI-ESM-LR_historical_v4.sqlite</v>
      </c>
      <c r="S120" s="16" t="str">
        <f t="shared" si="59"/>
        <v>log/MPI-M-MPI-ESM-LR_Scaled_Cluster14_repl4.txt</v>
      </c>
      <c r="T120" s="16" t="str">
        <f t="shared" si="60"/>
        <v>init/env_file_CLUSTER14_REPL4_MPI-M-MPI-ESM-LR_historical.csv</v>
      </c>
      <c r="U120" s="16" t="str">
        <f t="shared" si="61"/>
        <v>init/env_grid_CLUSTER14_REPL4.asc</v>
      </c>
      <c r="V120" s="16" t="str">
        <f t="shared" si="62"/>
        <v>init/env_grid_CLUSTER14_REPL4.asc</v>
      </c>
      <c r="W120" s="16" t="str">
        <f t="shared" si="63"/>
        <v>trees_CLUSTER14.csv</v>
      </c>
      <c r="X120" s="16" t="str">
        <f t="shared" si="64"/>
        <v>saplings_CLUSTER14.csv</v>
      </c>
      <c r="Y120" s="16">
        <f t="shared" si="65"/>
        <v>350</v>
      </c>
      <c r="Z120" s="16" t="str">
        <f t="shared" si="66"/>
        <v>abe/no_mgmt.csv</v>
      </c>
      <c r="AA120" s="16" t="str">
        <f t="shared" si="67"/>
        <v>gis/WindModifier_cl14.asc</v>
      </c>
      <c r="AB120" s="16">
        <f t="shared" si="68"/>
        <v>6.8500009999999999E-4</v>
      </c>
      <c r="AC120" s="16" t="str">
        <f t="shared" si="69"/>
        <v>MPI-M-MPI-ESM-LR_historical_point36494</v>
      </c>
      <c r="AD120" s="16" t="str">
        <f t="shared" si="70"/>
        <v>wind_Events/Scaled_cl14_repl4.txt</v>
      </c>
      <c r="AE120" s="16" t="str">
        <f t="shared" si="71"/>
        <v>MPI-M-MPI-ESM-LR_Scaled_Cluster14_repl4</v>
      </c>
      <c r="AF120" s="21" t="s">
        <v>618</v>
      </c>
      <c r="AG120" s="21" t="s">
        <v>619</v>
      </c>
    </row>
    <row r="121" spans="1:33" ht="13.8">
      <c r="A121" s="7" t="str">
        <f t="shared" si="54"/>
        <v>MPI-M-MPI-ESM-LR_Scaled_Cluster14_repl5</v>
      </c>
      <c r="B121" s="8" t="s">
        <v>16</v>
      </c>
      <c r="C121" s="8" t="s">
        <v>54</v>
      </c>
      <c r="D121" s="9" t="s">
        <v>17</v>
      </c>
      <c r="E121" s="9" t="str">
        <f t="shared" si="55"/>
        <v>historical</v>
      </c>
      <c r="F121" s="8">
        <v>350</v>
      </c>
      <c r="G121" s="8" t="s">
        <v>63</v>
      </c>
      <c r="H121" s="8">
        <v>2</v>
      </c>
      <c r="I121" s="19">
        <v>6.8499999999999995E-4</v>
      </c>
      <c r="J121" s="8">
        <v>14</v>
      </c>
      <c r="K121" s="8" t="s">
        <v>173</v>
      </c>
      <c r="L121" s="8">
        <v>5</v>
      </c>
      <c r="M121" s="8">
        <v>1</v>
      </c>
      <c r="N121" s="10" t="s">
        <v>21</v>
      </c>
      <c r="O121" s="17" t="s">
        <v>328</v>
      </c>
      <c r="P121" s="10" t="str">
        <f t="shared" si="56"/>
        <v>MPI-M-MPI-ESM-LR_Scaled_Cluster14_repl5.sqlite</v>
      </c>
      <c r="Q121" s="11">
        <f t="shared" si="57"/>
        <v>14</v>
      </c>
      <c r="R121" s="16" t="str">
        <f t="shared" si="58"/>
        <v>climate_db_MPI-M-MPI-ESM-LR_historical_v4.sqlite</v>
      </c>
      <c r="S121" s="16" t="str">
        <f t="shared" si="59"/>
        <v>log/MPI-M-MPI-ESM-LR_Scaled_Cluster14_repl5.txt</v>
      </c>
      <c r="T121" s="16" t="str">
        <f t="shared" si="60"/>
        <v>init/env_file_CLUSTER14_REPL5_MPI-M-MPI-ESM-LR_historical.csv</v>
      </c>
      <c r="U121" s="16" t="str">
        <f t="shared" si="61"/>
        <v>init/env_grid_CLUSTER14_REPL5.asc</v>
      </c>
      <c r="V121" s="16" t="str">
        <f t="shared" si="62"/>
        <v>init/env_grid_CLUSTER14_REPL5.asc</v>
      </c>
      <c r="W121" s="16" t="str">
        <f t="shared" si="63"/>
        <v>trees_CLUSTER14.csv</v>
      </c>
      <c r="X121" s="16" t="str">
        <f t="shared" si="64"/>
        <v>saplings_CLUSTER14.csv</v>
      </c>
      <c r="Y121" s="16">
        <f t="shared" si="65"/>
        <v>350</v>
      </c>
      <c r="Z121" s="16" t="str">
        <f t="shared" si="66"/>
        <v>abe/no_mgmt.csv</v>
      </c>
      <c r="AA121" s="16" t="str">
        <f t="shared" si="67"/>
        <v>gis/WindModifier_cl14.asc</v>
      </c>
      <c r="AB121" s="16">
        <f t="shared" si="68"/>
        <v>6.8500009999999999E-4</v>
      </c>
      <c r="AC121" s="16" t="str">
        <f t="shared" si="69"/>
        <v>MPI-M-MPI-ESM-LR_historical_point36494</v>
      </c>
      <c r="AD121" s="16" t="str">
        <f t="shared" si="70"/>
        <v>wind_Events/Scaled_cl14_repl5.txt</v>
      </c>
      <c r="AE121" s="16" t="str">
        <f t="shared" si="71"/>
        <v>MPI-M-MPI-ESM-LR_Scaled_Cluster14_repl5</v>
      </c>
      <c r="AF121" s="21" t="s">
        <v>620</v>
      </c>
      <c r="AG121" s="21" t="s">
        <v>621</v>
      </c>
    </row>
    <row r="122" spans="1:33" ht="13.8">
      <c r="A122" s="7" t="str">
        <f t="shared" si="54"/>
        <v>NCC-NorESM1-M_Scaled_Cluster2_repl1</v>
      </c>
      <c r="B122" s="8" t="s">
        <v>16</v>
      </c>
      <c r="C122" s="8" t="s">
        <v>54</v>
      </c>
      <c r="D122" s="9" t="s">
        <v>17</v>
      </c>
      <c r="E122" s="9" t="str">
        <f t="shared" si="55"/>
        <v>historical</v>
      </c>
      <c r="F122" s="8">
        <v>350</v>
      </c>
      <c r="G122" s="8" t="s">
        <v>60</v>
      </c>
      <c r="H122" s="8">
        <v>3</v>
      </c>
      <c r="I122" s="19">
        <v>6.8499999999999995E-4</v>
      </c>
      <c r="J122" s="8">
        <v>2</v>
      </c>
      <c r="K122" s="8" t="s">
        <v>157</v>
      </c>
      <c r="L122" s="8">
        <v>1</v>
      </c>
      <c r="M122" s="8">
        <v>1</v>
      </c>
      <c r="N122" s="10" t="s">
        <v>21</v>
      </c>
      <c r="O122" s="17" t="s">
        <v>328</v>
      </c>
      <c r="P122" s="10" t="str">
        <f t="shared" si="56"/>
        <v>NCC-NorESM1-M_Scaled_Cluster2_repl1.sqlite</v>
      </c>
      <c r="Q122" s="11">
        <f t="shared" si="57"/>
        <v>3</v>
      </c>
      <c r="R122" s="16" t="str">
        <f t="shared" si="58"/>
        <v>climate_db_NCC-NorESM1-M_historical_v4.sqlite</v>
      </c>
      <c r="S122" s="16" t="str">
        <f t="shared" si="59"/>
        <v>log/NCC-NorESM1-M_Scaled_Cluster2_repl1.txt</v>
      </c>
      <c r="T122" s="16" t="str">
        <f t="shared" si="60"/>
        <v>init/env_file_CLUSTER02_REPL1_NCC-NorESM1-M_historical.csv</v>
      </c>
      <c r="U122" s="16" t="str">
        <f t="shared" si="61"/>
        <v>init/env_grid_CLUSTER02_REPL1.asc</v>
      </c>
      <c r="V122" s="16" t="str">
        <f t="shared" si="62"/>
        <v>init/env_grid_CLUSTER02_REPL1.asc</v>
      </c>
      <c r="W122" s="16" t="str">
        <f t="shared" si="63"/>
        <v>trees_CLUSTER02.csv</v>
      </c>
      <c r="X122" s="16" t="str">
        <f t="shared" si="64"/>
        <v>saplings_CLUSTER02.csv</v>
      </c>
      <c r="Y122" s="16">
        <f t="shared" si="65"/>
        <v>350</v>
      </c>
      <c r="Z122" s="16" t="str">
        <f t="shared" si="66"/>
        <v>abe/no_mgmt.csv</v>
      </c>
      <c r="AA122" s="16" t="str">
        <f t="shared" si="67"/>
        <v>gis/WindModifier_cl2.asc</v>
      </c>
      <c r="AB122" s="16">
        <f t="shared" si="68"/>
        <v>6.8500009999999999E-4</v>
      </c>
      <c r="AC122" s="16" t="str">
        <f t="shared" si="69"/>
        <v>NCC-NorESM1-M_historical_point38526</v>
      </c>
      <c r="AD122" s="16" t="str">
        <f t="shared" si="70"/>
        <v>wind_Events/Scaled_cl2_repl1.txt</v>
      </c>
      <c r="AE122" s="16" t="str">
        <f t="shared" si="71"/>
        <v>NCC-NorESM1-M_Scaled_Cluster2_repl1</v>
      </c>
      <c r="AF122" s="21" t="s">
        <v>386</v>
      </c>
      <c r="AG122" s="21" t="s">
        <v>387</v>
      </c>
    </row>
    <row r="123" spans="1:33" ht="13.8">
      <c r="A123" s="7" t="str">
        <f t="shared" si="54"/>
        <v>NCC-NorESM1-M_Scaled_Cluster2_repl2</v>
      </c>
      <c r="B123" s="8" t="s">
        <v>16</v>
      </c>
      <c r="C123" s="8" t="s">
        <v>54</v>
      </c>
      <c r="D123" s="9" t="s">
        <v>17</v>
      </c>
      <c r="E123" s="9" t="str">
        <f t="shared" si="55"/>
        <v>historical</v>
      </c>
      <c r="F123" s="8">
        <v>350</v>
      </c>
      <c r="G123" s="8" t="s">
        <v>60</v>
      </c>
      <c r="H123" s="8">
        <v>3</v>
      </c>
      <c r="I123" s="19">
        <v>6.8499999999999995E-4</v>
      </c>
      <c r="J123" s="8">
        <v>2</v>
      </c>
      <c r="K123" s="8" t="s">
        <v>157</v>
      </c>
      <c r="L123" s="8">
        <v>2</v>
      </c>
      <c r="M123" s="8">
        <v>1</v>
      </c>
      <c r="N123" s="10" t="s">
        <v>21</v>
      </c>
      <c r="O123" s="17" t="s">
        <v>328</v>
      </c>
      <c r="P123" s="10" t="str">
        <f t="shared" si="56"/>
        <v>NCC-NorESM1-M_Scaled_Cluster2_repl2.sqlite</v>
      </c>
      <c r="Q123" s="11">
        <f t="shared" si="57"/>
        <v>6</v>
      </c>
      <c r="R123" s="16" t="str">
        <f t="shared" si="58"/>
        <v>climate_db_NCC-NorESM1-M_historical_v4.sqlite</v>
      </c>
      <c r="S123" s="16" t="str">
        <f t="shared" si="59"/>
        <v>log/NCC-NorESM1-M_Scaled_Cluster2_repl2.txt</v>
      </c>
      <c r="T123" s="16" t="str">
        <f t="shared" si="60"/>
        <v>init/env_file_CLUSTER02_REPL2_NCC-NorESM1-M_historical.csv</v>
      </c>
      <c r="U123" s="16" t="str">
        <f t="shared" si="61"/>
        <v>init/env_grid_CLUSTER02_REPL2.asc</v>
      </c>
      <c r="V123" s="16" t="str">
        <f t="shared" si="62"/>
        <v>init/env_grid_CLUSTER02_REPL2.asc</v>
      </c>
      <c r="W123" s="16" t="str">
        <f t="shared" si="63"/>
        <v>trees_CLUSTER02.csv</v>
      </c>
      <c r="X123" s="16" t="str">
        <f t="shared" si="64"/>
        <v>saplings_CLUSTER02.csv</v>
      </c>
      <c r="Y123" s="16">
        <f t="shared" si="65"/>
        <v>350</v>
      </c>
      <c r="Z123" s="16" t="str">
        <f t="shared" si="66"/>
        <v>abe/no_mgmt.csv</v>
      </c>
      <c r="AA123" s="16" t="str">
        <f t="shared" si="67"/>
        <v>gis/WindModifier_cl2.asc</v>
      </c>
      <c r="AB123" s="16">
        <f t="shared" si="68"/>
        <v>6.8500009999999999E-4</v>
      </c>
      <c r="AC123" s="16" t="str">
        <f t="shared" si="69"/>
        <v>NCC-NorESM1-M_historical_point38526</v>
      </c>
      <c r="AD123" s="16" t="str">
        <f t="shared" si="70"/>
        <v>wind_Events/Scaled_cl2_repl2.txt</v>
      </c>
      <c r="AE123" s="16" t="str">
        <f t="shared" si="71"/>
        <v>NCC-NorESM1-M_Scaled_Cluster2_repl2</v>
      </c>
      <c r="AF123" s="21" t="s">
        <v>622</v>
      </c>
      <c r="AG123" s="21" t="s">
        <v>623</v>
      </c>
    </row>
    <row r="124" spans="1:33" ht="13.8">
      <c r="A124" s="7" t="str">
        <f t="shared" si="54"/>
        <v>NCC-NorESM1-M_Scaled_Cluster2_repl3</v>
      </c>
      <c r="B124" s="8" t="s">
        <v>16</v>
      </c>
      <c r="C124" s="8" t="s">
        <v>54</v>
      </c>
      <c r="D124" s="9" t="s">
        <v>17</v>
      </c>
      <c r="E124" s="9" t="str">
        <f t="shared" si="55"/>
        <v>historical</v>
      </c>
      <c r="F124" s="8">
        <v>350</v>
      </c>
      <c r="G124" s="8" t="s">
        <v>60</v>
      </c>
      <c r="H124" s="8">
        <v>3</v>
      </c>
      <c r="I124" s="19">
        <v>6.8499999999999995E-4</v>
      </c>
      <c r="J124" s="8">
        <v>2</v>
      </c>
      <c r="K124" s="8" t="s">
        <v>157</v>
      </c>
      <c r="L124" s="8">
        <v>3</v>
      </c>
      <c r="M124" s="8">
        <v>1</v>
      </c>
      <c r="N124" s="10" t="s">
        <v>21</v>
      </c>
      <c r="O124" s="17" t="s">
        <v>328</v>
      </c>
      <c r="P124" s="10" t="str">
        <f t="shared" si="56"/>
        <v>NCC-NorESM1-M_Scaled_Cluster2_repl3.sqlite</v>
      </c>
      <c r="Q124" s="11">
        <f t="shared" si="57"/>
        <v>9</v>
      </c>
      <c r="R124" s="16" t="str">
        <f t="shared" si="58"/>
        <v>climate_db_NCC-NorESM1-M_historical_v4.sqlite</v>
      </c>
      <c r="S124" s="16" t="str">
        <f t="shared" si="59"/>
        <v>log/NCC-NorESM1-M_Scaled_Cluster2_repl3.txt</v>
      </c>
      <c r="T124" s="16" t="str">
        <f t="shared" si="60"/>
        <v>init/env_file_CLUSTER02_REPL3_NCC-NorESM1-M_historical.csv</v>
      </c>
      <c r="U124" s="16" t="str">
        <f t="shared" si="61"/>
        <v>init/env_grid_CLUSTER02_REPL3.asc</v>
      </c>
      <c r="V124" s="16" t="str">
        <f t="shared" si="62"/>
        <v>init/env_grid_CLUSTER02_REPL3.asc</v>
      </c>
      <c r="W124" s="16" t="str">
        <f t="shared" si="63"/>
        <v>trees_CLUSTER02.csv</v>
      </c>
      <c r="X124" s="16" t="str">
        <f t="shared" si="64"/>
        <v>saplings_CLUSTER02.csv</v>
      </c>
      <c r="Y124" s="16">
        <f t="shared" si="65"/>
        <v>350</v>
      </c>
      <c r="Z124" s="16" t="str">
        <f t="shared" si="66"/>
        <v>abe/no_mgmt.csv</v>
      </c>
      <c r="AA124" s="16" t="str">
        <f t="shared" si="67"/>
        <v>gis/WindModifier_cl2.asc</v>
      </c>
      <c r="AB124" s="16">
        <f t="shared" si="68"/>
        <v>6.8500009999999999E-4</v>
      </c>
      <c r="AC124" s="16" t="str">
        <f t="shared" si="69"/>
        <v>NCC-NorESM1-M_historical_point38526</v>
      </c>
      <c r="AD124" s="16" t="str">
        <f t="shared" si="70"/>
        <v>wind_Events/Scaled_cl2_repl3.txt</v>
      </c>
      <c r="AE124" s="16" t="str">
        <f t="shared" si="71"/>
        <v>NCC-NorESM1-M_Scaled_Cluster2_repl3</v>
      </c>
      <c r="AF124" s="21" t="s">
        <v>624</v>
      </c>
      <c r="AG124" s="21" t="s">
        <v>625</v>
      </c>
    </row>
    <row r="125" spans="1:33" ht="13.8">
      <c r="A125" s="7" t="str">
        <f t="shared" si="54"/>
        <v>NCC-NorESM1-M_Scaled_Cluster2_repl4</v>
      </c>
      <c r="B125" s="8" t="s">
        <v>16</v>
      </c>
      <c r="C125" s="8" t="s">
        <v>54</v>
      </c>
      <c r="D125" s="9" t="s">
        <v>17</v>
      </c>
      <c r="E125" s="9" t="str">
        <f t="shared" si="55"/>
        <v>historical</v>
      </c>
      <c r="F125" s="8">
        <v>350</v>
      </c>
      <c r="G125" s="8" t="s">
        <v>60</v>
      </c>
      <c r="H125" s="8">
        <v>3</v>
      </c>
      <c r="I125" s="19">
        <v>6.8499999999999995E-4</v>
      </c>
      <c r="J125" s="8">
        <v>2</v>
      </c>
      <c r="K125" s="8" t="s">
        <v>157</v>
      </c>
      <c r="L125" s="8">
        <v>4</v>
      </c>
      <c r="M125" s="8">
        <v>1</v>
      </c>
      <c r="N125" s="10" t="s">
        <v>21</v>
      </c>
      <c r="O125" s="17" t="s">
        <v>328</v>
      </c>
      <c r="P125" s="10" t="str">
        <f t="shared" si="56"/>
        <v>NCC-NorESM1-M_Scaled_Cluster2_repl4.sqlite</v>
      </c>
      <c r="Q125" s="11">
        <f t="shared" si="57"/>
        <v>12</v>
      </c>
      <c r="R125" s="16" t="str">
        <f t="shared" si="58"/>
        <v>climate_db_NCC-NorESM1-M_historical_v4.sqlite</v>
      </c>
      <c r="S125" s="16" t="str">
        <f t="shared" si="59"/>
        <v>log/NCC-NorESM1-M_Scaled_Cluster2_repl4.txt</v>
      </c>
      <c r="T125" s="16" t="str">
        <f t="shared" si="60"/>
        <v>init/env_file_CLUSTER02_REPL4_NCC-NorESM1-M_historical.csv</v>
      </c>
      <c r="U125" s="16" t="str">
        <f t="shared" si="61"/>
        <v>init/env_grid_CLUSTER02_REPL4.asc</v>
      </c>
      <c r="V125" s="16" t="str">
        <f t="shared" si="62"/>
        <v>init/env_grid_CLUSTER02_REPL4.asc</v>
      </c>
      <c r="W125" s="16" t="str">
        <f t="shared" si="63"/>
        <v>trees_CLUSTER02.csv</v>
      </c>
      <c r="X125" s="16" t="str">
        <f t="shared" si="64"/>
        <v>saplings_CLUSTER02.csv</v>
      </c>
      <c r="Y125" s="16">
        <f t="shared" si="65"/>
        <v>350</v>
      </c>
      <c r="Z125" s="16" t="str">
        <f t="shared" si="66"/>
        <v>abe/no_mgmt.csv</v>
      </c>
      <c r="AA125" s="16" t="str">
        <f t="shared" si="67"/>
        <v>gis/WindModifier_cl2.asc</v>
      </c>
      <c r="AB125" s="16">
        <f t="shared" si="68"/>
        <v>6.8500009999999999E-4</v>
      </c>
      <c r="AC125" s="16" t="str">
        <f t="shared" si="69"/>
        <v>NCC-NorESM1-M_historical_point38526</v>
      </c>
      <c r="AD125" s="16" t="str">
        <f t="shared" si="70"/>
        <v>wind_Events/Scaled_cl2_repl4.txt</v>
      </c>
      <c r="AE125" s="16" t="str">
        <f t="shared" si="71"/>
        <v>NCC-NorESM1-M_Scaled_Cluster2_repl4</v>
      </c>
      <c r="AF125" s="21" t="s">
        <v>626</v>
      </c>
      <c r="AG125" s="21" t="s">
        <v>627</v>
      </c>
    </row>
    <row r="126" spans="1:33" ht="13.8">
      <c r="A126" s="7" t="str">
        <f t="shared" si="54"/>
        <v>NCC-NorESM1-M_Scaled_Cluster2_repl5</v>
      </c>
      <c r="B126" s="8" t="s">
        <v>16</v>
      </c>
      <c r="C126" s="8" t="s">
        <v>54</v>
      </c>
      <c r="D126" s="9" t="s">
        <v>17</v>
      </c>
      <c r="E126" s="9" t="str">
        <f t="shared" si="55"/>
        <v>historical</v>
      </c>
      <c r="F126" s="8">
        <v>350</v>
      </c>
      <c r="G126" s="8" t="s">
        <v>60</v>
      </c>
      <c r="H126" s="8">
        <v>3</v>
      </c>
      <c r="I126" s="19">
        <v>6.8499999999999995E-4</v>
      </c>
      <c r="J126" s="8">
        <v>2</v>
      </c>
      <c r="K126" s="8" t="s">
        <v>157</v>
      </c>
      <c r="L126" s="8">
        <v>5</v>
      </c>
      <c r="M126" s="8">
        <v>1</v>
      </c>
      <c r="N126" s="10" t="s">
        <v>21</v>
      </c>
      <c r="O126" s="17" t="s">
        <v>328</v>
      </c>
      <c r="P126" s="10" t="str">
        <f t="shared" si="56"/>
        <v>NCC-NorESM1-M_Scaled_Cluster2_repl5.sqlite</v>
      </c>
      <c r="Q126" s="11">
        <f t="shared" si="57"/>
        <v>15</v>
      </c>
      <c r="R126" s="16" t="str">
        <f t="shared" si="58"/>
        <v>climate_db_NCC-NorESM1-M_historical_v4.sqlite</v>
      </c>
      <c r="S126" s="16" t="str">
        <f t="shared" si="59"/>
        <v>log/NCC-NorESM1-M_Scaled_Cluster2_repl5.txt</v>
      </c>
      <c r="T126" s="16" t="str">
        <f t="shared" si="60"/>
        <v>init/env_file_CLUSTER02_REPL5_NCC-NorESM1-M_historical.csv</v>
      </c>
      <c r="U126" s="16" t="str">
        <f t="shared" si="61"/>
        <v>init/env_grid_CLUSTER02_REPL5.asc</v>
      </c>
      <c r="V126" s="16" t="str">
        <f t="shared" si="62"/>
        <v>init/env_grid_CLUSTER02_REPL5.asc</v>
      </c>
      <c r="W126" s="16" t="str">
        <f t="shared" si="63"/>
        <v>trees_CLUSTER02.csv</v>
      </c>
      <c r="X126" s="16" t="str">
        <f t="shared" si="64"/>
        <v>saplings_CLUSTER02.csv</v>
      </c>
      <c r="Y126" s="16">
        <f t="shared" si="65"/>
        <v>350</v>
      </c>
      <c r="Z126" s="16" t="str">
        <f t="shared" si="66"/>
        <v>abe/no_mgmt.csv</v>
      </c>
      <c r="AA126" s="16" t="str">
        <f t="shared" si="67"/>
        <v>gis/WindModifier_cl2.asc</v>
      </c>
      <c r="AB126" s="16">
        <f t="shared" si="68"/>
        <v>6.8500009999999999E-4</v>
      </c>
      <c r="AC126" s="16" t="str">
        <f t="shared" si="69"/>
        <v>NCC-NorESM1-M_historical_point38526</v>
      </c>
      <c r="AD126" s="16" t="str">
        <f t="shared" si="70"/>
        <v>wind_Events/Scaled_cl2_repl5.txt</v>
      </c>
      <c r="AE126" s="16" t="str">
        <f t="shared" si="71"/>
        <v>NCC-NorESM1-M_Scaled_Cluster2_repl5</v>
      </c>
      <c r="AF126" s="21" t="s">
        <v>628</v>
      </c>
      <c r="AG126" s="21" t="s">
        <v>629</v>
      </c>
    </row>
    <row r="127" spans="1:33" ht="13.8">
      <c r="A127" s="7" t="str">
        <f t="shared" si="54"/>
        <v>NCC-NorESM1-M_Scaled_Cluster3_repl1</v>
      </c>
      <c r="B127" s="8" t="s">
        <v>16</v>
      </c>
      <c r="C127" s="8" t="s">
        <v>54</v>
      </c>
      <c r="D127" s="9" t="s">
        <v>17</v>
      </c>
      <c r="E127" s="9" t="str">
        <f t="shared" si="55"/>
        <v>historical</v>
      </c>
      <c r="F127" s="8">
        <v>350</v>
      </c>
      <c r="G127" s="8" t="s">
        <v>60</v>
      </c>
      <c r="H127" s="8">
        <v>3</v>
      </c>
      <c r="I127" s="19">
        <v>6.8499999999999995E-4</v>
      </c>
      <c r="J127" s="8">
        <v>3</v>
      </c>
      <c r="K127" s="8" t="s">
        <v>174</v>
      </c>
      <c r="L127" s="8">
        <v>1</v>
      </c>
      <c r="M127" s="8">
        <v>1</v>
      </c>
      <c r="N127" s="10" t="s">
        <v>21</v>
      </c>
      <c r="O127" s="17" t="s">
        <v>328</v>
      </c>
      <c r="P127" s="10" t="str">
        <f t="shared" si="56"/>
        <v>NCC-NorESM1-M_Scaled_Cluster3_repl1.sqlite</v>
      </c>
      <c r="Q127" s="11">
        <f t="shared" si="57"/>
        <v>3</v>
      </c>
      <c r="R127" s="16" t="str">
        <f t="shared" si="58"/>
        <v>climate_db_NCC-NorESM1-M_historical_v4.sqlite</v>
      </c>
      <c r="S127" s="16" t="str">
        <f t="shared" si="59"/>
        <v>log/NCC-NorESM1-M_Scaled_Cluster3_repl1.txt</v>
      </c>
      <c r="T127" s="16" t="str">
        <f t="shared" si="60"/>
        <v>init/env_file_CLUSTER03_REPL1_NCC-NorESM1-M_historical.csv</v>
      </c>
      <c r="U127" s="16" t="str">
        <f t="shared" si="61"/>
        <v>init/env_grid_CLUSTER03_REPL1.asc</v>
      </c>
      <c r="V127" s="16" t="str">
        <f t="shared" si="62"/>
        <v>init/env_grid_CLUSTER03_REPL1.asc</v>
      </c>
      <c r="W127" s="16" t="str">
        <f t="shared" si="63"/>
        <v>trees_CLUSTER03.csv</v>
      </c>
      <c r="X127" s="16" t="str">
        <f t="shared" si="64"/>
        <v>saplings_CLUSTER03.csv</v>
      </c>
      <c r="Y127" s="16">
        <f t="shared" si="65"/>
        <v>350</v>
      </c>
      <c r="Z127" s="16" t="str">
        <f t="shared" si="66"/>
        <v>abe/no_mgmt.csv</v>
      </c>
      <c r="AA127" s="16" t="str">
        <f t="shared" si="67"/>
        <v>gis/WindModifier_cl3.asc</v>
      </c>
      <c r="AB127" s="16">
        <f t="shared" si="68"/>
        <v>6.8500009999999999E-4</v>
      </c>
      <c r="AC127" s="16" t="str">
        <f t="shared" si="69"/>
        <v>NCC-NorESM1-M_historical_point31354</v>
      </c>
      <c r="AD127" s="16" t="str">
        <f t="shared" si="70"/>
        <v>wind_Events/Scaled_cl3_repl1.txt</v>
      </c>
      <c r="AE127" s="16" t="str">
        <f t="shared" si="71"/>
        <v>NCC-NorESM1-M_Scaled_Cluster3_repl1</v>
      </c>
      <c r="AF127" s="21" t="s">
        <v>389</v>
      </c>
      <c r="AG127" s="21" t="s">
        <v>390</v>
      </c>
    </row>
    <row r="128" spans="1:33" ht="13.8">
      <c r="A128" s="7" t="str">
        <f t="shared" si="54"/>
        <v>NCC-NorESM1-M_Scaled_Cluster3_repl2</v>
      </c>
      <c r="B128" s="8" t="s">
        <v>16</v>
      </c>
      <c r="C128" s="8" t="s">
        <v>54</v>
      </c>
      <c r="D128" s="9" t="s">
        <v>17</v>
      </c>
      <c r="E128" s="9" t="str">
        <f t="shared" si="55"/>
        <v>historical</v>
      </c>
      <c r="F128" s="8">
        <v>350</v>
      </c>
      <c r="G128" s="8" t="s">
        <v>60</v>
      </c>
      <c r="H128" s="8">
        <v>3</v>
      </c>
      <c r="I128" s="19">
        <v>6.8499999999999995E-4</v>
      </c>
      <c r="J128" s="8">
        <v>3</v>
      </c>
      <c r="K128" s="8" t="s">
        <v>174</v>
      </c>
      <c r="L128" s="8">
        <v>2</v>
      </c>
      <c r="M128" s="8">
        <v>1</v>
      </c>
      <c r="N128" s="10" t="s">
        <v>21</v>
      </c>
      <c r="O128" s="17" t="s">
        <v>328</v>
      </c>
      <c r="P128" s="10" t="str">
        <f t="shared" si="56"/>
        <v>NCC-NorESM1-M_Scaled_Cluster3_repl2.sqlite</v>
      </c>
      <c r="Q128" s="11">
        <f t="shared" si="57"/>
        <v>6</v>
      </c>
      <c r="R128" s="16" t="str">
        <f t="shared" si="58"/>
        <v>climate_db_NCC-NorESM1-M_historical_v4.sqlite</v>
      </c>
      <c r="S128" s="16" t="str">
        <f t="shared" si="59"/>
        <v>log/NCC-NorESM1-M_Scaled_Cluster3_repl2.txt</v>
      </c>
      <c r="T128" s="16" t="str">
        <f t="shared" si="60"/>
        <v>init/env_file_CLUSTER03_REPL2_NCC-NorESM1-M_historical.csv</v>
      </c>
      <c r="U128" s="16" t="str">
        <f t="shared" si="61"/>
        <v>init/env_grid_CLUSTER03_REPL2.asc</v>
      </c>
      <c r="V128" s="16" t="str">
        <f t="shared" si="62"/>
        <v>init/env_grid_CLUSTER03_REPL2.asc</v>
      </c>
      <c r="W128" s="16" t="str">
        <f t="shared" si="63"/>
        <v>trees_CLUSTER03.csv</v>
      </c>
      <c r="X128" s="16" t="str">
        <f t="shared" si="64"/>
        <v>saplings_CLUSTER03.csv</v>
      </c>
      <c r="Y128" s="16">
        <f t="shared" si="65"/>
        <v>350</v>
      </c>
      <c r="Z128" s="16" t="str">
        <f t="shared" si="66"/>
        <v>abe/no_mgmt.csv</v>
      </c>
      <c r="AA128" s="16" t="str">
        <f t="shared" si="67"/>
        <v>gis/WindModifier_cl3.asc</v>
      </c>
      <c r="AB128" s="16">
        <f t="shared" si="68"/>
        <v>6.8500009999999999E-4</v>
      </c>
      <c r="AC128" s="16" t="str">
        <f t="shared" si="69"/>
        <v>NCC-NorESM1-M_historical_point31354</v>
      </c>
      <c r="AD128" s="16" t="str">
        <f t="shared" si="70"/>
        <v>wind_Events/Scaled_cl3_repl2.txt</v>
      </c>
      <c r="AE128" s="16" t="str">
        <f t="shared" si="71"/>
        <v>NCC-NorESM1-M_Scaled_Cluster3_repl2</v>
      </c>
      <c r="AF128" s="21" t="s">
        <v>630</v>
      </c>
      <c r="AG128" s="21" t="s">
        <v>631</v>
      </c>
    </row>
    <row r="129" spans="1:33" ht="13.8">
      <c r="A129" s="7" t="str">
        <f t="shared" si="54"/>
        <v>NCC-NorESM1-M_Scaled_Cluster3_repl3</v>
      </c>
      <c r="B129" s="8" t="s">
        <v>16</v>
      </c>
      <c r="C129" s="8" t="s">
        <v>54</v>
      </c>
      <c r="D129" s="9" t="s">
        <v>17</v>
      </c>
      <c r="E129" s="9" t="str">
        <f t="shared" si="55"/>
        <v>historical</v>
      </c>
      <c r="F129" s="8">
        <v>350</v>
      </c>
      <c r="G129" s="8" t="s">
        <v>60</v>
      </c>
      <c r="H129" s="8">
        <v>3</v>
      </c>
      <c r="I129" s="19">
        <v>6.8499999999999995E-4</v>
      </c>
      <c r="J129" s="8">
        <v>3</v>
      </c>
      <c r="K129" s="8" t="s">
        <v>174</v>
      </c>
      <c r="L129" s="8">
        <v>3</v>
      </c>
      <c r="M129" s="8">
        <v>1</v>
      </c>
      <c r="N129" s="10" t="s">
        <v>21</v>
      </c>
      <c r="O129" s="17" t="s">
        <v>328</v>
      </c>
      <c r="P129" s="10" t="str">
        <f t="shared" si="56"/>
        <v>NCC-NorESM1-M_Scaled_Cluster3_repl3.sqlite</v>
      </c>
      <c r="Q129" s="11">
        <f t="shared" si="57"/>
        <v>9</v>
      </c>
      <c r="R129" s="16" t="str">
        <f t="shared" si="58"/>
        <v>climate_db_NCC-NorESM1-M_historical_v4.sqlite</v>
      </c>
      <c r="S129" s="16" t="str">
        <f t="shared" si="59"/>
        <v>log/NCC-NorESM1-M_Scaled_Cluster3_repl3.txt</v>
      </c>
      <c r="T129" s="16" t="str">
        <f t="shared" si="60"/>
        <v>init/env_file_CLUSTER03_REPL3_NCC-NorESM1-M_historical.csv</v>
      </c>
      <c r="U129" s="16" t="str">
        <f t="shared" si="61"/>
        <v>init/env_grid_CLUSTER03_REPL3.asc</v>
      </c>
      <c r="V129" s="16" t="str">
        <f t="shared" si="62"/>
        <v>init/env_grid_CLUSTER03_REPL3.asc</v>
      </c>
      <c r="W129" s="16" t="str">
        <f t="shared" si="63"/>
        <v>trees_CLUSTER03.csv</v>
      </c>
      <c r="X129" s="16" t="str">
        <f t="shared" si="64"/>
        <v>saplings_CLUSTER03.csv</v>
      </c>
      <c r="Y129" s="16">
        <f t="shared" si="65"/>
        <v>350</v>
      </c>
      <c r="Z129" s="16" t="str">
        <f t="shared" si="66"/>
        <v>abe/no_mgmt.csv</v>
      </c>
      <c r="AA129" s="16" t="str">
        <f t="shared" si="67"/>
        <v>gis/WindModifier_cl3.asc</v>
      </c>
      <c r="AB129" s="16">
        <f t="shared" si="68"/>
        <v>6.8500009999999999E-4</v>
      </c>
      <c r="AC129" s="16" t="str">
        <f t="shared" si="69"/>
        <v>NCC-NorESM1-M_historical_point31354</v>
      </c>
      <c r="AD129" s="16" t="str">
        <f t="shared" si="70"/>
        <v>wind_Events/Scaled_cl3_repl3.txt</v>
      </c>
      <c r="AE129" s="16" t="str">
        <f t="shared" si="71"/>
        <v>NCC-NorESM1-M_Scaled_Cluster3_repl3</v>
      </c>
      <c r="AF129" s="21" t="s">
        <v>632</v>
      </c>
      <c r="AG129" s="21" t="s">
        <v>633</v>
      </c>
    </row>
    <row r="130" spans="1:33" ht="13.8">
      <c r="A130" s="7" t="str">
        <f t="shared" ref="A130:A161" si="72" xml:space="preserve"> G130 &amp; "_" &amp; C130 &amp;"Cluster" &amp; J130 &amp; "_repl" &amp; L130</f>
        <v>NCC-NorESM1-M_Scaled_Cluster3_repl4</v>
      </c>
      <c r="B130" s="8" t="s">
        <v>16</v>
      </c>
      <c r="C130" s="8" t="s">
        <v>54</v>
      </c>
      <c r="D130" s="9" t="s">
        <v>17</v>
      </c>
      <c r="E130" s="9" t="str">
        <f t="shared" ref="E130:E161" si="73">IF(D130="historical", "historical", IF(D130="RCP26", "rcp_2_6", IF(D130="RCP45", "rcp_4_5", "rcp_8_5")))</f>
        <v>historical</v>
      </c>
      <c r="F130" s="8">
        <v>350</v>
      </c>
      <c r="G130" s="8" t="s">
        <v>60</v>
      </c>
      <c r="H130" s="8">
        <v>3</v>
      </c>
      <c r="I130" s="19">
        <v>6.8499999999999995E-4</v>
      </c>
      <c r="J130" s="8">
        <v>3</v>
      </c>
      <c r="K130" s="8" t="s">
        <v>174</v>
      </c>
      <c r="L130" s="8">
        <v>4</v>
      </c>
      <c r="M130" s="8">
        <v>1</v>
      </c>
      <c r="N130" s="10" t="s">
        <v>21</v>
      </c>
      <c r="O130" s="17" t="s">
        <v>328</v>
      </c>
      <c r="P130" s="10" t="str">
        <f t="shared" ref="P130:P161" si="74">A130  &amp; ".sqlite"</f>
        <v>NCC-NorESM1-M_Scaled_Cluster3_repl4.sqlite</v>
      </c>
      <c r="Q130" s="11">
        <f t="shared" ref="Q130:Q161" si="75">(L130-1)*3+H130</f>
        <v>12</v>
      </c>
      <c r="R130" s="16" t="str">
        <f t="shared" ref="R130:R161" si="76">"climate_db_" &amp; G130&amp; "_" &amp;  E130&amp; "_v4.sqlite"</f>
        <v>climate_db_NCC-NorESM1-M_historical_v4.sqlite</v>
      </c>
      <c r="S130" s="16" t="str">
        <f t="shared" ref="S130:S161" si="77">"log/" &amp;A130  &amp; ".txt"</f>
        <v>log/NCC-NorESM1-M_Scaled_Cluster3_repl4.txt</v>
      </c>
      <c r="T130" s="16" t="str">
        <f t="shared" ref="T130:T161" si="78">"init/env_file_CLUSTER" &amp; TEXT(J130, "00") &amp; "_REPL" &amp; L130 &amp; "_" &amp; G130 &amp; "_" &amp; E130 &amp; ".csv"</f>
        <v>init/env_file_CLUSTER03_REPL4_NCC-NorESM1-M_historical.csv</v>
      </c>
      <c r="U130" s="16" t="str">
        <f t="shared" ref="U130:U161" si="79">"init/env_grid_CLUSTER" &amp; TEXT(J130, "00") &amp; "_REPL" &amp; L130 &amp; ".asc"</f>
        <v>init/env_grid_CLUSTER03_REPL4.asc</v>
      </c>
      <c r="V130" s="16" t="str">
        <f t="shared" ref="V130:V161" si="80">U130</f>
        <v>init/env_grid_CLUSTER03_REPL4.asc</v>
      </c>
      <c r="W130" s="16" t="str">
        <f t="shared" ref="W130:W161" si="81">"trees_CLUSTER" &amp; TEXT(J130, "00")  &amp; ".csv"</f>
        <v>trees_CLUSTER03.csv</v>
      </c>
      <c r="X130" s="16" t="str">
        <f t="shared" ref="X130:X161" si="82">"saplings_CLUSTER" &amp; TEXT(J130, "00")  &amp; ".csv"</f>
        <v>saplings_CLUSTER03.csv</v>
      </c>
      <c r="Y130" s="16">
        <f t="shared" ref="Y130:Y161" si="83">F130</f>
        <v>350</v>
      </c>
      <c r="Z130" s="16" t="str">
        <f t="shared" ref="Z130:Z161" si="84">"abe/no_mgmt.csv"</f>
        <v>abe/no_mgmt.csv</v>
      </c>
      <c r="AA130" s="16" t="str">
        <f t="shared" ref="AA130:AA161" si="85">"gis/WindModifier_cl" &amp; J130 &amp; ".asc"</f>
        <v>gis/WindModifier_cl3.asc</v>
      </c>
      <c r="AB130" s="16">
        <f t="shared" ref="AB130:AB161" si="86">IF(C130="Scaled_", I130+0.0000000001,  0.000685)</f>
        <v>6.8500009999999999E-4</v>
      </c>
      <c r="AC130" s="16" t="str">
        <f t="shared" ref="AC130:AC161" si="87">G130 &amp; "_" &amp; E130 &amp; "_point" &amp; K130</f>
        <v>NCC-NorESM1-M_historical_point31354</v>
      </c>
      <c r="AD130" s="16" t="str">
        <f t="shared" ref="AD130:AD161" si="88">"wind_Events/" &amp; C130 &amp; "cl" &amp; J130 &amp; "_repl" &amp; L130 &amp; ".txt"</f>
        <v>wind_Events/Scaled_cl3_repl4.txt</v>
      </c>
      <c r="AE130" s="16" t="str">
        <f t="shared" ref="AE130:AE161" si="89">A130</f>
        <v>NCC-NorESM1-M_Scaled_Cluster3_repl4</v>
      </c>
      <c r="AF130" s="21" t="s">
        <v>634</v>
      </c>
      <c r="AG130" s="21" t="s">
        <v>635</v>
      </c>
    </row>
    <row r="131" spans="1:33" ht="13.8">
      <c r="A131" s="7" t="str">
        <f t="shared" si="72"/>
        <v>NCC-NorESM1-M_Scaled_Cluster3_repl5</v>
      </c>
      <c r="B131" s="8" t="s">
        <v>16</v>
      </c>
      <c r="C131" s="8" t="s">
        <v>54</v>
      </c>
      <c r="D131" s="9" t="s">
        <v>17</v>
      </c>
      <c r="E131" s="9" t="str">
        <f t="shared" si="73"/>
        <v>historical</v>
      </c>
      <c r="F131" s="8">
        <v>350</v>
      </c>
      <c r="G131" s="8" t="s">
        <v>60</v>
      </c>
      <c r="H131" s="8">
        <v>3</v>
      </c>
      <c r="I131" s="19">
        <v>6.8499999999999995E-4</v>
      </c>
      <c r="J131" s="8">
        <v>3</v>
      </c>
      <c r="K131" s="8" t="s">
        <v>174</v>
      </c>
      <c r="L131" s="8">
        <v>5</v>
      </c>
      <c r="M131" s="8">
        <v>1</v>
      </c>
      <c r="N131" s="10" t="s">
        <v>21</v>
      </c>
      <c r="O131" s="17" t="s">
        <v>328</v>
      </c>
      <c r="P131" s="10" t="str">
        <f t="shared" si="74"/>
        <v>NCC-NorESM1-M_Scaled_Cluster3_repl5.sqlite</v>
      </c>
      <c r="Q131" s="11">
        <f t="shared" si="75"/>
        <v>15</v>
      </c>
      <c r="R131" s="16" t="str">
        <f t="shared" si="76"/>
        <v>climate_db_NCC-NorESM1-M_historical_v4.sqlite</v>
      </c>
      <c r="S131" s="16" t="str">
        <f t="shared" si="77"/>
        <v>log/NCC-NorESM1-M_Scaled_Cluster3_repl5.txt</v>
      </c>
      <c r="T131" s="16" t="str">
        <f t="shared" si="78"/>
        <v>init/env_file_CLUSTER03_REPL5_NCC-NorESM1-M_historical.csv</v>
      </c>
      <c r="U131" s="16" t="str">
        <f t="shared" si="79"/>
        <v>init/env_grid_CLUSTER03_REPL5.asc</v>
      </c>
      <c r="V131" s="16" t="str">
        <f t="shared" si="80"/>
        <v>init/env_grid_CLUSTER03_REPL5.asc</v>
      </c>
      <c r="W131" s="16" t="str">
        <f t="shared" si="81"/>
        <v>trees_CLUSTER03.csv</v>
      </c>
      <c r="X131" s="16" t="str">
        <f t="shared" si="82"/>
        <v>saplings_CLUSTER03.csv</v>
      </c>
      <c r="Y131" s="16">
        <f t="shared" si="83"/>
        <v>350</v>
      </c>
      <c r="Z131" s="16" t="str">
        <f t="shared" si="84"/>
        <v>abe/no_mgmt.csv</v>
      </c>
      <c r="AA131" s="16" t="str">
        <f t="shared" si="85"/>
        <v>gis/WindModifier_cl3.asc</v>
      </c>
      <c r="AB131" s="16">
        <f t="shared" si="86"/>
        <v>6.8500009999999999E-4</v>
      </c>
      <c r="AC131" s="16" t="str">
        <f t="shared" si="87"/>
        <v>NCC-NorESM1-M_historical_point31354</v>
      </c>
      <c r="AD131" s="16" t="str">
        <f t="shared" si="88"/>
        <v>wind_Events/Scaled_cl3_repl5.txt</v>
      </c>
      <c r="AE131" s="16" t="str">
        <f t="shared" si="89"/>
        <v>NCC-NorESM1-M_Scaled_Cluster3_repl5</v>
      </c>
      <c r="AF131" s="21" t="s">
        <v>636</v>
      </c>
      <c r="AG131" s="21" t="s">
        <v>637</v>
      </c>
    </row>
    <row r="132" spans="1:33" ht="13.8">
      <c r="A132" s="7" t="str">
        <f t="shared" si="72"/>
        <v>NCC-NorESM1-M_Scaled_Cluster4_repl1</v>
      </c>
      <c r="B132" s="8" t="s">
        <v>16</v>
      </c>
      <c r="C132" s="8" t="s">
        <v>54</v>
      </c>
      <c r="D132" s="9" t="s">
        <v>17</v>
      </c>
      <c r="E132" s="9" t="str">
        <f t="shared" si="73"/>
        <v>historical</v>
      </c>
      <c r="F132" s="8">
        <v>350</v>
      </c>
      <c r="G132" s="8" t="s">
        <v>60</v>
      </c>
      <c r="H132" s="8">
        <v>3</v>
      </c>
      <c r="I132" s="19">
        <v>6.8499999999999995E-4</v>
      </c>
      <c r="J132" s="8">
        <v>4</v>
      </c>
      <c r="K132" s="8" t="s">
        <v>159</v>
      </c>
      <c r="L132" s="8">
        <v>1</v>
      </c>
      <c r="M132" s="8">
        <v>1</v>
      </c>
      <c r="N132" s="10" t="s">
        <v>21</v>
      </c>
      <c r="O132" s="17" t="s">
        <v>328</v>
      </c>
      <c r="P132" s="10" t="str">
        <f t="shared" si="74"/>
        <v>NCC-NorESM1-M_Scaled_Cluster4_repl1.sqlite</v>
      </c>
      <c r="Q132" s="11">
        <f t="shared" si="75"/>
        <v>3</v>
      </c>
      <c r="R132" s="16" t="str">
        <f t="shared" si="76"/>
        <v>climate_db_NCC-NorESM1-M_historical_v4.sqlite</v>
      </c>
      <c r="S132" s="16" t="str">
        <f t="shared" si="77"/>
        <v>log/NCC-NorESM1-M_Scaled_Cluster4_repl1.txt</v>
      </c>
      <c r="T132" s="16" t="str">
        <f t="shared" si="78"/>
        <v>init/env_file_CLUSTER04_REPL1_NCC-NorESM1-M_historical.csv</v>
      </c>
      <c r="U132" s="16" t="str">
        <f t="shared" si="79"/>
        <v>init/env_grid_CLUSTER04_REPL1.asc</v>
      </c>
      <c r="V132" s="16" t="str">
        <f t="shared" si="80"/>
        <v>init/env_grid_CLUSTER04_REPL1.asc</v>
      </c>
      <c r="W132" s="16" t="str">
        <f t="shared" si="81"/>
        <v>trees_CLUSTER04.csv</v>
      </c>
      <c r="X132" s="16" t="str">
        <f t="shared" si="82"/>
        <v>saplings_CLUSTER04.csv</v>
      </c>
      <c r="Y132" s="16">
        <f t="shared" si="83"/>
        <v>350</v>
      </c>
      <c r="Z132" s="16" t="str">
        <f t="shared" si="84"/>
        <v>abe/no_mgmt.csv</v>
      </c>
      <c r="AA132" s="16" t="str">
        <f t="shared" si="85"/>
        <v>gis/WindModifier_cl4.asc</v>
      </c>
      <c r="AB132" s="16">
        <f t="shared" si="86"/>
        <v>6.8500009999999999E-4</v>
      </c>
      <c r="AC132" s="16" t="str">
        <f t="shared" si="87"/>
        <v>NCC-NorESM1-M_historical_point26511</v>
      </c>
      <c r="AD132" s="16" t="str">
        <f t="shared" si="88"/>
        <v>wind_Events/Scaled_cl4_repl1.txt</v>
      </c>
      <c r="AE132" s="16" t="str">
        <f t="shared" si="89"/>
        <v>NCC-NorESM1-M_Scaled_Cluster4_repl1</v>
      </c>
      <c r="AF132" s="21" t="s">
        <v>392</v>
      </c>
      <c r="AG132" s="21" t="s">
        <v>393</v>
      </c>
    </row>
    <row r="133" spans="1:33" ht="13.8">
      <c r="A133" s="7" t="str">
        <f t="shared" si="72"/>
        <v>NCC-NorESM1-M_Scaled_Cluster4_repl2</v>
      </c>
      <c r="B133" s="8" t="s">
        <v>16</v>
      </c>
      <c r="C133" s="8" t="s">
        <v>54</v>
      </c>
      <c r="D133" s="9" t="s">
        <v>17</v>
      </c>
      <c r="E133" s="9" t="str">
        <f t="shared" si="73"/>
        <v>historical</v>
      </c>
      <c r="F133" s="8">
        <v>350</v>
      </c>
      <c r="G133" s="8" t="s">
        <v>60</v>
      </c>
      <c r="H133" s="8">
        <v>3</v>
      </c>
      <c r="I133" s="19">
        <v>6.8499999999999995E-4</v>
      </c>
      <c r="J133" s="8">
        <v>4</v>
      </c>
      <c r="K133" s="8" t="s">
        <v>159</v>
      </c>
      <c r="L133" s="8">
        <v>2</v>
      </c>
      <c r="M133" s="8">
        <v>1</v>
      </c>
      <c r="N133" s="10" t="s">
        <v>21</v>
      </c>
      <c r="O133" s="17" t="s">
        <v>328</v>
      </c>
      <c r="P133" s="10" t="str">
        <f t="shared" si="74"/>
        <v>NCC-NorESM1-M_Scaled_Cluster4_repl2.sqlite</v>
      </c>
      <c r="Q133" s="11">
        <f t="shared" si="75"/>
        <v>6</v>
      </c>
      <c r="R133" s="16" t="str">
        <f t="shared" si="76"/>
        <v>climate_db_NCC-NorESM1-M_historical_v4.sqlite</v>
      </c>
      <c r="S133" s="16" t="str">
        <f t="shared" si="77"/>
        <v>log/NCC-NorESM1-M_Scaled_Cluster4_repl2.txt</v>
      </c>
      <c r="T133" s="16" t="str">
        <f t="shared" si="78"/>
        <v>init/env_file_CLUSTER04_REPL2_NCC-NorESM1-M_historical.csv</v>
      </c>
      <c r="U133" s="16" t="str">
        <f t="shared" si="79"/>
        <v>init/env_grid_CLUSTER04_REPL2.asc</v>
      </c>
      <c r="V133" s="16" t="str">
        <f t="shared" si="80"/>
        <v>init/env_grid_CLUSTER04_REPL2.asc</v>
      </c>
      <c r="W133" s="16" t="str">
        <f t="shared" si="81"/>
        <v>trees_CLUSTER04.csv</v>
      </c>
      <c r="X133" s="16" t="str">
        <f t="shared" si="82"/>
        <v>saplings_CLUSTER04.csv</v>
      </c>
      <c r="Y133" s="16">
        <f t="shared" si="83"/>
        <v>350</v>
      </c>
      <c r="Z133" s="16" t="str">
        <f t="shared" si="84"/>
        <v>abe/no_mgmt.csv</v>
      </c>
      <c r="AA133" s="16" t="str">
        <f t="shared" si="85"/>
        <v>gis/WindModifier_cl4.asc</v>
      </c>
      <c r="AB133" s="16">
        <f t="shared" si="86"/>
        <v>6.8500009999999999E-4</v>
      </c>
      <c r="AC133" s="16" t="str">
        <f t="shared" si="87"/>
        <v>NCC-NorESM1-M_historical_point26511</v>
      </c>
      <c r="AD133" s="16" t="str">
        <f t="shared" si="88"/>
        <v>wind_Events/Scaled_cl4_repl2.txt</v>
      </c>
      <c r="AE133" s="16" t="str">
        <f t="shared" si="89"/>
        <v>NCC-NorESM1-M_Scaled_Cluster4_repl2</v>
      </c>
      <c r="AF133" s="21" t="s">
        <v>638</v>
      </c>
      <c r="AG133" s="21" t="s">
        <v>639</v>
      </c>
    </row>
    <row r="134" spans="1:33" ht="13.8">
      <c r="A134" s="7" t="str">
        <f t="shared" si="72"/>
        <v>NCC-NorESM1-M_Scaled_Cluster4_repl3</v>
      </c>
      <c r="B134" s="8" t="s">
        <v>16</v>
      </c>
      <c r="C134" s="8" t="s">
        <v>54</v>
      </c>
      <c r="D134" s="9" t="s">
        <v>17</v>
      </c>
      <c r="E134" s="9" t="str">
        <f t="shared" si="73"/>
        <v>historical</v>
      </c>
      <c r="F134" s="8">
        <v>350</v>
      </c>
      <c r="G134" s="8" t="s">
        <v>60</v>
      </c>
      <c r="H134" s="8">
        <v>3</v>
      </c>
      <c r="I134" s="19">
        <v>6.8499999999999995E-4</v>
      </c>
      <c r="J134" s="8">
        <v>4</v>
      </c>
      <c r="K134" s="8" t="s">
        <v>159</v>
      </c>
      <c r="L134" s="8">
        <v>3</v>
      </c>
      <c r="M134" s="8">
        <v>1</v>
      </c>
      <c r="N134" s="10" t="s">
        <v>21</v>
      </c>
      <c r="O134" s="17" t="s">
        <v>328</v>
      </c>
      <c r="P134" s="10" t="str">
        <f t="shared" si="74"/>
        <v>NCC-NorESM1-M_Scaled_Cluster4_repl3.sqlite</v>
      </c>
      <c r="Q134" s="11">
        <f t="shared" si="75"/>
        <v>9</v>
      </c>
      <c r="R134" s="16" t="str">
        <f t="shared" si="76"/>
        <v>climate_db_NCC-NorESM1-M_historical_v4.sqlite</v>
      </c>
      <c r="S134" s="16" t="str">
        <f t="shared" si="77"/>
        <v>log/NCC-NorESM1-M_Scaled_Cluster4_repl3.txt</v>
      </c>
      <c r="T134" s="16" t="str">
        <f t="shared" si="78"/>
        <v>init/env_file_CLUSTER04_REPL3_NCC-NorESM1-M_historical.csv</v>
      </c>
      <c r="U134" s="16" t="str">
        <f t="shared" si="79"/>
        <v>init/env_grid_CLUSTER04_REPL3.asc</v>
      </c>
      <c r="V134" s="16" t="str">
        <f t="shared" si="80"/>
        <v>init/env_grid_CLUSTER04_REPL3.asc</v>
      </c>
      <c r="W134" s="16" t="str">
        <f t="shared" si="81"/>
        <v>trees_CLUSTER04.csv</v>
      </c>
      <c r="X134" s="16" t="str">
        <f t="shared" si="82"/>
        <v>saplings_CLUSTER04.csv</v>
      </c>
      <c r="Y134" s="16">
        <f t="shared" si="83"/>
        <v>350</v>
      </c>
      <c r="Z134" s="16" t="str">
        <f t="shared" si="84"/>
        <v>abe/no_mgmt.csv</v>
      </c>
      <c r="AA134" s="16" t="str">
        <f t="shared" si="85"/>
        <v>gis/WindModifier_cl4.asc</v>
      </c>
      <c r="AB134" s="16">
        <f t="shared" si="86"/>
        <v>6.8500009999999999E-4</v>
      </c>
      <c r="AC134" s="16" t="str">
        <f t="shared" si="87"/>
        <v>NCC-NorESM1-M_historical_point26511</v>
      </c>
      <c r="AD134" s="16" t="str">
        <f t="shared" si="88"/>
        <v>wind_Events/Scaled_cl4_repl3.txt</v>
      </c>
      <c r="AE134" s="16" t="str">
        <f t="shared" si="89"/>
        <v>NCC-NorESM1-M_Scaled_Cluster4_repl3</v>
      </c>
      <c r="AF134" s="21" t="s">
        <v>640</v>
      </c>
      <c r="AG134" s="21" t="s">
        <v>641</v>
      </c>
    </row>
    <row r="135" spans="1:33" ht="13.8">
      <c r="A135" s="7" t="str">
        <f t="shared" si="72"/>
        <v>NCC-NorESM1-M_Scaled_Cluster4_repl4</v>
      </c>
      <c r="B135" s="8" t="s">
        <v>16</v>
      </c>
      <c r="C135" s="8" t="s">
        <v>54</v>
      </c>
      <c r="D135" s="9" t="s">
        <v>17</v>
      </c>
      <c r="E135" s="9" t="str">
        <f t="shared" si="73"/>
        <v>historical</v>
      </c>
      <c r="F135" s="8">
        <v>350</v>
      </c>
      <c r="G135" s="8" t="s">
        <v>60</v>
      </c>
      <c r="H135" s="8">
        <v>3</v>
      </c>
      <c r="I135" s="19">
        <v>6.8499999999999995E-4</v>
      </c>
      <c r="J135" s="8">
        <v>4</v>
      </c>
      <c r="K135" s="8" t="s">
        <v>159</v>
      </c>
      <c r="L135" s="8">
        <v>4</v>
      </c>
      <c r="M135" s="8">
        <v>1</v>
      </c>
      <c r="N135" s="10" t="s">
        <v>21</v>
      </c>
      <c r="O135" s="17" t="s">
        <v>328</v>
      </c>
      <c r="P135" s="10" t="str">
        <f t="shared" si="74"/>
        <v>NCC-NorESM1-M_Scaled_Cluster4_repl4.sqlite</v>
      </c>
      <c r="Q135" s="11">
        <f t="shared" si="75"/>
        <v>12</v>
      </c>
      <c r="R135" s="16" t="str">
        <f t="shared" si="76"/>
        <v>climate_db_NCC-NorESM1-M_historical_v4.sqlite</v>
      </c>
      <c r="S135" s="16" t="str">
        <f t="shared" si="77"/>
        <v>log/NCC-NorESM1-M_Scaled_Cluster4_repl4.txt</v>
      </c>
      <c r="T135" s="16" t="str">
        <f t="shared" si="78"/>
        <v>init/env_file_CLUSTER04_REPL4_NCC-NorESM1-M_historical.csv</v>
      </c>
      <c r="U135" s="16" t="str">
        <f t="shared" si="79"/>
        <v>init/env_grid_CLUSTER04_REPL4.asc</v>
      </c>
      <c r="V135" s="16" t="str">
        <f t="shared" si="80"/>
        <v>init/env_grid_CLUSTER04_REPL4.asc</v>
      </c>
      <c r="W135" s="16" t="str">
        <f t="shared" si="81"/>
        <v>trees_CLUSTER04.csv</v>
      </c>
      <c r="X135" s="16" t="str">
        <f t="shared" si="82"/>
        <v>saplings_CLUSTER04.csv</v>
      </c>
      <c r="Y135" s="16">
        <f t="shared" si="83"/>
        <v>350</v>
      </c>
      <c r="Z135" s="16" t="str">
        <f t="shared" si="84"/>
        <v>abe/no_mgmt.csv</v>
      </c>
      <c r="AA135" s="16" t="str">
        <f t="shared" si="85"/>
        <v>gis/WindModifier_cl4.asc</v>
      </c>
      <c r="AB135" s="16">
        <f t="shared" si="86"/>
        <v>6.8500009999999999E-4</v>
      </c>
      <c r="AC135" s="16" t="str">
        <f t="shared" si="87"/>
        <v>NCC-NorESM1-M_historical_point26511</v>
      </c>
      <c r="AD135" s="16" t="str">
        <f t="shared" si="88"/>
        <v>wind_Events/Scaled_cl4_repl4.txt</v>
      </c>
      <c r="AE135" s="16" t="str">
        <f t="shared" si="89"/>
        <v>NCC-NorESM1-M_Scaled_Cluster4_repl4</v>
      </c>
      <c r="AF135" s="21" t="s">
        <v>642</v>
      </c>
      <c r="AG135" s="21" t="s">
        <v>643</v>
      </c>
    </row>
    <row r="136" spans="1:33" ht="13.8">
      <c r="A136" s="7" t="str">
        <f t="shared" si="72"/>
        <v>NCC-NorESM1-M_Scaled_Cluster4_repl5</v>
      </c>
      <c r="B136" s="8" t="s">
        <v>16</v>
      </c>
      <c r="C136" s="8" t="s">
        <v>54</v>
      </c>
      <c r="D136" s="9" t="s">
        <v>17</v>
      </c>
      <c r="E136" s="9" t="str">
        <f t="shared" si="73"/>
        <v>historical</v>
      </c>
      <c r="F136" s="8">
        <v>350</v>
      </c>
      <c r="G136" s="8" t="s">
        <v>60</v>
      </c>
      <c r="H136" s="8">
        <v>3</v>
      </c>
      <c r="I136" s="19">
        <v>6.8499999999999995E-4</v>
      </c>
      <c r="J136" s="8">
        <v>4</v>
      </c>
      <c r="K136" s="8" t="s">
        <v>159</v>
      </c>
      <c r="L136" s="8">
        <v>5</v>
      </c>
      <c r="M136" s="8">
        <v>1</v>
      </c>
      <c r="N136" s="10" t="s">
        <v>21</v>
      </c>
      <c r="O136" s="17" t="s">
        <v>328</v>
      </c>
      <c r="P136" s="10" t="str">
        <f t="shared" si="74"/>
        <v>NCC-NorESM1-M_Scaled_Cluster4_repl5.sqlite</v>
      </c>
      <c r="Q136" s="11">
        <f t="shared" si="75"/>
        <v>15</v>
      </c>
      <c r="R136" s="16" t="str">
        <f t="shared" si="76"/>
        <v>climate_db_NCC-NorESM1-M_historical_v4.sqlite</v>
      </c>
      <c r="S136" s="16" t="str">
        <f t="shared" si="77"/>
        <v>log/NCC-NorESM1-M_Scaled_Cluster4_repl5.txt</v>
      </c>
      <c r="T136" s="16" t="str">
        <f t="shared" si="78"/>
        <v>init/env_file_CLUSTER04_REPL5_NCC-NorESM1-M_historical.csv</v>
      </c>
      <c r="U136" s="16" t="str">
        <f t="shared" si="79"/>
        <v>init/env_grid_CLUSTER04_REPL5.asc</v>
      </c>
      <c r="V136" s="16" t="str">
        <f t="shared" si="80"/>
        <v>init/env_grid_CLUSTER04_REPL5.asc</v>
      </c>
      <c r="W136" s="16" t="str">
        <f t="shared" si="81"/>
        <v>trees_CLUSTER04.csv</v>
      </c>
      <c r="X136" s="16" t="str">
        <f t="shared" si="82"/>
        <v>saplings_CLUSTER04.csv</v>
      </c>
      <c r="Y136" s="16">
        <f t="shared" si="83"/>
        <v>350</v>
      </c>
      <c r="Z136" s="16" t="str">
        <f t="shared" si="84"/>
        <v>abe/no_mgmt.csv</v>
      </c>
      <c r="AA136" s="16" t="str">
        <f t="shared" si="85"/>
        <v>gis/WindModifier_cl4.asc</v>
      </c>
      <c r="AB136" s="16">
        <f t="shared" si="86"/>
        <v>6.8500009999999999E-4</v>
      </c>
      <c r="AC136" s="16" t="str">
        <f t="shared" si="87"/>
        <v>NCC-NorESM1-M_historical_point26511</v>
      </c>
      <c r="AD136" s="16" t="str">
        <f t="shared" si="88"/>
        <v>wind_Events/Scaled_cl4_repl5.txt</v>
      </c>
      <c r="AE136" s="16" t="str">
        <f t="shared" si="89"/>
        <v>NCC-NorESM1-M_Scaled_Cluster4_repl5</v>
      </c>
      <c r="AF136" s="21" t="s">
        <v>644</v>
      </c>
      <c r="AG136" s="21" t="s">
        <v>645</v>
      </c>
    </row>
    <row r="137" spans="1:33" ht="13.8">
      <c r="A137" s="7" t="str">
        <f t="shared" si="72"/>
        <v>NCC-NorESM1-M_Scaled_Cluster5_repl1</v>
      </c>
      <c r="B137" s="8" t="s">
        <v>16</v>
      </c>
      <c r="C137" s="8" t="s">
        <v>54</v>
      </c>
      <c r="D137" s="9" t="s">
        <v>17</v>
      </c>
      <c r="E137" s="9" t="str">
        <f t="shared" si="73"/>
        <v>historical</v>
      </c>
      <c r="F137" s="8">
        <v>350</v>
      </c>
      <c r="G137" s="8" t="s">
        <v>60</v>
      </c>
      <c r="H137" s="8">
        <v>3</v>
      </c>
      <c r="I137" s="19">
        <v>6.8499999999999995E-4</v>
      </c>
      <c r="J137" s="8">
        <v>5</v>
      </c>
      <c r="K137" s="8" t="s">
        <v>175</v>
      </c>
      <c r="L137" s="8">
        <v>1</v>
      </c>
      <c r="M137" s="8">
        <v>1</v>
      </c>
      <c r="N137" s="10" t="s">
        <v>21</v>
      </c>
      <c r="O137" s="17" t="s">
        <v>328</v>
      </c>
      <c r="P137" s="10" t="str">
        <f t="shared" si="74"/>
        <v>NCC-NorESM1-M_Scaled_Cluster5_repl1.sqlite</v>
      </c>
      <c r="Q137" s="11">
        <f t="shared" si="75"/>
        <v>3</v>
      </c>
      <c r="R137" s="16" t="str">
        <f t="shared" si="76"/>
        <v>climate_db_NCC-NorESM1-M_historical_v4.sqlite</v>
      </c>
      <c r="S137" s="16" t="str">
        <f t="shared" si="77"/>
        <v>log/NCC-NorESM1-M_Scaled_Cluster5_repl1.txt</v>
      </c>
      <c r="T137" s="16" t="str">
        <f t="shared" si="78"/>
        <v>init/env_file_CLUSTER05_REPL1_NCC-NorESM1-M_historical.csv</v>
      </c>
      <c r="U137" s="16" t="str">
        <f t="shared" si="79"/>
        <v>init/env_grid_CLUSTER05_REPL1.asc</v>
      </c>
      <c r="V137" s="16" t="str">
        <f t="shared" si="80"/>
        <v>init/env_grid_CLUSTER05_REPL1.asc</v>
      </c>
      <c r="W137" s="16" t="str">
        <f t="shared" si="81"/>
        <v>trees_CLUSTER05.csv</v>
      </c>
      <c r="X137" s="16" t="str">
        <f t="shared" si="82"/>
        <v>saplings_CLUSTER05.csv</v>
      </c>
      <c r="Y137" s="16">
        <f t="shared" si="83"/>
        <v>350</v>
      </c>
      <c r="Z137" s="16" t="str">
        <f t="shared" si="84"/>
        <v>abe/no_mgmt.csv</v>
      </c>
      <c r="AA137" s="16" t="str">
        <f t="shared" si="85"/>
        <v>gis/WindModifier_cl5.asc</v>
      </c>
      <c r="AB137" s="16">
        <f t="shared" si="86"/>
        <v>6.8500009999999999E-4</v>
      </c>
      <c r="AC137" s="16" t="str">
        <f t="shared" si="87"/>
        <v>NCC-NorESM1-M_historical_point29016</v>
      </c>
      <c r="AD137" s="16" t="str">
        <f t="shared" si="88"/>
        <v>wind_Events/Scaled_cl5_repl1.txt</v>
      </c>
      <c r="AE137" s="16" t="str">
        <f t="shared" si="89"/>
        <v>NCC-NorESM1-M_Scaled_Cluster5_repl1</v>
      </c>
      <c r="AF137" s="21" t="s">
        <v>395</v>
      </c>
      <c r="AG137" s="21" t="s">
        <v>396</v>
      </c>
    </row>
    <row r="138" spans="1:33" ht="13.8">
      <c r="A138" s="7" t="str">
        <f t="shared" si="72"/>
        <v>NCC-NorESM1-M_Scaled_Cluster5_repl2</v>
      </c>
      <c r="B138" s="8" t="s">
        <v>16</v>
      </c>
      <c r="C138" s="8" t="s">
        <v>54</v>
      </c>
      <c r="D138" s="9" t="s">
        <v>17</v>
      </c>
      <c r="E138" s="9" t="str">
        <f t="shared" si="73"/>
        <v>historical</v>
      </c>
      <c r="F138" s="8">
        <v>350</v>
      </c>
      <c r="G138" s="8" t="s">
        <v>60</v>
      </c>
      <c r="H138" s="8">
        <v>3</v>
      </c>
      <c r="I138" s="19">
        <v>6.8499999999999995E-4</v>
      </c>
      <c r="J138" s="8">
        <v>5</v>
      </c>
      <c r="K138" s="8" t="s">
        <v>175</v>
      </c>
      <c r="L138" s="8">
        <v>2</v>
      </c>
      <c r="M138" s="8">
        <v>1</v>
      </c>
      <c r="N138" s="10" t="s">
        <v>21</v>
      </c>
      <c r="O138" s="17" t="s">
        <v>328</v>
      </c>
      <c r="P138" s="10" t="str">
        <f t="shared" si="74"/>
        <v>NCC-NorESM1-M_Scaled_Cluster5_repl2.sqlite</v>
      </c>
      <c r="Q138" s="11">
        <f t="shared" si="75"/>
        <v>6</v>
      </c>
      <c r="R138" s="16" t="str">
        <f t="shared" si="76"/>
        <v>climate_db_NCC-NorESM1-M_historical_v4.sqlite</v>
      </c>
      <c r="S138" s="16" t="str">
        <f t="shared" si="77"/>
        <v>log/NCC-NorESM1-M_Scaled_Cluster5_repl2.txt</v>
      </c>
      <c r="T138" s="16" t="str">
        <f t="shared" si="78"/>
        <v>init/env_file_CLUSTER05_REPL2_NCC-NorESM1-M_historical.csv</v>
      </c>
      <c r="U138" s="16" t="str">
        <f t="shared" si="79"/>
        <v>init/env_grid_CLUSTER05_REPL2.asc</v>
      </c>
      <c r="V138" s="16" t="str">
        <f t="shared" si="80"/>
        <v>init/env_grid_CLUSTER05_REPL2.asc</v>
      </c>
      <c r="W138" s="16" t="str">
        <f t="shared" si="81"/>
        <v>trees_CLUSTER05.csv</v>
      </c>
      <c r="X138" s="16" t="str">
        <f t="shared" si="82"/>
        <v>saplings_CLUSTER05.csv</v>
      </c>
      <c r="Y138" s="16">
        <f t="shared" si="83"/>
        <v>350</v>
      </c>
      <c r="Z138" s="16" t="str">
        <f t="shared" si="84"/>
        <v>abe/no_mgmt.csv</v>
      </c>
      <c r="AA138" s="16" t="str">
        <f t="shared" si="85"/>
        <v>gis/WindModifier_cl5.asc</v>
      </c>
      <c r="AB138" s="16">
        <f t="shared" si="86"/>
        <v>6.8500009999999999E-4</v>
      </c>
      <c r="AC138" s="16" t="str">
        <f t="shared" si="87"/>
        <v>NCC-NorESM1-M_historical_point29016</v>
      </c>
      <c r="AD138" s="16" t="str">
        <f t="shared" si="88"/>
        <v>wind_Events/Scaled_cl5_repl2.txt</v>
      </c>
      <c r="AE138" s="16" t="str">
        <f t="shared" si="89"/>
        <v>NCC-NorESM1-M_Scaled_Cluster5_repl2</v>
      </c>
      <c r="AF138" s="21" t="s">
        <v>646</v>
      </c>
      <c r="AG138" s="21" t="s">
        <v>647</v>
      </c>
    </row>
    <row r="139" spans="1:33" ht="13.8">
      <c r="A139" s="7" t="str">
        <f t="shared" si="72"/>
        <v>NCC-NorESM1-M_Scaled_Cluster5_repl3</v>
      </c>
      <c r="B139" s="8" t="s">
        <v>16</v>
      </c>
      <c r="C139" s="8" t="s">
        <v>54</v>
      </c>
      <c r="D139" s="9" t="s">
        <v>17</v>
      </c>
      <c r="E139" s="9" t="str">
        <f t="shared" si="73"/>
        <v>historical</v>
      </c>
      <c r="F139" s="8">
        <v>350</v>
      </c>
      <c r="G139" s="8" t="s">
        <v>60</v>
      </c>
      <c r="H139" s="8">
        <v>3</v>
      </c>
      <c r="I139" s="19">
        <v>6.8499999999999995E-4</v>
      </c>
      <c r="J139" s="8">
        <v>5</v>
      </c>
      <c r="K139" s="8" t="s">
        <v>175</v>
      </c>
      <c r="L139" s="8">
        <v>3</v>
      </c>
      <c r="M139" s="8">
        <v>1</v>
      </c>
      <c r="N139" s="10" t="s">
        <v>21</v>
      </c>
      <c r="O139" s="17" t="s">
        <v>328</v>
      </c>
      <c r="P139" s="10" t="str">
        <f t="shared" si="74"/>
        <v>NCC-NorESM1-M_Scaled_Cluster5_repl3.sqlite</v>
      </c>
      <c r="Q139" s="11">
        <f t="shared" si="75"/>
        <v>9</v>
      </c>
      <c r="R139" s="16" t="str">
        <f t="shared" si="76"/>
        <v>climate_db_NCC-NorESM1-M_historical_v4.sqlite</v>
      </c>
      <c r="S139" s="16" t="str">
        <f t="shared" si="77"/>
        <v>log/NCC-NorESM1-M_Scaled_Cluster5_repl3.txt</v>
      </c>
      <c r="T139" s="16" t="str">
        <f t="shared" si="78"/>
        <v>init/env_file_CLUSTER05_REPL3_NCC-NorESM1-M_historical.csv</v>
      </c>
      <c r="U139" s="16" t="str">
        <f t="shared" si="79"/>
        <v>init/env_grid_CLUSTER05_REPL3.asc</v>
      </c>
      <c r="V139" s="16" t="str">
        <f t="shared" si="80"/>
        <v>init/env_grid_CLUSTER05_REPL3.asc</v>
      </c>
      <c r="W139" s="16" t="str">
        <f t="shared" si="81"/>
        <v>trees_CLUSTER05.csv</v>
      </c>
      <c r="X139" s="16" t="str">
        <f t="shared" si="82"/>
        <v>saplings_CLUSTER05.csv</v>
      </c>
      <c r="Y139" s="16">
        <f t="shared" si="83"/>
        <v>350</v>
      </c>
      <c r="Z139" s="16" t="str">
        <f t="shared" si="84"/>
        <v>abe/no_mgmt.csv</v>
      </c>
      <c r="AA139" s="16" t="str">
        <f t="shared" si="85"/>
        <v>gis/WindModifier_cl5.asc</v>
      </c>
      <c r="AB139" s="16">
        <f t="shared" si="86"/>
        <v>6.8500009999999999E-4</v>
      </c>
      <c r="AC139" s="16" t="str">
        <f t="shared" si="87"/>
        <v>NCC-NorESM1-M_historical_point29016</v>
      </c>
      <c r="AD139" s="16" t="str">
        <f t="shared" si="88"/>
        <v>wind_Events/Scaled_cl5_repl3.txt</v>
      </c>
      <c r="AE139" s="16" t="str">
        <f t="shared" si="89"/>
        <v>NCC-NorESM1-M_Scaled_Cluster5_repl3</v>
      </c>
      <c r="AF139" s="21" t="s">
        <v>648</v>
      </c>
      <c r="AG139" s="21" t="s">
        <v>649</v>
      </c>
    </row>
    <row r="140" spans="1:33" ht="13.8">
      <c r="A140" s="7" t="str">
        <f t="shared" si="72"/>
        <v>NCC-NorESM1-M_Scaled_Cluster5_repl4</v>
      </c>
      <c r="B140" s="8" t="s">
        <v>16</v>
      </c>
      <c r="C140" s="8" t="s">
        <v>54</v>
      </c>
      <c r="D140" s="9" t="s">
        <v>17</v>
      </c>
      <c r="E140" s="9" t="str">
        <f t="shared" si="73"/>
        <v>historical</v>
      </c>
      <c r="F140" s="8">
        <v>350</v>
      </c>
      <c r="G140" s="8" t="s">
        <v>60</v>
      </c>
      <c r="H140" s="8">
        <v>3</v>
      </c>
      <c r="I140" s="19">
        <v>6.8499999999999995E-4</v>
      </c>
      <c r="J140" s="8">
        <v>5</v>
      </c>
      <c r="K140" s="8" t="s">
        <v>175</v>
      </c>
      <c r="L140" s="8">
        <v>4</v>
      </c>
      <c r="M140" s="8">
        <v>1</v>
      </c>
      <c r="N140" s="10" t="s">
        <v>21</v>
      </c>
      <c r="O140" s="17" t="s">
        <v>328</v>
      </c>
      <c r="P140" s="10" t="str">
        <f t="shared" si="74"/>
        <v>NCC-NorESM1-M_Scaled_Cluster5_repl4.sqlite</v>
      </c>
      <c r="Q140" s="11">
        <f t="shared" si="75"/>
        <v>12</v>
      </c>
      <c r="R140" s="16" t="str">
        <f t="shared" si="76"/>
        <v>climate_db_NCC-NorESM1-M_historical_v4.sqlite</v>
      </c>
      <c r="S140" s="16" t="str">
        <f t="shared" si="77"/>
        <v>log/NCC-NorESM1-M_Scaled_Cluster5_repl4.txt</v>
      </c>
      <c r="T140" s="16" t="str">
        <f t="shared" si="78"/>
        <v>init/env_file_CLUSTER05_REPL4_NCC-NorESM1-M_historical.csv</v>
      </c>
      <c r="U140" s="16" t="str">
        <f t="shared" si="79"/>
        <v>init/env_grid_CLUSTER05_REPL4.asc</v>
      </c>
      <c r="V140" s="16" t="str">
        <f t="shared" si="80"/>
        <v>init/env_grid_CLUSTER05_REPL4.asc</v>
      </c>
      <c r="W140" s="16" t="str">
        <f t="shared" si="81"/>
        <v>trees_CLUSTER05.csv</v>
      </c>
      <c r="X140" s="16" t="str">
        <f t="shared" si="82"/>
        <v>saplings_CLUSTER05.csv</v>
      </c>
      <c r="Y140" s="16">
        <f t="shared" si="83"/>
        <v>350</v>
      </c>
      <c r="Z140" s="16" t="str">
        <f t="shared" si="84"/>
        <v>abe/no_mgmt.csv</v>
      </c>
      <c r="AA140" s="16" t="str">
        <f t="shared" si="85"/>
        <v>gis/WindModifier_cl5.asc</v>
      </c>
      <c r="AB140" s="16">
        <f t="shared" si="86"/>
        <v>6.8500009999999999E-4</v>
      </c>
      <c r="AC140" s="16" t="str">
        <f t="shared" si="87"/>
        <v>NCC-NorESM1-M_historical_point29016</v>
      </c>
      <c r="AD140" s="16" t="str">
        <f t="shared" si="88"/>
        <v>wind_Events/Scaled_cl5_repl4.txt</v>
      </c>
      <c r="AE140" s="16" t="str">
        <f t="shared" si="89"/>
        <v>NCC-NorESM1-M_Scaled_Cluster5_repl4</v>
      </c>
      <c r="AF140" s="21" t="s">
        <v>650</v>
      </c>
      <c r="AG140" s="21" t="s">
        <v>651</v>
      </c>
    </row>
    <row r="141" spans="1:33" ht="13.8">
      <c r="A141" s="7" t="str">
        <f t="shared" si="72"/>
        <v>NCC-NorESM1-M_Scaled_Cluster5_repl5</v>
      </c>
      <c r="B141" s="8" t="s">
        <v>16</v>
      </c>
      <c r="C141" s="8" t="s">
        <v>54</v>
      </c>
      <c r="D141" s="9" t="s">
        <v>17</v>
      </c>
      <c r="E141" s="9" t="str">
        <f t="shared" si="73"/>
        <v>historical</v>
      </c>
      <c r="F141" s="8">
        <v>350</v>
      </c>
      <c r="G141" s="8" t="s">
        <v>60</v>
      </c>
      <c r="H141" s="8">
        <v>3</v>
      </c>
      <c r="I141" s="19">
        <v>6.8499999999999995E-4</v>
      </c>
      <c r="J141" s="8">
        <v>5</v>
      </c>
      <c r="K141" s="8" t="s">
        <v>175</v>
      </c>
      <c r="L141" s="8">
        <v>5</v>
      </c>
      <c r="M141" s="8">
        <v>1</v>
      </c>
      <c r="N141" s="10" t="s">
        <v>21</v>
      </c>
      <c r="O141" s="17" t="s">
        <v>328</v>
      </c>
      <c r="P141" s="10" t="str">
        <f t="shared" si="74"/>
        <v>NCC-NorESM1-M_Scaled_Cluster5_repl5.sqlite</v>
      </c>
      <c r="Q141" s="11">
        <f t="shared" si="75"/>
        <v>15</v>
      </c>
      <c r="R141" s="16" t="str">
        <f t="shared" si="76"/>
        <v>climate_db_NCC-NorESM1-M_historical_v4.sqlite</v>
      </c>
      <c r="S141" s="16" t="str">
        <f t="shared" si="77"/>
        <v>log/NCC-NorESM1-M_Scaled_Cluster5_repl5.txt</v>
      </c>
      <c r="T141" s="16" t="str">
        <f t="shared" si="78"/>
        <v>init/env_file_CLUSTER05_REPL5_NCC-NorESM1-M_historical.csv</v>
      </c>
      <c r="U141" s="16" t="str">
        <f t="shared" si="79"/>
        <v>init/env_grid_CLUSTER05_REPL5.asc</v>
      </c>
      <c r="V141" s="16" t="str">
        <f t="shared" si="80"/>
        <v>init/env_grid_CLUSTER05_REPL5.asc</v>
      </c>
      <c r="W141" s="16" t="str">
        <f t="shared" si="81"/>
        <v>trees_CLUSTER05.csv</v>
      </c>
      <c r="X141" s="16" t="str">
        <f t="shared" si="82"/>
        <v>saplings_CLUSTER05.csv</v>
      </c>
      <c r="Y141" s="16">
        <f t="shared" si="83"/>
        <v>350</v>
      </c>
      <c r="Z141" s="16" t="str">
        <f t="shared" si="84"/>
        <v>abe/no_mgmt.csv</v>
      </c>
      <c r="AA141" s="16" t="str">
        <f t="shared" si="85"/>
        <v>gis/WindModifier_cl5.asc</v>
      </c>
      <c r="AB141" s="16">
        <f t="shared" si="86"/>
        <v>6.8500009999999999E-4</v>
      </c>
      <c r="AC141" s="16" t="str">
        <f t="shared" si="87"/>
        <v>NCC-NorESM1-M_historical_point29016</v>
      </c>
      <c r="AD141" s="16" t="str">
        <f t="shared" si="88"/>
        <v>wind_Events/Scaled_cl5_repl5.txt</v>
      </c>
      <c r="AE141" s="16" t="str">
        <f t="shared" si="89"/>
        <v>NCC-NorESM1-M_Scaled_Cluster5_repl5</v>
      </c>
      <c r="AF141" s="21" t="s">
        <v>652</v>
      </c>
      <c r="AG141" s="21" t="s">
        <v>653</v>
      </c>
    </row>
    <row r="142" spans="1:33" ht="13.8">
      <c r="A142" s="7" t="str">
        <f t="shared" si="72"/>
        <v>NCC-NorESM1-M_Scaled_Cluster6_repl1</v>
      </c>
      <c r="B142" s="8" t="s">
        <v>16</v>
      </c>
      <c r="C142" s="8" t="s">
        <v>54</v>
      </c>
      <c r="D142" s="9" t="s">
        <v>17</v>
      </c>
      <c r="E142" s="9" t="str">
        <f t="shared" si="73"/>
        <v>historical</v>
      </c>
      <c r="F142" s="8">
        <v>350</v>
      </c>
      <c r="G142" s="8" t="s">
        <v>60</v>
      </c>
      <c r="H142" s="8">
        <v>3</v>
      </c>
      <c r="I142" s="19">
        <v>6.8499999999999995E-4</v>
      </c>
      <c r="J142" s="8">
        <v>6</v>
      </c>
      <c r="K142" s="8" t="s">
        <v>176</v>
      </c>
      <c r="L142" s="8">
        <v>1</v>
      </c>
      <c r="M142" s="8">
        <v>1</v>
      </c>
      <c r="N142" s="10" t="s">
        <v>21</v>
      </c>
      <c r="O142" s="17" t="s">
        <v>328</v>
      </c>
      <c r="P142" s="10" t="str">
        <f t="shared" si="74"/>
        <v>NCC-NorESM1-M_Scaled_Cluster6_repl1.sqlite</v>
      </c>
      <c r="Q142" s="11">
        <f t="shared" si="75"/>
        <v>3</v>
      </c>
      <c r="R142" s="16" t="str">
        <f t="shared" si="76"/>
        <v>climate_db_NCC-NorESM1-M_historical_v4.sqlite</v>
      </c>
      <c r="S142" s="16" t="str">
        <f t="shared" si="77"/>
        <v>log/NCC-NorESM1-M_Scaled_Cluster6_repl1.txt</v>
      </c>
      <c r="T142" s="16" t="str">
        <f t="shared" si="78"/>
        <v>init/env_file_CLUSTER06_REPL1_NCC-NorESM1-M_historical.csv</v>
      </c>
      <c r="U142" s="16" t="str">
        <f t="shared" si="79"/>
        <v>init/env_grid_CLUSTER06_REPL1.asc</v>
      </c>
      <c r="V142" s="16" t="str">
        <f t="shared" si="80"/>
        <v>init/env_grid_CLUSTER06_REPL1.asc</v>
      </c>
      <c r="W142" s="16" t="str">
        <f t="shared" si="81"/>
        <v>trees_CLUSTER06.csv</v>
      </c>
      <c r="X142" s="16" t="str">
        <f t="shared" si="82"/>
        <v>saplings_CLUSTER06.csv</v>
      </c>
      <c r="Y142" s="16">
        <f t="shared" si="83"/>
        <v>350</v>
      </c>
      <c r="Z142" s="16" t="str">
        <f t="shared" si="84"/>
        <v>abe/no_mgmt.csv</v>
      </c>
      <c r="AA142" s="16" t="str">
        <f t="shared" si="85"/>
        <v>gis/WindModifier_cl6.asc</v>
      </c>
      <c r="AB142" s="16">
        <f t="shared" si="86"/>
        <v>6.8500009999999999E-4</v>
      </c>
      <c r="AC142" s="16" t="str">
        <f t="shared" si="87"/>
        <v>NCC-NorESM1-M_historical_point30070</v>
      </c>
      <c r="AD142" s="16" t="str">
        <f t="shared" si="88"/>
        <v>wind_Events/Scaled_cl6_repl1.txt</v>
      </c>
      <c r="AE142" s="16" t="str">
        <f t="shared" si="89"/>
        <v>NCC-NorESM1-M_Scaled_Cluster6_repl1</v>
      </c>
      <c r="AF142" s="21" t="s">
        <v>398</v>
      </c>
      <c r="AG142" s="21" t="s">
        <v>399</v>
      </c>
    </row>
    <row r="143" spans="1:33" ht="13.8">
      <c r="A143" s="7" t="str">
        <f t="shared" si="72"/>
        <v>NCC-NorESM1-M_Scaled_Cluster6_repl2</v>
      </c>
      <c r="B143" s="8" t="s">
        <v>16</v>
      </c>
      <c r="C143" s="8" t="s">
        <v>54</v>
      </c>
      <c r="D143" s="9" t="s">
        <v>17</v>
      </c>
      <c r="E143" s="9" t="str">
        <f t="shared" si="73"/>
        <v>historical</v>
      </c>
      <c r="F143" s="8">
        <v>350</v>
      </c>
      <c r="G143" s="8" t="s">
        <v>60</v>
      </c>
      <c r="H143" s="8">
        <v>3</v>
      </c>
      <c r="I143" s="19">
        <v>6.8499999999999995E-4</v>
      </c>
      <c r="J143" s="8">
        <v>6</v>
      </c>
      <c r="K143" s="8" t="s">
        <v>176</v>
      </c>
      <c r="L143" s="8">
        <v>2</v>
      </c>
      <c r="M143" s="8">
        <v>1</v>
      </c>
      <c r="N143" s="10" t="s">
        <v>21</v>
      </c>
      <c r="O143" s="17" t="s">
        <v>328</v>
      </c>
      <c r="P143" s="10" t="str">
        <f t="shared" si="74"/>
        <v>NCC-NorESM1-M_Scaled_Cluster6_repl2.sqlite</v>
      </c>
      <c r="Q143" s="11">
        <f t="shared" si="75"/>
        <v>6</v>
      </c>
      <c r="R143" s="16" t="str">
        <f t="shared" si="76"/>
        <v>climate_db_NCC-NorESM1-M_historical_v4.sqlite</v>
      </c>
      <c r="S143" s="16" t="str">
        <f t="shared" si="77"/>
        <v>log/NCC-NorESM1-M_Scaled_Cluster6_repl2.txt</v>
      </c>
      <c r="T143" s="16" t="str">
        <f t="shared" si="78"/>
        <v>init/env_file_CLUSTER06_REPL2_NCC-NorESM1-M_historical.csv</v>
      </c>
      <c r="U143" s="16" t="str">
        <f t="shared" si="79"/>
        <v>init/env_grid_CLUSTER06_REPL2.asc</v>
      </c>
      <c r="V143" s="16" t="str">
        <f t="shared" si="80"/>
        <v>init/env_grid_CLUSTER06_REPL2.asc</v>
      </c>
      <c r="W143" s="16" t="str">
        <f t="shared" si="81"/>
        <v>trees_CLUSTER06.csv</v>
      </c>
      <c r="X143" s="16" t="str">
        <f t="shared" si="82"/>
        <v>saplings_CLUSTER06.csv</v>
      </c>
      <c r="Y143" s="16">
        <f t="shared" si="83"/>
        <v>350</v>
      </c>
      <c r="Z143" s="16" t="str">
        <f t="shared" si="84"/>
        <v>abe/no_mgmt.csv</v>
      </c>
      <c r="AA143" s="16" t="str">
        <f t="shared" si="85"/>
        <v>gis/WindModifier_cl6.asc</v>
      </c>
      <c r="AB143" s="16">
        <f t="shared" si="86"/>
        <v>6.8500009999999999E-4</v>
      </c>
      <c r="AC143" s="16" t="str">
        <f t="shared" si="87"/>
        <v>NCC-NorESM1-M_historical_point30070</v>
      </c>
      <c r="AD143" s="16" t="str">
        <f t="shared" si="88"/>
        <v>wind_Events/Scaled_cl6_repl2.txt</v>
      </c>
      <c r="AE143" s="16" t="str">
        <f t="shared" si="89"/>
        <v>NCC-NorESM1-M_Scaled_Cluster6_repl2</v>
      </c>
      <c r="AF143" s="21" t="s">
        <v>654</v>
      </c>
      <c r="AG143" s="21" t="s">
        <v>655</v>
      </c>
    </row>
    <row r="144" spans="1:33" ht="13.8">
      <c r="A144" s="7" t="str">
        <f t="shared" si="72"/>
        <v>NCC-NorESM1-M_Scaled_Cluster6_repl3</v>
      </c>
      <c r="B144" s="8" t="s">
        <v>16</v>
      </c>
      <c r="C144" s="8" t="s">
        <v>54</v>
      </c>
      <c r="D144" s="9" t="s">
        <v>17</v>
      </c>
      <c r="E144" s="9" t="str">
        <f t="shared" si="73"/>
        <v>historical</v>
      </c>
      <c r="F144" s="8">
        <v>350</v>
      </c>
      <c r="G144" s="8" t="s">
        <v>60</v>
      </c>
      <c r="H144" s="8">
        <v>3</v>
      </c>
      <c r="I144" s="19">
        <v>6.8499999999999995E-4</v>
      </c>
      <c r="J144" s="8">
        <v>6</v>
      </c>
      <c r="K144" s="8" t="s">
        <v>176</v>
      </c>
      <c r="L144" s="8">
        <v>3</v>
      </c>
      <c r="M144" s="8">
        <v>1</v>
      </c>
      <c r="N144" s="10" t="s">
        <v>21</v>
      </c>
      <c r="O144" s="17" t="s">
        <v>328</v>
      </c>
      <c r="P144" s="10" t="str">
        <f t="shared" si="74"/>
        <v>NCC-NorESM1-M_Scaled_Cluster6_repl3.sqlite</v>
      </c>
      <c r="Q144" s="11">
        <f t="shared" si="75"/>
        <v>9</v>
      </c>
      <c r="R144" s="16" t="str">
        <f t="shared" si="76"/>
        <v>climate_db_NCC-NorESM1-M_historical_v4.sqlite</v>
      </c>
      <c r="S144" s="16" t="str">
        <f t="shared" si="77"/>
        <v>log/NCC-NorESM1-M_Scaled_Cluster6_repl3.txt</v>
      </c>
      <c r="T144" s="16" t="str">
        <f t="shared" si="78"/>
        <v>init/env_file_CLUSTER06_REPL3_NCC-NorESM1-M_historical.csv</v>
      </c>
      <c r="U144" s="16" t="str">
        <f t="shared" si="79"/>
        <v>init/env_grid_CLUSTER06_REPL3.asc</v>
      </c>
      <c r="V144" s="16" t="str">
        <f t="shared" si="80"/>
        <v>init/env_grid_CLUSTER06_REPL3.asc</v>
      </c>
      <c r="W144" s="16" t="str">
        <f t="shared" si="81"/>
        <v>trees_CLUSTER06.csv</v>
      </c>
      <c r="X144" s="16" t="str">
        <f t="shared" si="82"/>
        <v>saplings_CLUSTER06.csv</v>
      </c>
      <c r="Y144" s="16">
        <f t="shared" si="83"/>
        <v>350</v>
      </c>
      <c r="Z144" s="16" t="str">
        <f t="shared" si="84"/>
        <v>abe/no_mgmt.csv</v>
      </c>
      <c r="AA144" s="16" t="str">
        <f t="shared" si="85"/>
        <v>gis/WindModifier_cl6.asc</v>
      </c>
      <c r="AB144" s="16">
        <f t="shared" si="86"/>
        <v>6.8500009999999999E-4</v>
      </c>
      <c r="AC144" s="16" t="str">
        <f t="shared" si="87"/>
        <v>NCC-NorESM1-M_historical_point30070</v>
      </c>
      <c r="AD144" s="16" t="str">
        <f t="shared" si="88"/>
        <v>wind_Events/Scaled_cl6_repl3.txt</v>
      </c>
      <c r="AE144" s="16" t="str">
        <f t="shared" si="89"/>
        <v>NCC-NorESM1-M_Scaled_Cluster6_repl3</v>
      </c>
      <c r="AF144" s="21" t="s">
        <v>656</v>
      </c>
      <c r="AG144" s="21" t="s">
        <v>657</v>
      </c>
    </row>
    <row r="145" spans="1:33" ht="13.8">
      <c r="A145" s="7" t="str">
        <f t="shared" si="72"/>
        <v>NCC-NorESM1-M_Scaled_Cluster6_repl4</v>
      </c>
      <c r="B145" s="8" t="s">
        <v>16</v>
      </c>
      <c r="C145" s="8" t="s">
        <v>54</v>
      </c>
      <c r="D145" s="9" t="s">
        <v>17</v>
      </c>
      <c r="E145" s="9" t="str">
        <f t="shared" si="73"/>
        <v>historical</v>
      </c>
      <c r="F145" s="8">
        <v>350</v>
      </c>
      <c r="G145" s="8" t="s">
        <v>60</v>
      </c>
      <c r="H145" s="8">
        <v>3</v>
      </c>
      <c r="I145" s="19">
        <v>6.8499999999999995E-4</v>
      </c>
      <c r="J145" s="8">
        <v>6</v>
      </c>
      <c r="K145" s="8" t="s">
        <v>176</v>
      </c>
      <c r="L145" s="8">
        <v>4</v>
      </c>
      <c r="M145" s="8">
        <v>1</v>
      </c>
      <c r="N145" s="10" t="s">
        <v>21</v>
      </c>
      <c r="O145" s="17" t="s">
        <v>328</v>
      </c>
      <c r="P145" s="10" t="str">
        <f t="shared" si="74"/>
        <v>NCC-NorESM1-M_Scaled_Cluster6_repl4.sqlite</v>
      </c>
      <c r="Q145" s="11">
        <f t="shared" si="75"/>
        <v>12</v>
      </c>
      <c r="R145" s="16" t="str">
        <f t="shared" si="76"/>
        <v>climate_db_NCC-NorESM1-M_historical_v4.sqlite</v>
      </c>
      <c r="S145" s="16" t="str">
        <f t="shared" si="77"/>
        <v>log/NCC-NorESM1-M_Scaled_Cluster6_repl4.txt</v>
      </c>
      <c r="T145" s="16" t="str">
        <f t="shared" si="78"/>
        <v>init/env_file_CLUSTER06_REPL4_NCC-NorESM1-M_historical.csv</v>
      </c>
      <c r="U145" s="16" t="str">
        <f t="shared" si="79"/>
        <v>init/env_grid_CLUSTER06_REPL4.asc</v>
      </c>
      <c r="V145" s="16" t="str">
        <f t="shared" si="80"/>
        <v>init/env_grid_CLUSTER06_REPL4.asc</v>
      </c>
      <c r="W145" s="16" t="str">
        <f t="shared" si="81"/>
        <v>trees_CLUSTER06.csv</v>
      </c>
      <c r="X145" s="16" t="str">
        <f t="shared" si="82"/>
        <v>saplings_CLUSTER06.csv</v>
      </c>
      <c r="Y145" s="16">
        <f t="shared" si="83"/>
        <v>350</v>
      </c>
      <c r="Z145" s="16" t="str">
        <f t="shared" si="84"/>
        <v>abe/no_mgmt.csv</v>
      </c>
      <c r="AA145" s="16" t="str">
        <f t="shared" si="85"/>
        <v>gis/WindModifier_cl6.asc</v>
      </c>
      <c r="AB145" s="16">
        <f t="shared" si="86"/>
        <v>6.8500009999999999E-4</v>
      </c>
      <c r="AC145" s="16" t="str">
        <f t="shared" si="87"/>
        <v>NCC-NorESM1-M_historical_point30070</v>
      </c>
      <c r="AD145" s="16" t="str">
        <f t="shared" si="88"/>
        <v>wind_Events/Scaled_cl6_repl4.txt</v>
      </c>
      <c r="AE145" s="16" t="str">
        <f t="shared" si="89"/>
        <v>NCC-NorESM1-M_Scaled_Cluster6_repl4</v>
      </c>
      <c r="AF145" s="21" t="s">
        <v>658</v>
      </c>
      <c r="AG145" s="21" t="s">
        <v>659</v>
      </c>
    </row>
    <row r="146" spans="1:33" ht="13.8">
      <c r="A146" s="7" t="str">
        <f t="shared" si="72"/>
        <v>NCC-NorESM1-M_Scaled_Cluster6_repl5</v>
      </c>
      <c r="B146" s="8" t="s">
        <v>16</v>
      </c>
      <c r="C146" s="8" t="s">
        <v>54</v>
      </c>
      <c r="D146" s="9" t="s">
        <v>17</v>
      </c>
      <c r="E146" s="9" t="str">
        <f t="shared" si="73"/>
        <v>historical</v>
      </c>
      <c r="F146" s="8">
        <v>350</v>
      </c>
      <c r="G146" s="8" t="s">
        <v>60</v>
      </c>
      <c r="H146" s="8">
        <v>3</v>
      </c>
      <c r="I146" s="19">
        <v>6.8499999999999995E-4</v>
      </c>
      <c r="J146" s="8">
        <v>6</v>
      </c>
      <c r="K146" s="8" t="s">
        <v>176</v>
      </c>
      <c r="L146" s="8">
        <v>5</v>
      </c>
      <c r="M146" s="8">
        <v>1</v>
      </c>
      <c r="N146" s="10" t="s">
        <v>21</v>
      </c>
      <c r="O146" s="17" t="s">
        <v>328</v>
      </c>
      <c r="P146" s="10" t="str">
        <f t="shared" si="74"/>
        <v>NCC-NorESM1-M_Scaled_Cluster6_repl5.sqlite</v>
      </c>
      <c r="Q146" s="11">
        <f t="shared" si="75"/>
        <v>15</v>
      </c>
      <c r="R146" s="16" t="str">
        <f t="shared" si="76"/>
        <v>climate_db_NCC-NorESM1-M_historical_v4.sqlite</v>
      </c>
      <c r="S146" s="16" t="str">
        <f t="shared" si="77"/>
        <v>log/NCC-NorESM1-M_Scaled_Cluster6_repl5.txt</v>
      </c>
      <c r="T146" s="16" t="str">
        <f t="shared" si="78"/>
        <v>init/env_file_CLUSTER06_REPL5_NCC-NorESM1-M_historical.csv</v>
      </c>
      <c r="U146" s="16" t="str">
        <f t="shared" si="79"/>
        <v>init/env_grid_CLUSTER06_REPL5.asc</v>
      </c>
      <c r="V146" s="16" t="str">
        <f t="shared" si="80"/>
        <v>init/env_grid_CLUSTER06_REPL5.asc</v>
      </c>
      <c r="W146" s="16" t="str">
        <f t="shared" si="81"/>
        <v>trees_CLUSTER06.csv</v>
      </c>
      <c r="X146" s="16" t="str">
        <f t="shared" si="82"/>
        <v>saplings_CLUSTER06.csv</v>
      </c>
      <c r="Y146" s="16">
        <f t="shared" si="83"/>
        <v>350</v>
      </c>
      <c r="Z146" s="16" t="str">
        <f t="shared" si="84"/>
        <v>abe/no_mgmt.csv</v>
      </c>
      <c r="AA146" s="16" t="str">
        <f t="shared" si="85"/>
        <v>gis/WindModifier_cl6.asc</v>
      </c>
      <c r="AB146" s="16">
        <f t="shared" si="86"/>
        <v>6.8500009999999999E-4</v>
      </c>
      <c r="AC146" s="16" t="str">
        <f t="shared" si="87"/>
        <v>NCC-NorESM1-M_historical_point30070</v>
      </c>
      <c r="AD146" s="16" t="str">
        <f t="shared" si="88"/>
        <v>wind_Events/Scaled_cl6_repl5.txt</v>
      </c>
      <c r="AE146" s="16" t="str">
        <f t="shared" si="89"/>
        <v>NCC-NorESM1-M_Scaled_Cluster6_repl5</v>
      </c>
      <c r="AF146" s="21" t="s">
        <v>660</v>
      </c>
      <c r="AG146" s="21" t="s">
        <v>661</v>
      </c>
    </row>
    <row r="147" spans="1:33" ht="13.8">
      <c r="A147" s="7" t="str">
        <f t="shared" si="72"/>
        <v>NCC-NorESM1-M_Scaled_Cluster7_repl1</v>
      </c>
      <c r="B147" s="8" t="s">
        <v>16</v>
      </c>
      <c r="C147" s="8" t="s">
        <v>54</v>
      </c>
      <c r="D147" s="9" t="s">
        <v>17</v>
      </c>
      <c r="E147" s="9" t="str">
        <f t="shared" si="73"/>
        <v>historical</v>
      </c>
      <c r="F147" s="8">
        <v>350</v>
      </c>
      <c r="G147" s="8" t="s">
        <v>60</v>
      </c>
      <c r="H147" s="8">
        <v>3</v>
      </c>
      <c r="I147" s="19">
        <v>6.8499999999999995E-4</v>
      </c>
      <c r="J147" s="8">
        <v>7</v>
      </c>
      <c r="K147" s="8" t="s">
        <v>177</v>
      </c>
      <c r="L147" s="8">
        <v>1</v>
      </c>
      <c r="M147" s="8">
        <v>1</v>
      </c>
      <c r="N147" s="10" t="s">
        <v>21</v>
      </c>
      <c r="O147" s="17" t="s">
        <v>328</v>
      </c>
      <c r="P147" s="10" t="str">
        <f t="shared" si="74"/>
        <v>NCC-NorESM1-M_Scaled_Cluster7_repl1.sqlite</v>
      </c>
      <c r="Q147" s="11">
        <f t="shared" si="75"/>
        <v>3</v>
      </c>
      <c r="R147" s="16" t="str">
        <f t="shared" si="76"/>
        <v>climate_db_NCC-NorESM1-M_historical_v4.sqlite</v>
      </c>
      <c r="S147" s="16" t="str">
        <f t="shared" si="77"/>
        <v>log/NCC-NorESM1-M_Scaled_Cluster7_repl1.txt</v>
      </c>
      <c r="T147" s="16" t="str">
        <f t="shared" si="78"/>
        <v>init/env_file_CLUSTER07_REPL1_NCC-NorESM1-M_historical.csv</v>
      </c>
      <c r="U147" s="16" t="str">
        <f t="shared" si="79"/>
        <v>init/env_grid_CLUSTER07_REPL1.asc</v>
      </c>
      <c r="V147" s="16" t="str">
        <f t="shared" si="80"/>
        <v>init/env_grid_CLUSTER07_REPL1.asc</v>
      </c>
      <c r="W147" s="16" t="str">
        <f t="shared" si="81"/>
        <v>trees_CLUSTER07.csv</v>
      </c>
      <c r="X147" s="16" t="str">
        <f t="shared" si="82"/>
        <v>saplings_CLUSTER07.csv</v>
      </c>
      <c r="Y147" s="16">
        <f t="shared" si="83"/>
        <v>350</v>
      </c>
      <c r="Z147" s="16" t="str">
        <f t="shared" si="84"/>
        <v>abe/no_mgmt.csv</v>
      </c>
      <c r="AA147" s="16" t="str">
        <f t="shared" si="85"/>
        <v>gis/WindModifier_cl7.asc</v>
      </c>
      <c r="AB147" s="16">
        <f t="shared" si="86"/>
        <v>6.8500009999999999E-4</v>
      </c>
      <c r="AC147" s="16" t="str">
        <f t="shared" si="87"/>
        <v>NCC-NorESM1-M_historical_point26183</v>
      </c>
      <c r="AD147" s="16" t="str">
        <f t="shared" si="88"/>
        <v>wind_Events/Scaled_cl7_repl1.txt</v>
      </c>
      <c r="AE147" s="16" t="str">
        <f t="shared" si="89"/>
        <v>NCC-NorESM1-M_Scaled_Cluster7_repl1</v>
      </c>
      <c r="AF147" s="21" t="s">
        <v>401</v>
      </c>
      <c r="AG147" s="21" t="s">
        <v>94</v>
      </c>
    </row>
    <row r="148" spans="1:33" ht="13.8">
      <c r="A148" s="7" t="str">
        <f t="shared" si="72"/>
        <v>NCC-NorESM1-M_Scaled_Cluster7_repl2</v>
      </c>
      <c r="B148" s="8" t="s">
        <v>16</v>
      </c>
      <c r="C148" s="8" t="s">
        <v>54</v>
      </c>
      <c r="D148" s="9" t="s">
        <v>17</v>
      </c>
      <c r="E148" s="9" t="str">
        <f t="shared" si="73"/>
        <v>historical</v>
      </c>
      <c r="F148" s="8">
        <v>350</v>
      </c>
      <c r="G148" s="8" t="s">
        <v>60</v>
      </c>
      <c r="H148" s="8">
        <v>3</v>
      </c>
      <c r="I148" s="19">
        <v>6.8499999999999995E-4</v>
      </c>
      <c r="J148" s="8">
        <v>7</v>
      </c>
      <c r="K148" s="8" t="s">
        <v>177</v>
      </c>
      <c r="L148" s="8">
        <v>2</v>
      </c>
      <c r="M148" s="8">
        <v>1</v>
      </c>
      <c r="N148" s="10" t="s">
        <v>21</v>
      </c>
      <c r="O148" s="17" t="s">
        <v>328</v>
      </c>
      <c r="P148" s="10" t="str">
        <f t="shared" si="74"/>
        <v>NCC-NorESM1-M_Scaled_Cluster7_repl2.sqlite</v>
      </c>
      <c r="Q148" s="11">
        <f t="shared" si="75"/>
        <v>6</v>
      </c>
      <c r="R148" s="16" t="str">
        <f t="shared" si="76"/>
        <v>climate_db_NCC-NorESM1-M_historical_v4.sqlite</v>
      </c>
      <c r="S148" s="16" t="str">
        <f t="shared" si="77"/>
        <v>log/NCC-NorESM1-M_Scaled_Cluster7_repl2.txt</v>
      </c>
      <c r="T148" s="16" t="str">
        <f t="shared" si="78"/>
        <v>init/env_file_CLUSTER07_REPL2_NCC-NorESM1-M_historical.csv</v>
      </c>
      <c r="U148" s="16" t="str">
        <f t="shared" si="79"/>
        <v>init/env_grid_CLUSTER07_REPL2.asc</v>
      </c>
      <c r="V148" s="16" t="str">
        <f t="shared" si="80"/>
        <v>init/env_grid_CLUSTER07_REPL2.asc</v>
      </c>
      <c r="W148" s="16" t="str">
        <f t="shared" si="81"/>
        <v>trees_CLUSTER07.csv</v>
      </c>
      <c r="X148" s="16" t="str">
        <f t="shared" si="82"/>
        <v>saplings_CLUSTER07.csv</v>
      </c>
      <c r="Y148" s="16">
        <f t="shared" si="83"/>
        <v>350</v>
      </c>
      <c r="Z148" s="16" t="str">
        <f t="shared" si="84"/>
        <v>abe/no_mgmt.csv</v>
      </c>
      <c r="AA148" s="16" t="str">
        <f t="shared" si="85"/>
        <v>gis/WindModifier_cl7.asc</v>
      </c>
      <c r="AB148" s="16">
        <f t="shared" si="86"/>
        <v>6.8500009999999999E-4</v>
      </c>
      <c r="AC148" s="16" t="str">
        <f t="shared" si="87"/>
        <v>NCC-NorESM1-M_historical_point26183</v>
      </c>
      <c r="AD148" s="16" t="str">
        <f t="shared" si="88"/>
        <v>wind_Events/Scaled_cl7_repl2.txt</v>
      </c>
      <c r="AE148" s="16" t="str">
        <f t="shared" si="89"/>
        <v>NCC-NorESM1-M_Scaled_Cluster7_repl2</v>
      </c>
      <c r="AF148" s="21" t="s">
        <v>662</v>
      </c>
      <c r="AG148" s="21" t="s">
        <v>663</v>
      </c>
    </row>
    <row r="149" spans="1:33" ht="13.8">
      <c r="A149" s="7" t="str">
        <f t="shared" si="72"/>
        <v>NCC-NorESM1-M_Scaled_Cluster7_repl3</v>
      </c>
      <c r="B149" s="8" t="s">
        <v>16</v>
      </c>
      <c r="C149" s="8" t="s">
        <v>54</v>
      </c>
      <c r="D149" s="9" t="s">
        <v>17</v>
      </c>
      <c r="E149" s="9" t="str">
        <f t="shared" si="73"/>
        <v>historical</v>
      </c>
      <c r="F149" s="8">
        <v>350</v>
      </c>
      <c r="G149" s="8" t="s">
        <v>60</v>
      </c>
      <c r="H149" s="8">
        <v>3</v>
      </c>
      <c r="I149" s="19">
        <v>6.8499999999999995E-4</v>
      </c>
      <c r="J149" s="8">
        <v>7</v>
      </c>
      <c r="K149" s="8" t="s">
        <v>177</v>
      </c>
      <c r="L149" s="8">
        <v>3</v>
      </c>
      <c r="M149" s="8">
        <v>1</v>
      </c>
      <c r="N149" s="10" t="s">
        <v>21</v>
      </c>
      <c r="O149" s="17" t="s">
        <v>328</v>
      </c>
      <c r="P149" s="10" t="str">
        <f t="shared" si="74"/>
        <v>NCC-NorESM1-M_Scaled_Cluster7_repl3.sqlite</v>
      </c>
      <c r="Q149" s="11">
        <f t="shared" si="75"/>
        <v>9</v>
      </c>
      <c r="R149" s="16" t="str">
        <f t="shared" si="76"/>
        <v>climate_db_NCC-NorESM1-M_historical_v4.sqlite</v>
      </c>
      <c r="S149" s="16" t="str">
        <f t="shared" si="77"/>
        <v>log/NCC-NorESM1-M_Scaled_Cluster7_repl3.txt</v>
      </c>
      <c r="T149" s="16" t="str">
        <f t="shared" si="78"/>
        <v>init/env_file_CLUSTER07_REPL3_NCC-NorESM1-M_historical.csv</v>
      </c>
      <c r="U149" s="16" t="str">
        <f t="shared" si="79"/>
        <v>init/env_grid_CLUSTER07_REPL3.asc</v>
      </c>
      <c r="V149" s="16" t="str">
        <f t="shared" si="80"/>
        <v>init/env_grid_CLUSTER07_REPL3.asc</v>
      </c>
      <c r="W149" s="16" t="str">
        <f t="shared" si="81"/>
        <v>trees_CLUSTER07.csv</v>
      </c>
      <c r="X149" s="16" t="str">
        <f t="shared" si="82"/>
        <v>saplings_CLUSTER07.csv</v>
      </c>
      <c r="Y149" s="16">
        <f t="shared" si="83"/>
        <v>350</v>
      </c>
      <c r="Z149" s="16" t="str">
        <f t="shared" si="84"/>
        <v>abe/no_mgmt.csv</v>
      </c>
      <c r="AA149" s="16" t="str">
        <f t="shared" si="85"/>
        <v>gis/WindModifier_cl7.asc</v>
      </c>
      <c r="AB149" s="16">
        <f t="shared" si="86"/>
        <v>6.8500009999999999E-4</v>
      </c>
      <c r="AC149" s="16" t="str">
        <f t="shared" si="87"/>
        <v>NCC-NorESM1-M_historical_point26183</v>
      </c>
      <c r="AD149" s="16" t="str">
        <f t="shared" si="88"/>
        <v>wind_Events/Scaled_cl7_repl3.txt</v>
      </c>
      <c r="AE149" s="16" t="str">
        <f t="shared" si="89"/>
        <v>NCC-NorESM1-M_Scaled_Cluster7_repl3</v>
      </c>
      <c r="AF149" s="21" t="s">
        <v>664</v>
      </c>
      <c r="AG149" s="21" t="s">
        <v>665</v>
      </c>
    </row>
    <row r="150" spans="1:33" ht="13.8">
      <c r="A150" s="7" t="str">
        <f t="shared" si="72"/>
        <v>NCC-NorESM1-M_Scaled_Cluster7_repl4</v>
      </c>
      <c r="B150" s="8" t="s">
        <v>16</v>
      </c>
      <c r="C150" s="8" t="s">
        <v>54</v>
      </c>
      <c r="D150" s="9" t="s">
        <v>17</v>
      </c>
      <c r="E150" s="9" t="str">
        <f t="shared" si="73"/>
        <v>historical</v>
      </c>
      <c r="F150" s="8">
        <v>350</v>
      </c>
      <c r="G150" s="8" t="s">
        <v>60</v>
      </c>
      <c r="H150" s="8">
        <v>3</v>
      </c>
      <c r="I150" s="19">
        <v>6.8499999999999995E-4</v>
      </c>
      <c r="J150" s="8">
        <v>7</v>
      </c>
      <c r="K150" s="8" t="s">
        <v>177</v>
      </c>
      <c r="L150" s="8">
        <v>4</v>
      </c>
      <c r="M150" s="8">
        <v>1</v>
      </c>
      <c r="N150" s="10" t="s">
        <v>21</v>
      </c>
      <c r="O150" s="17" t="s">
        <v>328</v>
      </c>
      <c r="P150" s="10" t="str">
        <f t="shared" si="74"/>
        <v>NCC-NorESM1-M_Scaled_Cluster7_repl4.sqlite</v>
      </c>
      <c r="Q150" s="11">
        <f t="shared" si="75"/>
        <v>12</v>
      </c>
      <c r="R150" s="16" t="str">
        <f t="shared" si="76"/>
        <v>climate_db_NCC-NorESM1-M_historical_v4.sqlite</v>
      </c>
      <c r="S150" s="16" t="str">
        <f t="shared" si="77"/>
        <v>log/NCC-NorESM1-M_Scaled_Cluster7_repl4.txt</v>
      </c>
      <c r="T150" s="16" t="str">
        <f t="shared" si="78"/>
        <v>init/env_file_CLUSTER07_REPL4_NCC-NorESM1-M_historical.csv</v>
      </c>
      <c r="U150" s="16" t="str">
        <f t="shared" si="79"/>
        <v>init/env_grid_CLUSTER07_REPL4.asc</v>
      </c>
      <c r="V150" s="16" t="str">
        <f t="shared" si="80"/>
        <v>init/env_grid_CLUSTER07_REPL4.asc</v>
      </c>
      <c r="W150" s="16" t="str">
        <f t="shared" si="81"/>
        <v>trees_CLUSTER07.csv</v>
      </c>
      <c r="X150" s="16" t="str">
        <f t="shared" si="82"/>
        <v>saplings_CLUSTER07.csv</v>
      </c>
      <c r="Y150" s="16">
        <f t="shared" si="83"/>
        <v>350</v>
      </c>
      <c r="Z150" s="16" t="str">
        <f t="shared" si="84"/>
        <v>abe/no_mgmt.csv</v>
      </c>
      <c r="AA150" s="16" t="str">
        <f t="shared" si="85"/>
        <v>gis/WindModifier_cl7.asc</v>
      </c>
      <c r="AB150" s="16">
        <f t="shared" si="86"/>
        <v>6.8500009999999999E-4</v>
      </c>
      <c r="AC150" s="16" t="str">
        <f t="shared" si="87"/>
        <v>NCC-NorESM1-M_historical_point26183</v>
      </c>
      <c r="AD150" s="16" t="str">
        <f t="shared" si="88"/>
        <v>wind_Events/Scaled_cl7_repl4.txt</v>
      </c>
      <c r="AE150" s="16" t="str">
        <f t="shared" si="89"/>
        <v>NCC-NorESM1-M_Scaled_Cluster7_repl4</v>
      </c>
      <c r="AF150" s="21" t="s">
        <v>666</v>
      </c>
      <c r="AG150" s="21" t="s">
        <v>667</v>
      </c>
    </row>
    <row r="151" spans="1:33" ht="13.8">
      <c r="A151" s="7" t="str">
        <f t="shared" si="72"/>
        <v>NCC-NorESM1-M_Scaled_Cluster7_repl5</v>
      </c>
      <c r="B151" s="8" t="s">
        <v>16</v>
      </c>
      <c r="C151" s="8" t="s">
        <v>54</v>
      </c>
      <c r="D151" s="9" t="s">
        <v>17</v>
      </c>
      <c r="E151" s="9" t="str">
        <f t="shared" si="73"/>
        <v>historical</v>
      </c>
      <c r="F151" s="8">
        <v>350</v>
      </c>
      <c r="G151" s="8" t="s">
        <v>60</v>
      </c>
      <c r="H151" s="8">
        <v>3</v>
      </c>
      <c r="I151" s="19">
        <v>6.8499999999999995E-4</v>
      </c>
      <c r="J151" s="8">
        <v>7</v>
      </c>
      <c r="K151" s="8" t="s">
        <v>177</v>
      </c>
      <c r="L151" s="8">
        <v>5</v>
      </c>
      <c r="M151" s="8">
        <v>1</v>
      </c>
      <c r="N151" s="10" t="s">
        <v>21</v>
      </c>
      <c r="O151" s="17" t="s">
        <v>328</v>
      </c>
      <c r="P151" s="10" t="str">
        <f t="shared" si="74"/>
        <v>NCC-NorESM1-M_Scaled_Cluster7_repl5.sqlite</v>
      </c>
      <c r="Q151" s="11">
        <f t="shared" si="75"/>
        <v>15</v>
      </c>
      <c r="R151" s="16" t="str">
        <f t="shared" si="76"/>
        <v>climate_db_NCC-NorESM1-M_historical_v4.sqlite</v>
      </c>
      <c r="S151" s="16" t="str">
        <f t="shared" si="77"/>
        <v>log/NCC-NorESM1-M_Scaled_Cluster7_repl5.txt</v>
      </c>
      <c r="T151" s="16" t="str">
        <f t="shared" si="78"/>
        <v>init/env_file_CLUSTER07_REPL5_NCC-NorESM1-M_historical.csv</v>
      </c>
      <c r="U151" s="16" t="str">
        <f t="shared" si="79"/>
        <v>init/env_grid_CLUSTER07_REPL5.asc</v>
      </c>
      <c r="V151" s="16" t="str">
        <f t="shared" si="80"/>
        <v>init/env_grid_CLUSTER07_REPL5.asc</v>
      </c>
      <c r="W151" s="16" t="str">
        <f t="shared" si="81"/>
        <v>trees_CLUSTER07.csv</v>
      </c>
      <c r="X151" s="16" t="str">
        <f t="shared" si="82"/>
        <v>saplings_CLUSTER07.csv</v>
      </c>
      <c r="Y151" s="16">
        <f t="shared" si="83"/>
        <v>350</v>
      </c>
      <c r="Z151" s="16" t="str">
        <f t="shared" si="84"/>
        <v>abe/no_mgmt.csv</v>
      </c>
      <c r="AA151" s="16" t="str">
        <f t="shared" si="85"/>
        <v>gis/WindModifier_cl7.asc</v>
      </c>
      <c r="AB151" s="16">
        <f t="shared" si="86"/>
        <v>6.8500009999999999E-4</v>
      </c>
      <c r="AC151" s="16" t="str">
        <f t="shared" si="87"/>
        <v>NCC-NorESM1-M_historical_point26183</v>
      </c>
      <c r="AD151" s="16" t="str">
        <f t="shared" si="88"/>
        <v>wind_Events/Scaled_cl7_repl5.txt</v>
      </c>
      <c r="AE151" s="16" t="str">
        <f t="shared" si="89"/>
        <v>NCC-NorESM1-M_Scaled_Cluster7_repl5</v>
      </c>
      <c r="AF151" s="21" t="s">
        <v>668</v>
      </c>
      <c r="AG151" s="21" t="s">
        <v>669</v>
      </c>
    </row>
    <row r="152" spans="1:33" ht="13.8">
      <c r="A152" s="7" t="str">
        <f t="shared" si="72"/>
        <v>NCC-NorESM1-M_Scaled_Cluster8_repl1</v>
      </c>
      <c r="B152" s="8" t="s">
        <v>16</v>
      </c>
      <c r="C152" s="8" t="s">
        <v>54</v>
      </c>
      <c r="D152" s="9" t="s">
        <v>17</v>
      </c>
      <c r="E152" s="9" t="str">
        <f t="shared" si="73"/>
        <v>historical</v>
      </c>
      <c r="F152" s="8">
        <v>350</v>
      </c>
      <c r="G152" s="8" t="s">
        <v>60</v>
      </c>
      <c r="H152" s="8">
        <v>3</v>
      </c>
      <c r="I152" s="19">
        <v>6.8499999999999995E-4</v>
      </c>
      <c r="J152" s="8">
        <v>8</v>
      </c>
      <c r="K152" s="8" t="s">
        <v>178</v>
      </c>
      <c r="L152" s="8">
        <v>1</v>
      </c>
      <c r="M152" s="8">
        <v>1</v>
      </c>
      <c r="N152" s="10" t="s">
        <v>21</v>
      </c>
      <c r="O152" s="17" t="s">
        <v>328</v>
      </c>
      <c r="P152" s="10" t="str">
        <f t="shared" si="74"/>
        <v>NCC-NorESM1-M_Scaled_Cluster8_repl1.sqlite</v>
      </c>
      <c r="Q152" s="11">
        <f t="shared" si="75"/>
        <v>3</v>
      </c>
      <c r="R152" s="16" t="str">
        <f t="shared" si="76"/>
        <v>climate_db_NCC-NorESM1-M_historical_v4.sqlite</v>
      </c>
      <c r="S152" s="16" t="str">
        <f t="shared" si="77"/>
        <v>log/NCC-NorESM1-M_Scaled_Cluster8_repl1.txt</v>
      </c>
      <c r="T152" s="16" t="str">
        <f t="shared" si="78"/>
        <v>init/env_file_CLUSTER08_REPL1_NCC-NorESM1-M_historical.csv</v>
      </c>
      <c r="U152" s="16" t="str">
        <f t="shared" si="79"/>
        <v>init/env_grid_CLUSTER08_REPL1.asc</v>
      </c>
      <c r="V152" s="16" t="str">
        <f t="shared" si="80"/>
        <v>init/env_grid_CLUSTER08_REPL1.asc</v>
      </c>
      <c r="W152" s="16" t="str">
        <f t="shared" si="81"/>
        <v>trees_CLUSTER08.csv</v>
      </c>
      <c r="X152" s="16" t="str">
        <f t="shared" si="82"/>
        <v>saplings_CLUSTER08.csv</v>
      </c>
      <c r="Y152" s="16">
        <f t="shared" si="83"/>
        <v>350</v>
      </c>
      <c r="Z152" s="16" t="str">
        <f t="shared" si="84"/>
        <v>abe/no_mgmt.csv</v>
      </c>
      <c r="AA152" s="16" t="str">
        <f t="shared" si="85"/>
        <v>gis/WindModifier_cl8.asc</v>
      </c>
      <c r="AB152" s="16">
        <f t="shared" si="86"/>
        <v>6.8500009999999999E-4</v>
      </c>
      <c r="AC152" s="16" t="str">
        <f t="shared" si="87"/>
        <v>NCC-NorESM1-M_historical_point34891</v>
      </c>
      <c r="AD152" s="16" t="str">
        <f t="shared" si="88"/>
        <v>wind_Events/Scaled_cl8_repl1.txt</v>
      </c>
      <c r="AE152" s="16" t="str">
        <f t="shared" si="89"/>
        <v>NCC-NorESM1-M_Scaled_Cluster8_repl1</v>
      </c>
      <c r="AF152" s="21" t="s">
        <v>403</v>
      </c>
      <c r="AG152" s="21" t="s">
        <v>404</v>
      </c>
    </row>
    <row r="153" spans="1:33" ht="13.8">
      <c r="A153" s="7" t="str">
        <f t="shared" si="72"/>
        <v>NCC-NorESM1-M_Scaled_Cluster8_repl2</v>
      </c>
      <c r="B153" s="8" t="s">
        <v>16</v>
      </c>
      <c r="C153" s="8" t="s">
        <v>54</v>
      </c>
      <c r="D153" s="9" t="s">
        <v>17</v>
      </c>
      <c r="E153" s="9" t="str">
        <f t="shared" si="73"/>
        <v>historical</v>
      </c>
      <c r="F153" s="8">
        <v>350</v>
      </c>
      <c r="G153" s="8" t="s">
        <v>60</v>
      </c>
      <c r="H153" s="8">
        <v>3</v>
      </c>
      <c r="I153" s="19">
        <v>6.8499999999999995E-4</v>
      </c>
      <c r="J153" s="8">
        <v>8</v>
      </c>
      <c r="K153" s="8" t="s">
        <v>178</v>
      </c>
      <c r="L153" s="8">
        <v>2</v>
      </c>
      <c r="M153" s="8">
        <v>1</v>
      </c>
      <c r="N153" s="10" t="s">
        <v>21</v>
      </c>
      <c r="O153" s="17" t="s">
        <v>328</v>
      </c>
      <c r="P153" s="10" t="str">
        <f t="shared" si="74"/>
        <v>NCC-NorESM1-M_Scaled_Cluster8_repl2.sqlite</v>
      </c>
      <c r="Q153" s="11">
        <f t="shared" si="75"/>
        <v>6</v>
      </c>
      <c r="R153" s="16" t="str">
        <f t="shared" si="76"/>
        <v>climate_db_NCC-NorESM1-M_historical_v4.sqlite</v>
      </c>
      <c r="S153" s="16" t="str">
        <f t="shared" si="77"/>
        <v>log/NCC-NorESM1-M_Scaled_Cluster8_repl2.txt</v>
      </c>
      <c r="T153" s="16" t="str">
        <f t="shared" si="78"/>
        <v>init/env_file_CLUSTER08_REPL2_NCC-NorESM1-M_historical.csv</v>
      </c>
      <c r="U153" s="16" t="str">
        <f t="shared" si="79"/>
        <v>init/env_grid_CLUSTER08_REPL2.asc</v>
      </c>
      <c r="V153" s="16" t="str">
        <f t="shared" si="80"/>
        <v>init/env_grid_CLUSTER08_REPL2.asc</v>
      </c>
      <c r="W153" s="16" t="str">
        <f t="shared" si="81"/>
        <v>trees_CLUSTER08.csv</v>
      </c>
      <c r="X153" s="16" t="str">
        <f t="shared" si="82"/>
        <v>saplings_CLUSTER08.csv</v>
      </c>
      <c r="Y153" s="16">
        <f t="shared" si="83"/>
        <v>350</v>
      </c>
      <c r="Z153" s="16" t="str">
        <f t="shared" si="84"/>
        <v>abe/no_mgmt.csv</v>
      </c>
      <c r="AA153" s="16" t="str">
        <f t="shared" si="85"/>
        <v>gis/WindModifier_cl8.asc</v>
      </c>
      <c r="AB153" s="16">
        <f t="shared" si="86"/>
        <v>6.8500009999999999E-4</v>
      </c>
      <c r="AC153" s="16" t="str">
        <f t="shared" si="87"/>
        <v>NCC-NorESM1-M_historical_point34891</v>
      </c>
      <c r="AD153" s="16" t="str">
        <f t="shared" si="88"/>
        <v>wind_Events/Scaled_cl8_repl2.txt</v>
      </c>
      <c r="AE153" s="16" t="str">
        <f t="shared" si="89"/>
        <v>NCC-NorESM1-M_Scaled_Cluster8_repl2</v>
      </c>
      <c r="AF153" s="21" t="s">
        <v>670</v>
      </c>
      <c r="AG153" s="21" t="s">
        <v>671</v>
      </c>
    </row>
    <row r="154" spans="1:33" ht="13.8">
      <c r="A154" s="7" t="str">
        <f t="shared" si="72"/>
        <v>NCC-NorESM1-M_Scaled_Cluster8_repl3</v>
      </c>
      <c r="B154" s="8" t="s">
        <v>16</v>
      </c>
      <c r="C154" s="8" t="s">
        <v>54</v>
      </c>
      <c r="D154" s="9" t="s">
        <v>17</v>
      </c>
      <c r="E154" s="9" t="str">
        <f t="shared" si="73"/>
        <v>historical</v>
      </c>
      <c r="F154" s="8">
        <v>350</v>
      </c>
      <c r="G154" s="8" t="s">
        <v>60</v>
      </c>
      <c r="H154" s="8">
        <v>3</v>
      </c>
      <c r="I154" s="19">
        <v>6.8499999999999995E-4</v>
      </c>
      <c r="J154" s="8">
        <v>8</v>
      </c>
      <c r="K154" s="8" t="s">
        <v>178</v>
      </c>
      <c r="L154" s="8">
        <v>3</v>
      </c>
      <c r="M154" s="8">
        <v>1</v>
      </c>
      <c r="N154" s="10" t="s">
        <v>21</v>
      </c>
      <c r="O154" s="17" t="s">
        <v>328</v>
      </c>
      <c r="P154" s="10" t="str">
        <f t="shared" si="74"/>
        <v>NCC-NorESM1-M_Scaled_Cluster8_repl3.sqlite</v>
      </c>
      <c r="Q154" s="11">
        <f t="shared" si="75"/>
        <v>9</v>
      </c>
      <c r="R154" s="16" t="str">
        <f t="shared" si="76"/>
        <v>climate_db_NCC-NorESM1-M_historical_v4.sqlite</v>
      </c>
      <c r="S154" s="16" t="str">
        <f t="shared" si="77"/>
        <v>log/NCC-NorESM1-M_Scaled_Cluster8_repl3.txt</v>
      </c>
      <c r="T154" s="16" t="str">
        <f t="shared" si="78"/>
        <v>init/env_file_CLUSTER08_REPL3_NCC-NorESM1-M_historical.csv</v>
      </c>
      <c r="U154" s="16" t="str">
        <f t="shared" si="79"/>
        <v>init/env_grid_CLUSTER08_REPL3.asc</v>
      </c>
      <c r="V154" s="16" t="str">
        <f t="shared" si="80"/>
        <v>init/env_grid_CLUSTER08_REPL3.asc</v>
      </c>
      <c r="W154" s="16" t="str">
        <f t="shared" si="81"/>
        <v>trees_CLUSTER08.csv</v>
      </c>
      <c r="X154" s="16" t="str">
        <f t="shared" si="82"/>
        <v>saplings_CLUSTER08.csv</v>
      </c>
      <c r="Y154" s="16">
        <f t="shared" si="83"/>
        <v>350</v>
      </c>
      <c r="Z154" s="16" t="str">
        <f t="shared" si="84"/>
        <v>abe/no_mgmt.csv</v>
      </c>
      <c r="AA154" s="16" t="str">
        <f t="shared" si="85"/>
        <v>gis/WindModifier_cl8.asc</v>
      </c>
      <c r="AB154" s="16">
        <f t="shared" si="86"/>
        <v>6.8500009999999999E-4</v>
      </c>
      <c r="AC154" s="16" t="str">
        <f t="shared" si="87"/>
        <v>NCC-NorESM1-M_historical_point34891</v>
      </c>
      <c r="AD154" s="16" t="str">
        <f t="shared" si="88"/>
        <v>wind_Events/Scaled_cl8_repl3.txt</v>
      </c>
      <c r="AE154" s="16" t="str">
        <f t="shared" si="89"/>
        <v>NCC-NorESM1-M_Scaled_Cluster8_repl3</v>
      </c>
      <c r="AF154" s="21" t="s">
        <v>672</v>
      </c>
      <c r="AG154" s="21" t="s">
        <v>673</v>
      </c>
    </row>
    <row r="155" spans="1:33" ht="13.8">
      <c r="A155" s="7" t="str">
        <f t="shared" si="72"/>
        <v>NCC-NorESM1-M_Scaled_Cluster8_repl4</v>
      </c>
      <c r="B155" s="8" t="s">
        <v>16</v>
      </c>
      <c r="C155" s="8" t="s">
        <v>54</v>
      </c>
      <c r="D155" s="9" t="s">
        <v>17</v>
      </c>
      <c r="E155" s="9" t="str">
        <f t="shared" si="73"/>
        <v>historical</v>
      </c>
      <c r="F155" s="8">
        <v>350</v>
      </c>
      <c r="G155" s="8" t="s">
        <v>60</v>
      </c>
      <c r="H155" s="8">
        <v>3</v>
      </c>
      <c r="I155" s="19">
        <v>6.8499999999999995E-4</v>
      </c>
      <c r="J155" s="8">
        <v>8</v>
      </c>
      <c r="K155" s="8" t="s">
        <v>178</v>
      </c>
      <c r="L155" s="8">
        <v>4</v>
      </c>
      <c r="M155" s="8">
        <v>1</v>
      </c>
      <c r="N155" s="10" t="s">
        <v>21</v>
      </c>
      <c r="O155" s="17" t="s">
        <v>328</v>
      </c>
      <c r="P155" s="10" t="str">
        <f t="shared" si="74"/>
        <v>NCC-NorESM1-M_Scaled_Cluster8_repl4.sqlite</v>
      </c>
      <c r="Q155" s="11">
        <f t="shared" si="75"/>
        <v>12</v>
      </c>
      <c r="R155" s="16" t="str">
        <f t="shared" si="76"/>
        <v>climate_db_NCC-NorESM1-M_historical_v4.sqlite</v>
      </c>
      <c r="S155" s="16" t="str">
        <f t="shared" si="77"/>
        <v>log/NCC-NorESM1-M_Scaled_Cluster8_repl4.txt</v>
      </c>
      <c r="T155" s="16" t="str">
        <f t="shared" si="78"/>
        <v>init/env_file_CLUSTER08_REPL4_NCC-NorESM1-M_historical.csv</v>
      </c>
      <c r="U155" s="16" t="str">
        <f t="shared" si="79"/>
        <v>init/env_grid_CLUSTER08_REPL4.asc</v>
      </c>
      <c r="V155" s="16" t="str">
        <f t="shared" si="80"/>
        <v>init/env_grid_CLUSTER08_REPL4.asc</v>
      </c>
      <c r="W155" s="16" t="str">
        <f t="shared" si="81"/>
        <v>trees_CLUSTER08.csv</v>
      </c>
      <c r="X155" s="16" t="str">
        <f t="shared" si="82"/>
        <v>saplings_CLUSTER08.csv</v>
      </c>
      <c r="Y155" s="16">
        <f t="shared" si="83"/>
        <v>350</v>
      </c>
      <c r="Z155" s="16" t="str">
        <f t="shared" si="84"/>
        <v>abe/no_mgmt.csv</v>
      </c>
      <c r="AA155" s="16" t="str">
        <f t="shared" si="85"/>
        <v>gis/WindModifier_cl8.asc</v>
      </c>
      <c r="AB155" s="16">
        <f t="shared" si="86"/>
        <v>6.8500009999999999E-4</v>
      </c>
      <c r="AC155" s="16" t="str">
        <f t="shared" si="87"/>
        <v>NCC-NorESM1-M_historical_point34891</v>
      </c>
      <c r="AD155" s="16" t="str">
        <f t="shared" si="88"/>
        <v>wind_Events/Scaled_cl8_repl4.txt</v>
      </c>
      <c r="AE155" s="16" t="str">
        <f t="shared" si="89"/>
        <v>NCC-NorESM1-M_Scaled_Cluster8_repl4</v>
      </c>
      <c r="AF155" s="21" t="s">
        <v>674</v>
      </c>
      <c r="AG155" s="21" t="s">
        <v>675</v>
      </c>
    </row>
    <row r="156" spans="1:33" ht="13.8">
      <c r="A156" s="7" t="str">
        <f t="shared" si="72"/>
        <v>NCC-NorESM1-M_Scaled_Cluster8_repl5</v>
      </c>
      <c r="B156" s="8" t="s">
        <v>16</v>
      </c>
      <c r="C156" s="8" t="s">
        <v>54</v>
      </c>
      <c r="D156" s="9" t="s">
        <v>17</v>
      </c>
      <c r="E156" s="9" t="str">
        <f t="shared" si="73"/>
        <v>historical</v>
      </c>
      <c r="F156" s="8">
        <v>350</v>
      </c>
      <c r="G156" s="8" t="s">
        <v>60</v>
      </c>
      <c r="H156" s="8">
        <v>3</v>
      </c>
      <c r="I156" s="19">
        <v>6.8499999999999995E-4</v>
      </c>
      <c r="J156" s="8">
        <v>8</v>
      </c>
      <c r="K156" s="8" t="s">
        <v>178</v>
      </c>
      <c r="L156" s="8">
        <v>5</v>
      </c>
      <c r="M156" s="8">
        <v>1</v>
      </c>
      <c r="N156" s="10" t="s">
        <v>21</v>
      </c>
      <c r="O156" s="17" t="s">
        <v>328</v>
      </c>
      <c r="P156" s="10" t="str">
        <f t="shared" si="74"/>
        <v>NCC-NorESM1-M_Scaled_Cluster8_repl5.sqlite</v>
      </c>
      <c r="Q156" s="11">
        <f t="shared" si="75"/>
        <v>15</v>
      </c>
      <c r="R156" s="16" t="str">
        <f t="shared" si="76"/>
        <v>climate_db_NCC-NorESM1-M_historical_v4.sqlite</v>
      </c>
      <c r="S156" s="16" t="str">
        <f t="shared" si="77"/>
        <v>log/NCC-NorESM1-M_Scaled_Cluster8_repl5.txt</v>
      </c>
      <c r="T156" s="16" t="str">
        <f t="shared" si="78"/>
        <v>init/env_file_CLUSTER08_REPL5_NCC-NorESM1-M_historical.csv</v>
      </c>
      <c r="U156" s="16" t="str">
        <f t="shared" si="79"/>
        <v>init/env_grid_CLUSTER08_REPL5.asc</v>
      </c>
      <c r="V156" s="16" t="str">
        <f t="shared" si="80"/>
        <v>init/env_grid_CLUSTER08_REPL5.asc</v>
      </c>
      <c r="W156" s="16" t="str">
        <f t="shared" si="81"/>
        <v>trees_CLUSTER08.csv</v>
      </c>
      <c r="X156" s="16" t="str">
        <f t="shared" si="82"/>
        <v>saplings_CLUSTER08.csv</v>
      </c>
      <c r="Y156" s="16">
        <f t="shared" si="83"/>
        <v>350</v>
      </c>
      <c r="Z156" s="16" t="str">
        <f t="shared" si="84"/>
        <v>abe/no_mgmt.csv</v>
      </c>
      <c r="AA156" s="16" t="str">
        <f t="shared" si="85"/>
        <v>gis/WindModifier_cl8.asc</v>
      </c>
      <c r="AB156" s="16">
        <f t="shared" si="86"/>
        <v>6.8500009999999999E-4</v>
      </c>
      <c r="AC156" s="16" t="str">
        <f t="shared" si="87"/>
        <v>NCC-NorESM1-M_historical_point34891</v>
      </c>
      <c r="AD156" s="16" t="str">
        <f t="shared" si="88"/>
        <v>wind_Events/Scaled_cl8_repl5.txt</v>
      </c>
      <c r="AE156" s="16" t="str">
        <f t="shared" si="89"/>
        <v>NCC-NorESM1-M_Scaled_Cluster8_repl5</v>
      </c>
      <c r="AF156" s="21" t="s">
        <v>676</v>
      </c>
      <c r="AG156" s="21" t="s">
        <v>677</v>
      </c>
    </row>
    <row r="157" spans="1:33" ht="13.8">
      <c r="A157" s="7" t="str">
        <f t="shared" si="72"/>
        <v>NCC-NorESM1-M_Scaled_Cluster10_repl1</v>
      </c>
      <c r="B157" s="8" t="s">
        <v>16</v>
      </c>
      <c r="C157" s="8" t="s">
        <v>54</v>
      </c>
      <c r="D157" s="9" t="s">
        <v>17</v>
      </c>
      <c r="E157" s="9" t="str">
        <f t="shared" si="73"/>
        <v>historical</v>
      </c>
      <c r="F157" s="8">
        <v>350</v>
      </c>
      <c r="G157" s="8" t="s">
        <v>60</v>
      </c>
      <c r="H157" s="8">
        <v>3</v>
      </c>
      <c r="I157" s="19">
        <v>6.8499999999999995E-4</v>
      </c>
      <c r="J157" s="8">
        <v>10</v>
      </c>
      <c r="K157" s="8" t="s">
        <v>172</v>
      </c>
      <c r="L157" s="8">
        <v>1</v>
      </c>
      <c r="M157" s="8">
        <v>1</v>
      </c>
      <c r="N157" s="10" t="s">
        <v>21</v>
      </c>
      <c r="O157" s="17" t="s">
        <v>328</v>
      </c>
      <c r="P157" s="10" t="str">
        <f t="shared" si="74"/>
        <v>NCC-NorESM1-M_Scaled_Cluster10_repl1.sqlite</v>
      </c>
      <c r="Q157" s="11">
        <f t="shared" si="75"/>
        <v>3</v>
      </c>
      <c r="R157" s="16" t="str">
        <f t="shared" si="76"/>
        <v>climate_db_NCC-NorESM1-M_historical_v4.sqlite</v>
      </c>
      <c r="S157" s="16" t="str">
        <f t="shared" si="77"/>
        <v>log/NCC-NorESM1-M_Scaled_Cluster10_repl1.txt</v>
      </c>
      <c r="T157" s="16" t="str">
        <f t="shared" si="78"/>
        <v>init/env_file_CLUSTER10_REPL1_NCC-NorESM1-M_historical.csv</v>
      </c>
      <c r="U157" s="16" t="str">
        <f t="shared" si="79"/>
        <v>init/env_grid_CLUSTER10_REPL1.asc</v>
      </c>
      <c r="V157" s="16" t="str">
        <f t="shared" si="80"/>
        <v>init/env_grid_CLUSTER10_REPL1.asc</v>
      </c>
      <c r="W157" s="16" t="str">
        <f t="shared" si="81"/>
        <v>trees_CLUSTER10.csv</v>
      </c>
      <c r="X157" s="16" t="str">
        <f t="shared" si="82"/>
        <v>saplings_CLUSTER10.csv</v>
      </c>
      <c r="Y157" s="16">
        <f t="shared" si="83"/>
        <v>350</v>
      </c>
      <c r="Z157" s="16" t="str">
        <f t="shared" si="84"/>
        <v>abe/no_mgmt.csv</v>
      </c>
      <c r="AA157" s="16" t="str">
        <f t="shared" si="85"/>
        <v>gis/WindModifier_cl10.asc</v>
      </c>
      <c r="AB157" s="16">
        <f t="shared" si="86"/>
        <v>6.8500009999999999E-4</v>
      </c>
      <c r="AC157" s="16" t="str">
        <f t="shared" si="87"/>
        <v>NCC-NorESM1-M_historical_point37861</v>
      </c>
      <c r="AD157" s="16" t="str">
        <f t="shared" si="88"/>
        <v>wind_Events/Scaled_cl10_repl1.txt</v>
      </c>
      <c r="AE157" s="16" t="str">
        <f t="shared" si="89"/>
        <v>NCC-NorESM1-M_Scaled_Cluster10_repl1</v>
      </c>
      <c r="AF157" s="21" t="s">
        <v>406</v>
      </c>
      <c r="AG157" s="21" t="s">
        <v>97</v>
      </c>
    </row>
    <row r="158" spans="1:33" ht="13.8">
      <c r="A158" s="7" t="str">
        <f t="shared" si="72"/>
        <v>NCC-NorESM1-M_Scaled_Cluster10_repl2</v>
      </c>
      <c r="B158" s="8" t="s">
        <v>16</v>
      </c>
      <c r="C158" s="8" t="s">
        <v>54</v>
      </c>
      <c r="D158" s="9" t="s">
        <v>17</v>
      </c>
      <c r="E158" s="9" t="str">
        <f t="shared" si="73"/>
        <v>historical</v>
      </c>
      <c r="F158" s="8">
        <v>350</v>
      </c>
      <c r="G158" s="8" t="s">
        <v>60</v>
      </c>
      <c r="H158" s="8">
        <v>3</v>
      </c>
      <c r="I158" s="19">
        <v>6.8499999999999995E-4</v>
      </c>
      <c r="J158" s="8">
        <v>10</v>
      </c>
      <c r="K158" s="8" t="s">
        <v>172</v>
      </c>
      <c r="L158" s="8">
        <v>2</v>
      </c>
      <c r="M158" s="8">
        <v>1</v>
      </c>
      <c r="N158" s="10" t="s">
        <v>21</v>
      </c>
      <c r="O158" s="17" t="s">
        <v>328</v>
      </c>
      <c r="P158" s="10" t="str">
        <f t="shared" si="74"/>
        <v>NCC-NorESM1-M_Scaled_Cluster10_repl2.sqlite</v>
      </c>
      <c r="Q158" s="11">
        <f t="shared" si="75"/>
        <v>6</v>
      </c>
      <c r="R158" s="16" t="str">
        <f t="shared" si="76"/>
        <v>climate_db_NCC-NorESM1-M_historical_v4.sqlite</v>
      </c>
      <c r="S158" s="16" t="str">
        <f t="shared" si="77"/>
        <v>log/NCC-NorESM1-M_Scaled_Cluster10_repl2.txt</v>
      </c>
      <c r="T158" s="16" t="str">
        <f t="shared" si="78"/>
        <v>init/env_file_CLUSTER10_REPL2_NCC-NorESM1-M_historical.csv</v>
      </c>
      <c r="U158" s="16" t="str">
        <f t="shared" si="79"/>
        <v>init/env_grid_CLUSTER10_REPL2.asc</v>
      </c>
      <c r="V158" s="16" t="str">
        <f t="shared" si="80"/>
        <v>init/env_grid_CLUSTER10_REPL2.asc</v>
      </c>
      <c r="W158" s="16" t="str">
        <f t="shared" si="81"/>
        <v>trees_CLUSTER10.csv</v>
      </c>
      <c r="X158" s="16" t="str">
        <f t="shared" si="82"/>
        <v>saplings_CLUSTER10.csv</v>
      </c>
      <c r="Y158" s="16">
        <f t="shared" si="83"/>
        <v>350</v>
      </c>
      <c r="Z158" s="16" t="str">
        <f t="shared" si="84"/>
        <v>abe/no_mgmt.csv</v>
      </c>
      <c r="AA158" s="16" t="str">
        <f t="shared" si="85"/>
        <v>gis/WindModifier_cl10.asc</v>
      </c>
      <c r="AB158" s="16">
        <f t="shared" si="86"/>
        <v>6.8500009999999999E-4</v>
      </c>
      <c r="AC158" s="16" t="str">
        <f t="shared" si="87"/>
        <v>NCC-NorESM1-M_historical_point37861</v>
      </c>
      <c r="AD158" s="16" t="str">
        <f t="shared" si="88"/>
        <v>wind_Events/Scaled_cl10_repl2.txt</v>
      </c>
      <c r="AE158" s="16" t="str">
        <f t="shared" si="89"/>
        <v>NCC-NorESM1-M_Scaled_Cluster10_repl2</v>
      </c>
      <c r="AF158" s="21" t="s">
        <v>678</v>
      </c>
      <c r="AG158" s="21" t="s">
        <v>679</v>
      </c>
    </row>
    <row r="159" spans="1:33" ht="13.8">
      <c r="A159" s="7" t="str">
        <f t="shared" si="72"/>
        <v>NCC-NorESM1-M_Scaled_Cluster10_repl3</v>
      </c>
      <c r="B159" s="8" t="s">
        <v>16</v>
      </c>
      <c r="C159" s="8" t="s">
        <v>54</v>
      </c>
      <c r="D159" s="9" t="s">
        <v>17</v>
      </c>
      <c r="E159" s="9" t="str">
        <f t="shared" si="73"/>
        <v>historical</v>
      </c>
      <c r="F159" s="8">
        <v>350</v>
      </c>
      <c r="G159" s="8" t="s">
        <v>60</v>
      </c>
      <c r="H159" s="8">
        <v>3</v>
      </c>
      <c r="I159" s="19">
        <v>6.8499999999999995E-4</v>
      </c>
      <c r="J159" s="8">
        <v>10</v>
      </c>
      <c r="K159" s="8" t="s">
        <v>172</v>
      </c>
      <c r="L159" s="8">
        <v>3</v>
      </c>
      <c r="M159" s="8">
        <v>1</v>
      </c>
      <c r="N159" s="10" t="s">
        <v>21</v>
      </c>
      <c r="O159" s="17" t="s">
        <v>328</v>
      </c>
      <c r="P159" s="10" t="str">
        <f t="shared" si="74"/>
        <v>NCC-NorESM1-M_Scaled_Cluster10_repl3.sqlite</v>
      </c>
      <c r="Q159" s="11">
        <f t="shared" si="75"/>
        <v>9</v>
      </c>
      <c r="R159" s="16" t="str">
        <f t="shared" si="76"/>
        <v>climate_db_NCC-NorESM1-M_historical_v4.sqlite</v>
      </c>
      <c r="S159" s="16" t="str">
        <f t="shared" si="77"/>
        <v>log/NCC-NorESM1-M_Scaled_Cluster10_repl3.txt</v>
      </c>
      <c r="T159" s="16" t="str">
        <f t="shared" si="78"/>
        <v>init/env_file_CLUSTER10_REPL3_NCC-NorESM1-M_historical.csv</v>
      </c>
      <c r="U159" s="16" t="str">
        <f t="shared" si="79"/>
        <v>init/env_grid_CLUSTER10_REPL3.asc</v>
      </c>
      <c r="V159" s="16" t="str">
        <f t="shared" si="80"/>
        <v>init/env_grid_CLUSTER10_REPL3.asc</v>
      </c>
      <c r="W159" s="16" t="str">
        <f t="shared" si="81"/>
        <v>trees_CLUSTER10.csv</v>
      </c>
      <c r="X159" s="16" t="str">
        <f t="shared" si="82"/>
        <v>saplings_CLUSTER10.csv</v>
      </c>
      <c r="Y159" s="16">
        <f t="shared" si="83"/>
        <v>350</v>
      </c>
      <c r="Z159" s="16" t="str">
        <f t="shared" si="84"/>
        <v>abe/no_mgmt.csv</v>
      </c>
      <c r="AA159" s="16" t="str">
        <f t="shared" si="85"/>
        <v>gis/WindModifier_cl10.asc</v>
      </c>
      <c r="AB159" s="16">
        <f t="shared" si="86"/>
        <v>6.8500009999999999E-4</v>
      </c>
      <c r="AC159" s="16" t="str">
        <f t="shared" si="87"/>
        <v>NCC-NorESM1-M_historical_point37861</v>
      </c>
      <c r="AD159" s="16" t="str">
        <f t="shared" si="88"/>
        <v>wind_Events/Scaled_cl10_repl3.txt</v>
      </c>
      <c r="AE159" s="16" t="str">
        <f t="shared" si="89"/>
        <v>NCC-NorESM1-M_Scaled_Cluster10_repl3</v>
      </c>
      <c r="AF159" s="21" t="s">
        <v>680</v>
      </c>
      <c r="AG159" s="21" t="s">
        <v>681</v>
      </c>
    </row>
    <row r="160" spans="1:33" ht="13.8">
      <c r="A160" s="7" t="str">
        <f t="shared" si="72"/>
        <v>NCC-NorESM1-M_Scaled_Cluster10_repl4</v>
      </c>
      <c r="B160" s="8" t="s">
        <v>16</v>
      </c>
      <c r="C160" s="8" t="s">
        <v>54</v>
      </c>
      <c r="D160" s="9" t="s">
        <v>17</v>
      </c>
      <c r="E160" s="9" t="str">
        <f t="shared" si="73"/>
        <v>historical</v>
      </c>
      <c r="F160" s="8">
        <v>350</v>
      </c>
      <c r="G160" s="8" t="s">
        <v>60</v>
      </c>
      <c r="H160" s="8">
        <v>3</v>
      </c>
      <c r="I160" s="19">
        <v>6.8499999999999995E-4</v>
      </c>
      <c r="J160" s="8">
        <v>10</v>
      </c>
      <c r="K160" s="8" t="s">
        <v>172</v>
      </c>
      <c r="L160" s="8">
        <v>4</v>
      </c>
      <c r="M160" s="8">
        <v>1</v>
      </c>
      <c r="N160" s="10" t="s">
        <v>21</v>
      </c>
      <c r="O160" s="17" t="s">
        <v>328</v>
      </c>
      <c r="P160" s="10" t="str">
        <f t="shared" si="74"/>
        <v>NCC-NorESM1-M_Scaled_Cluster10_repl4.sqlite</v>
      </c>
      <c r="Q160" s="11">
        <f t="shared" si="75"/>
        <v>12</v>
      </c>
      <c r="R160" s="16" t="str">
        <f t="shared" si="76"/>
        <v>climate_db_NCC-NorESM1-M_historical_v4.sqlite</v>
      </c>
      <c r="S160" s="16" t="str">
        <f t="shared" si="77"/>
        <v>log/NCC-NorESM1-M_Scaled_Cluster10_repl4.txt</v>
      </c>
      <c r="T160" s="16" t="str">
        <f t="shared" si="78"/>
        <v>init/env_file_CLUSTER10_REPL4_NCC-NorESM1-M_historical.csv</v>
      </c>
      <c r="U160" s="16" t="str">
        <f t="shared" si="79"/>
        <v>init/env_grid_CLUSTER10_REPL4.asc</v>
      </c>
      <c r="V160" s="16" t="str">
        <f t="shared" si="80"/>
        <v>init/env_grid_CLUSTER10_REPL4.asc</v>
      </c>
      <c r="W160" s="16" t="str">
        <f t="shared" si="81"/>
        <v>trees_CLUSTER10.csv</v>
      </c>
      <c r="X160" s="16" t="str">
        <f t="shared" si="82"/>
        <v>saplings_CLUSTER10.csv</v>
      </c>
      <c r="Y160" s="16">
        <f t="shared" si="83"/>
        <v>350</v>
      </c>
      <c r="Z160" s="16" t="str">
        <f t="shared" si="84"/>
        <v>abe/no_mgmt.csv</v>
      </c>
      <c r="AA160" s="16" t="str">
        <f t="shared" si="85"/>
        <v>gis/WindModifier_cl10.asc</v>
      </c>
      <c r="AB160" s="16">
        <f t="shared" si="86"/>
        <v>6.8500009999999999E-4</v>
      </c>
      <c r="AC160" s="16" t="str">
        <f t="shared" si="87"/>
        <v>NCC-NorESM1-M_historical_point37861</v>
      </c>
      <c r="AD160" s="16" t="str">
        <f t="shared" si="88"/>
        <v>wind_Events/Scaled_cl10_repl4.txt</v>
      </c>
      <c r="AE160" s="16" t="str">
        <f t="shared" si="89"/>
        <v>NCC-NorESM1-M_Scaled_Cluster10_repl4</v>
      </c>
      <c r="AF160" s="21" t="s">
        <v>682</v>
      </c>
      <c r="AG160" s="21" t="s">
        <v>683</v>
      </c>
    </row>
    <row r="161" spans="1:33" ht="13.8">
      <c r="A161" s="7" t="str">
        <f t="shared" si="72"/>
        <v>NCC-NorESM1-M_Scaled_Cluster10_repl5</v>
      </c>
      <c r="B161" s="8" t="s">
        <v>16</v>
      </c>
      <c r="C161" s="8" t="s">
        <v>54</v>
      </c>
      <c r="D161" s="9" t="s">
        <v>17</v>
      </c>
      <c r="E161" s="9" t="str">
        <f t="shared" si="73"/>
        <v>historical</v>
      </c>
      <c r="F161" s="8">
        <v>350</v>
      </c>
      <c r="G161" s="8" t="s">
        <v>60</v>
      </c>
      <c r="H161" s="8">
        <v>3</v>
      </c>
      <c r="I161" s="19">
        <v>6.8499999999999995E-4</v>
      </c>
      <c r="J161" s="8">
        <v>10</v>
      </c>
      <c r="K161" s="8" t="s">
        <v>172</v>
      </c>
      <c r="L161" s="8">
        <v>5</v>
      </c>
      <c r="M161" s="8">
        <v>1</v>
      </c>
      <c r="N161" s="10" t="s">
        <v>21</v>
      </c>
      <c r="O161" s="17" t="s">
        <v>328</v>
      </c>
      <c r="P161" s="10" t="str">
        <f t="shared" si="74"/>
        <v>NCC-NorESM1-M_Scaled_Cluster10_repl5.sqlite</v>
      </c>
      <c r="Q161" s="11">
        <f t="shared" si="75"/>
        <v>15</v>
      </c>
      <c r="R161" s="16" t="str">
        <f t="shared" si="76"/>
        <v>climate_db_NCC-NorESM1-M_historical_v4.sqlite</v>
      </c>
      <c r="S161" s="16" t="str">
        <f t="shared" si="77"/>
        <v>log/NCC-NorESM1-M_Scaled_Cluster10_repl5.txt</v>
      </c>
      <c r="T161" s="16" t="str">
        <f t="shared" si="78"/>
        <v>init/env_file_CLUSTER10_REPL5_NCC-NorESM1-M_historical.csv</v>
      </c>
      <c r="U161" s="16" t="str">
        <f t="shared" si="79"/>
        <v>init/env_grid_CLUSTER10_REPL5.asc</v>
      </c>
      <c r="V161" s="16" t="str">
        <f t="shared" si="80"/>
        <v>init/env_grid_CLUSTER10_REPL5.asc</v>
      </c>
      <c r="W161" s="16" t="str">
        <f t="shared" si="81"/>
        <v>trees_CLUSTER10.csv</v>
      </c>
      <c r="X161" s="16" t="str">
        <f t="shared" si="82"/>
        <v>saplings_CLUSTER10.csv</v>
      </c>
      <c r="Y161" s="16">
        <f t="shared" si="83"/>
        <v>350</v>
      </c>
      <c r="Z161" s="16" t="str">
        <f t="shared" si="84"/>
        <v>abe/no_mgmt.csv</v>
      </c>
      <c r="AA161" s="16" t="str">
        <f t="shared" si="85"/>
        <v>gis/WindModifier_cl10.asc</v>
      </c>
      <c r="AB161" s="16">
        <f t="shared" si="86"/>
        <v>6.8500009999999999E-4</v>
      </c>
      <c r="AC161" s="16" t="str">
        <f t="shared" si="87"/>
        <v>NCC-NorESM1-M_historical_point37861</v>
      </c>
      <c r="AD161" s="16" t="str">
        <f t="shared" si="88"/>
        <v>wind_Events/Scaled_cl10_repl5.txt</v>
      </c>
      <c r="AE161" s="16" t="str">
        <f t="shared" si="89"/>
        <v>NCC-NorESM1-M_Scaled_Cluster10_repl5</v>
      </c>
      <c r="AF161" s="21" t="s">
        <v>684</v>
      </c>
      <c r="AG161" s="21" t="s">
        <v>685</v>
      </c>
    </row>
    <row r="162" spans="1:33" ht="13.8">
      <c r="A162" s="7" t="str">
        <f t="shared" ref="A162:A181" si="90" xml:space="preserve"> G162 &amp; "_" &amp; C162 &amp;"Cluster" &amp; J162 &amp; "_repl" &amp; L162</f>
        <v>NCC-NorESM1-M_Scaled_Cluster11_repl1</v>
      </c>
      <c r="B162" s="8" t="s">
        <v>16</v>
      </c>
      <c r="C162" s="8" t="s">
        <v>54</v>
      </c>
      <c r="D162" s="9" t="s">
        <v>17</v>
      </c>
      <c r="E162" s="9" t="str">
        <f t="shared" ref="E162:E193" si="91">IF(D162="historical", "historical", IF(D162="RCP26", "rcp_2_6", IF(D162="RCP45", "rcp_4_5", "rcp_8_5")))</f>
        <v>historical</v>
      </c>
      <c r="F162" s="8">
        <v>350</v>
      </c>
      <c r="G162" s="8" t="s">
        <v>60</v>
      </c>
      <c r="H162" s="8">
        <v>3</v>
      </c>
      <c r="I162" s="19">
        <v>6.8499999999999995E-4</v>
      </c>
      <c r="J162" s="8">
        <v>11</v>
      </c>
      <c r="K162" s="8" t="s">
        <v>179</v>
      </c>
      <c r="L162" s="8">
        <v>1</v>
      </c>
      <c r="M162" s="8">
        <v>1</v>
      </c>
      <c r="N162" s="10" t="s">
        <v>21</v>
      </c>
      <c r="O162" s="17" t="s">
        <v>328</v>
      </c>
      <c r="P162" s="10" t="str">
        <f t="shared" ref="P162:P181" si="92">A162  &amp; ".sqlite"</f>
        <v>NCC-NorESM1-M_Scaled_Cluster11_repl1.sqlite</v>
      </c>
      <c r="Q162" s="11">
        <f t="shared" ref="Q162:Q181" si="93">(L162-1)*3+H162</f>
        <v>3</v>
      </c>
      <c r="R162" s="16" t="str">
        <f t="shared" ref="R162:R181" si="94">"climate_db_" &amp; G162&amp; "_" &amp;  E162&amp; "_v4.sqlite"</f>
        <v>climate_db_NCC-NorESM1-M_historical_v4.sqlite</v>
      </c>
      <c r="S162" s="16" t="str">
        <f t="shared" ref="S162:S181" si="95">"log/" &amp;A162  &amp; ".txt"</f>
        <v>log/NCC-NorESM1-M_Scaled_Cluster11_repl1.txt</v>
      </c>
      <c r="T162" s="16" t="str">
        <f t="shared" ref="T162:T181" si="96">"init/env_file_CLUSTER" &amp; TEXT(J162, "00") &amp; "_REPL" &amp; L162 &amp; "_" &amp; G162 &amp; "_" &amp; E162 &amp; ".csv"</f>
        <v>init/env_file_CLUSTER11_REPL1_NCC-NorESM1-M_historical.csv</v>
      </c>
      <c r="U162" s="16" t="str">
        <f t="shared" ref="U162:U181" si="97">"init/env_grid_CLUSTER" &amp; TEXT(J162, "00") &amp; "_REPL" &amp; L162 &amp; ".asc"</f>
        <v>init/env_grid_CLUSTER11_REPL1.asc</v>
      </c>
      <c r="V162" s="16" t="str">
        <f t="shared" ref="V162:V193" si="98">U162</f>
        <v>init/env_grid_CLUSTER11_REPL1.asc</v>
      </c>
      <c r="W162" s="16" t="str">
        <f t="shared" ref="W162:W181" si="99">"trees_CLUSTER" &amp; TEXT(J162, "00")  &amp; ".csv"</f>
        <v>trees_CLUSTER11.csv</v>
      </c>
      <c r="X162" s="16" t="str">
        <f t="shared" ref="X162:X181" si="100">"saplings_CLUSTER" &amp; TEXT(J162, "00")  &amp; ".csv"</f>
        <v>saplings_CLUSTER11.csv</v>
      </c>
      <c r="Y162" s="16">
        <f t="shared" ref="Y162:Y181" si="101">F162</f>
        <v>350</v>
      </c>
      <c r="Z162" s="16" t="str">
        <f t="shared" ref="Z162:Z181" si="102">"abe/no_mgmt.csv"</f>
        <v>abe/no_mgmt.csv</v>
      </c>
      <c r="AA162" s="16" t="str">
        <f t="shared" ref="AA162:AA181" si="103">"gis/WindModifier_cl" &amp; J162 &amp; ".asc"</f>
        <v>gis/WindModifier_cl11.asc</v>
      </c>
      <c r="AB162" s="16">
        <f t="shared" ref="AB162:AB181" si="104">IF(C162="Scaled_", I162+0.0000000001,  0.000685)</f>
        <v>6.8500009999999999E-4</v>
      </c>
      <c r="AC162" s="16" t="str">
        <f t="shared" ref="AC162:AC181" si="105">G162 &amp; "_" &amp; E162 &amp; "_point" &amp; K162</f>
        <v>NCC-NorESM1-M_historical_point31713</v>
      </c>
      <c r="AD162" s="16" t="str">
        <f t="shared" ref="AD162:AD181" si="106">"wind_Events/" &amp; C162 &amp; "cl" &amp; J162 &amp; "_repl" &amp; L162 &amp; ".txt"</f>
        <v>wind_Events/Scaled_cl11_repl1.txt</v>
      </c>
      <c r="AE162" s="16" t="str">
        <f t="shared" ref="AE162:AE181" si="107">A162</f>
        <v>NCC-NorESM1-M_Scaled_Cluster11_repl1</v>
      </c>
      <c r="AF162" s="21" t="s">
        <v>408</v>
      </c>
      <c r="AG162" s="21" t="s">
        <v>409</v>
      </c>
    </row>
    <row r="163" spans="1:33" ht="13.8">
      <c r="A163" s="7" t="str">
        <f t="shared" si="90"/>
        <v>NCC-NorESM1-M_Scaled_Cluster11_repl2</v>
      </c>
      <c r="B163" s="8" t="s">
        <v>16</v>
      </c>
      <c r="C163" s="8" t="s">
        <v>54</v>
      </c>
      <c r="D163" s="9" t="s">
        <v>17</v>
      </c>
      <c r="E163" s="9" t="str">
        <f t="shared" si="91"/>
        <v>historical</v>
      </c>
      <c r="F163" s="8">
        <v>350</v>
      </c>
      <c r="G163" s="8" t="s">
        <v>60</v>
      </c>
      <c r="H163" s="8">
        <v>3</v>
      </c>
      <c r="I163" s="19">
        <v>6.8499999999999995E-4</v>
      </c>
      <c r="J163" s="8">
        <v>11</v>
      </c>
      <c r="K163" s="8" t="s">
        <v>179</v>
      </c>
      <c r="L163" s="8">
        <v>2</v>
      </c>
      <c r="M163" s="8">
        <v>1</v>
      </c>
      <c r="N163" s="10" t="s">
        <v>21</v>
      </c>
      <c r="O163" s="17" t="s">
        <v>328</v>
      </c>
      <c r="P163" s="10" t="str">
        <f t="shared" si="92"/>
        <v>NCC-NorESM1-M_Scaled_Cluster11_repl2.sqlite</v>
      </c>
      <c r="Q163" s="11">
        <f t="shared" si="93"/>
        <v>6</v>
      </c>
      <c r="R163" s="16" t="str">
        <f t="shared" si="94"/>
        <v>climate_db_NCC-NorESM1-M_historical_v4.sqlite</v>
      </c>
      <c r="S163" s="16" t="str">
        <f t="shared" si="95"/>
        <v>log/NCC-NorESM1-M_Scaled_Cluster11_repl2.txt</v>
      </c>
      <c r="T163" s="16" t="str">
        <f t="shared" si="96"/>
        <v>init/env_file_CLUSTER11_REPL2_NCC-NorESM1-M_historical.csv</v>
      </c>
      <c r="U163" s="16" t="str">
        <f t="shared" si="97"/>
        <v>init/env_grid_CLUSTER11_REPL2.asc</v>
      </c>
      <c r="V163" s="16" t="str">
        <f t="shared" si="98"/>
        <v>init/env_grid_CLUSTER11_REPL2.asc</v>
      </c>
      <c r="W163" s="16" t="str">
        <f t="shared" si="99"/>
        <v>trees_CLUSTER11.csv</v>
      </c>
      <c r="X163" s="16" t="str">
        <f t="shared" si="100"/>
        <v>saplings_CLUSTER11.csv</v>
      </c>
      <c r="Y163" s="16">
        <f t="shared" si="101"/>
        <v>350</v>
      </c>
      <c r="Z163" s="16" t="str">
        <f t="shared" si="102"/>
        <v>abe/no_mgmt.csv</v>
      </c>
      <c r="AA163" s="16" t="str">
        <f t="shared" si="103"/>
        <v>gis/WindModifier_cl11.asc</v>
      </c>
      <c r="AB163" s="16">
        <f t="shared" si="104"/>
        <v>6.8500009999999999E-4</v>
      </c>
      <c r="AC163" s="16" t="str">
        <f t="shared" si="105"/>
        <v>NCC-NorESM1-M_historical_point31713</v>
      </c>
      <c r="AD163" s="16" t="str">
        <f t="shared" si="106"/>
        <v>wind_Events/Scaled_cl11_repl2.txt</v>
      </c>
      <c r="AE163" s="16" t="str">
        <f t="shared" si="107"/>
        <v>NCC-NorESM1-M_Scaled_Cluster11_repl2</v>
      </c>
      <c r="AF163" s="21" t="s">
        <v>686</v>
      </c>
      <c r="AG163" s="21" t="s">
        <v>687</v>
      </c>
    </row>
    <row r="164" spans="1:33" ht="13.8">
      <c r="A164" s="7" t="str">
        <f t="shared" si="90"/>
        <v>NCC-NorESM1-M_Scaled_Cluster11_repl3</v>
      </c>
      <c r="B164" s="8" t="s">
        <v>16</v>
      </c>
      <c r="C164" s="8" t="s">
        <v>54</v>
      </c>
      <c r="D164" s="9" t="s">
        <v>17</v>
      </c>
      <c r="E164" s="9" t="str">
        <f t="shared" si="91"/>
        <v>historical</v>
      </c>
      <c r="F164" s="8">
        <v>350</v>
      </c>
      <c r="G164" s="8" t="s">
        <v>60</v>
      </c>
      <c r="H164" s="8">
        <v>3</v>
      </c>
      <c r="I164" s="19">
        <v>6.8499999999999995E-4</v>
      </c>
      <c r="J164" s="8">
        <v>11</v>
      </c>
      <c r="K164" s="8" t="s">
        <v>179</v>
      </c>
      <c r="L164" s="8">
        <v>3</v>
      </c>
      <c r="M164" s="8">
        <v>1</v>
      </c>
      <c r="N164" s="10" t="s">
        <v>21</v>
      </c>
      <c r="O164" s="17" t="s">
        <v>328</v>
      </c>
      <c r="P164" s="10" t="str">
        <f t="shared" si="92"/>
        <v>NCC-NorESM1-M_Scaled_Cluster11_repl3.sqlite</v>
      </c>
      <c r="Q164" s="11">
        <f t="shared" si="93"/>
        <v>9</v>
      </c>
      <c r="R164" s="16" t="str">
        <f t="shared" si="94"/>
        <v>climate_db_NCC-NorESM1-M_historical_v4.sqlite</v>
      </c>
      <c r="S164" s="16" t="str">
        <f t="shared" si="95"/>
        <v>log/NCC-NorESM1-M_Scaled_Cluster11_repl3.txt</v>
      </c>
      <c r="T164" s="16" t="str">
        <f t="shared" si="96"/>
        <v>init/env_file_CLUSTER11_REPL3_NCC-NorESM1-M_historical.csv</v>
      </c>
      <c r="U164" s="16" t="str">
        <f t="shared" si="97"/>
        <v>init/env_grid_CLUSTER11_REPL3.asc</v>
      </c>
      <c r="V164" s="16" t="str">
        <f t="shared" si="98"/>
        <v>init/env_grid_CLUSTER11_REPL3.asc</v>
      </c>
      <c r="W164" s="16" t="str">
        <f t="shared" si="99"/>
        <v>trees_CLUSTER11.csv</v>
      </c>
      <c r="X164" s="16" t="str">
        <f t="shared" si="100"/>
        <v>saplings_CLUSTER11.csv</v>
      </c>
      <c r="Y164" s="16">
        <f t="shared" si="101"/>
        <v>350</v>
      </c>
      <c r="Z164" s="16" t="str">
        <f t="shared" si="102"/>
        <v>abe/no_mgmt.csv</v>
      </c>
      <c r="AA164" s="16" t="str">
        <f t="shared" si="103"/>
        <v>gis/WindModifier_cl11.asc</v>
      </c>
      <c r="AB164" s="16">
        <f t="shared" si="104"/>
        <v>6.8500009999999999E-4</v>
      </c>
      <c r="AC164" s="16" t="str">
        <f t="shared" si="105"/>
        <v>NCC-NorESM1-M_historical_point31713</v>
      </c>
      <c r="AD164" s="16" t="str">
        <f t="shared" si="106"/>
        <v>wind_Events/Scaled_cl11_repl3.txt</v>
      </c>
      <c r="AE164" s="16" t="str">
        <f t="shared" si="107"/>
        <v>NCC-NorESM1-M_Scaled_Cluster11_repl3</v>
      </c>
      <c r="AF164" s="21" t="s">
        <v>688</v>
      </c>
      <c r="AG164" s="21" t="s">
        <v>689</v>
      </c>
    </row>
    <row r="165" spans="1:33" ht="13.8">
      <c r="A165" s="7" t="str">
        <f t="shared" si="90"/>
        <v>NCC-NorESM1-M_Scaled_Cluster11_repl4</v>
      </c>
      <c r="B165" s="8" t="s">
        <v>16</v>
      </c>
      <c r="C165" s="8" t="s">
        <v>54</v>
      </c>
      <c r="D165" s="9" t="s">
        <v>17</v>
      </c>
      <c r="E165" s="9" t="str">
        <f t="shared" si="91"/>
        <v>historical</v>
      </c>
      <c r="F165" s="8">
        <v>350</v>
      </c>
      <c r="G165" s="8" t="s">
        <v>60</v>
      </c>
      <c r="H165" s="8">
        <v>3</v>
      </c>
      <c r="I165" s="19">
        <v>6.8499999999999995E-4</v>
      </c>
      <c r="J165" s="8">
        <v>11</v>
      </c>
      <c r="K165" s="8" t="s">
        <v>179</v>
      </c>
      <c r="L165" s="8">
        <v>4</v>
      </c>
      <c r="M165" s="8">
        <v>1</v>
      </c>
      <c r="N165" s="10" t="s">
        <v>21</v>
      </c>
      <c r="O165" s="17" t="s">
        <v>328</v>
      </c>
      <c r="P165" s="10" t="str">
        <f t="shared" si="92"/>
        <v>NCC-NorESM1-M_Scaled_Cluster11_repl4.sqlite</v>
      </c>
      <c r="Q165" s="11">
        <f t="shared" si="93"/>
        <v>12</v>
      </c>
      <c r="R165" s="16" t="str">
        <f t="shared" si="94"/>
        <v>climate_db_NCC-NorESM1-M_historical_v4.sqlite</v>
      </c>
      <c r="S165" s="16" t="str">
        <f t="shared" si="95"/>
        <v>log/NCC-NorESM1-M_Scaled_Cluster11_repl4.txt</v>
      </c>
      <c r="T165" s="16" t="str">
        <f t="shared" si="96"/>
        <v>init/env_file_CLUSTER11_REPL4_NCC-NorESM1-M_historical.csv</v>
      </c>
      <c r="U165" s="16" t="str">
        <f t="shared" si="97"/>
        <v>init/env_grid_CLUSTER11_REPL4.asc</v>
      </c>
      <c r="V165" s="16" t="str">
        <f t="shared" si="98"/>
        <v>init/env_grid_CLUSTER11_REPL4.asc</v>
      </c>
      <c r="W165" s="16" t="str">
        <f t="shared" si="99"/>
        <v>trees_CLUSTER11.csv</v>
      </c>
      <c r="X165" s="16" t="str">
        <f t="shared" si="100"/>
        <v>saplings_CLUSTER11.csv</v>
      </c>
      <c r="Y165" s="16">
        <f t="shared" si="101"/>
        <v>350</v>
      </c>
      <c r="Z165" s="16" t="str">
        <f t="shared" si="102"/>
        <v>abe/no_mgmt.csv</v>
      </c>
      <c r="AA165" s="16" t="str">
        <f t="shared" si="103"/>
        <v>gis/WindModifier_cl11.asc</v>
      </c>
      <c r="AB165" s="16">
        <f t="shared" si="104"/>
        <v>6.8500009999999999E-4</v>
      </c>
      <c r="AC165" s="16" t="str">
        <f t="shared" si="105"/>
        <v>NCC-NorESM1-M_historical_point31713</v>
      </c>
      <c r="AD165" s="16" t="str">
        <f t="shared" si="106"/>
        <v>wind_Events/Scaled_cl11_repl4.txt</v>
      </c>
      <c r="AE165" s="16" t="str">
        <f t="shared" si="107"/>
        <v>NCC-NorESM1-M_Scaled_Cluster11_repl4</v>
      </c>
      <c r="AF165" s="21" t="s">
        <v>690</v>
      </c>
      <c r="AG165" s="21" t="s">
        <v>691</v>
      </c>
    </row>
    <row r="166" spans="1:33" ht="13.8">
      <c r="A166" s="7" t="str">
        <f t="shared" si="90"/>
        <v>NCC-NorESM1-M_Scaled_Cluster11_repl5</v>
      </c>
      <c r="B166" s="8" t="s">
        <v>16</v>
      </c>
      <c r="C166" s="8" t="s">
        <v>54</v>
      </c>
      <c r="D166" s="9" t="s">
        <v>17</v>
      </c>
      <c r="E166" s="9" t="str">
        <f t="shared" si="91"/>
        <v>historical</v>
      </c>
      <c r="F166" s="8">
        <v>350</v>
      </c>
      <c r="G166" s="8" t="s">
        <v>60</v>
      </c>
      <c r="H166" s="8">
        <v>3</v>
      </c>
      <c r="I166" s="19">
        <v>6.8499999999999995E-4</v>
      </c>
      <c r="J166" s="8">
        <v>11</v>
      </c>
      <c r="K166" s="8" t="s">
        <v>179</v>
      </c>
      <c r="L166" s="8">
        <v>5</v>
      </c>
      <c r="M166" s="8">
        <v>1</v>
      </c>
      <c r="N166" s="10" t="s">
        <v>21</v>
      </c>
      <c r="O166" s="17" t="s">
        <v>328</v>
      </c>
      <c r="P166" s="10" t="str">
        <f t="shared" si="92"/>
        <v>NCC-NorESM1-M_Scaled_Cluster11_repl5.sqlite</v>
      </c>
      <c r="Q166" s="11">
        <f t="shared" si="93"/>
        <v>15</v>
      </c>
      <c r="R166" s="16" t="str">
        <f t="shared" si="94"/>
        <v>climate_db_NCC-NorESM1-M_historical_v4.sqlite</v>
      </c>
      <c r="S166" s="16" t="str">
        <f t="shared" si="95"/>
        <v>log/NCC-NorESM1-M_Scaled_Cluster11_repl5.txt</v>
      </c>
      <c r="T166" s="16" t="str">
        <f t="shared" si="96"/>
        <v>init/env_file_CLUSTER11_REPL5_NCC-NorESM1-M_historical.csv</v>
      </c>
      <c r="U166" s="16" t="str">
        <f t="shared" si="97"/>
        <v>init/env_grid_CLUSTER11_REPL5.asc</v>
      </c>
      <c r="V166" s="16" t="str">
        <f t="shared" si="98"/>
        <v>init/env_grid_CLUSTER11_REPL5.asc</v>
      </c>
      <c r="W166" s="16" t="str">
        <f t="shared" si="99"/>
        <v>trees_CLUSTER11.csv</v>
      </c>
      <c r="X166" s="16" t="str">
        <f t="shared" si="100"/>
        <v>saplings_CLUSTER11.csv</v>
      </c>
      <c r="Y166" s="16">
        <f t="shared" si="101"/>
        <v>350</v>
      </c>
      <c r="Z166" s="16" t="str">
        <f t="shared" si="102"/>
        <v>abe/no_mgmt.csv</v>
      </c>
      <c r="AA166" s="16" t="str">
        <f t="shared" si="103"/>
        <v>gis/WindModifier_cl11.asc</v>
      </c>
      <c r="AB166" s="16">
        <f t="shared" si="104"/>
        <v>6.8500009999999999E-4</v>
      </c>
      <c r="AC166" s="16" t="str">
        <f t="shared" si="105"/>
        <v>NCC-NorESM1-M_historical_point31713</v>
      </c>
      <c r="AD166" s="16" t="str">
        <f t="shared" si="106"/>
        <v>wind_Events/Scaled_cl11_repl5.txt</v>
      </c>
      <c r="AE166" s="16" t="str">
        <f t="shared" si="107"/>
        <v>NCC-NorESM1-M_Scaled_Cluster11_repl5</v>
      </c>
      <c r="AF166" s="21" t="s">
        <v>692</v>
      </c>
      <c r="AG166" s="21" t="s">
        <v>693</v>
      </c>
    </row>
    <row r="167" spans="1:33" ht="13.8">
      <c r="A167" s="7" t="str">
        <f t="shared" si="90"/>
        <v>NCC-NorESM1-M_Scaled_Cluster12_repl1</v>
      </c>
      <c r="B167" s="8" t="s">
        <v>16</v>
      </c>
      <c r="C167" s="8" t="s">
        <v>54</v>
      </c>
      <c r="D167" s="9" t="s">
        <v>17</v>
      </c>
      <c r="E167" s="9" t="str">
        <f t="shared" si="91"/>
        <v>historical</v>
      </c>
      <c r="F167" s="8">
        <v>350</v>
      </c>
      <c r="G167" s="8" t="s">
        <v>60</v>
      </c>
      <c r="H167" s="8">
        <v>3</v>
      </c>
      <c r="I167" s="19">
        <v>6.8499999999999995E-4</v>
      </c>
      <c r="J167" s="8">
        <v>12</v>
      </c>
      <c r="K167" s="8" t="s">
        <v>166</v>
      </c>
      <c r="L167" s="8">
        <v>1</v>
      </c>
      <c r="M167" s="8">
        <v>1</v>
      </c>
      <c r="N167" s="10" t="s">
        <v>21</v>
      </c>
      <c r="O167" s="17" t="s">
        <v>328</v>
      </c>
      <c r="P167" s="10" t="str">
        <f t="shared" si="92"/>
        <v>NCC-NorESM1-M_Scaled_Cluster12_repl1.sqlite</v>
      </c>
      <c r="Q167" s="11">
        <f t="shared" si="93"/>
        <v>3</v>
      </c>
      <c r="R167" s="16" t="str">
        <f t="shared" si="94"/>
        <v>climate_db_NCC-NorESM1-M_historical_v4.sqlite</v>
      </c>
      <c r="S167" s="16" t="str">
        <f t="shared" si="95"/>
        <v>log/NCC-NorESM1-M_Scaled_Cluster12_repl1.txt</v>
      </c>
      <c r="T167" s="16" t="str">
        <f t="shared" si="96"/>
        <v>init/env_file_CLUSTER12_REPL1_NCC-NorESM1-M_historical.csv</v>
      </c>
      <c r="U167" s="16" t="str">
        <f t="shared" si="97"/>
        <v>init/env_grid_CLUSTER12_REPL1.asc</v>
      </c>
      <c r="V167" s="16" t="str">
        <f t="shared" si="98"/>
        <v>init/env_grid_CLUSTER12_REPL1.asc</v>
      </c>
      <c r="W167" s="16" t="str">
        <f t="shared" si="99"/>
        <v>trees_CLUSTER12.csv</v>
      </c>
      <c r="X167" s="16" t="str">
        <f t="shared" si="100"/>
        <v>saplings_CLUSTER12.csv</v>
      </c>
      <c r="Y167" s="16">
        <f t="shared" si="101"/>
        <v>350</v>
      </c>
      <c r="Z167" s="16" t="str">
        <f t="shared" si="102"/>
        <v>abe/no_mgmt.csv</v>
      </c>
      <c r="AA167" s="16" t="str">
        <f t="shared" si="103"/>
        <v>gis/WindModifier_cl12.asc</v>
      </c>
      <c r="AB167" s="16">
        <f t="shared" si="104"/>
        <v>6.8500009999999999E-4</v>
      </c>
      <c r="AC167" s="16" t="str">
        <f t="shared" si="105"/>
        <v>NCC-NorESM1-M_historical_point32670</v>
      </c>
      <c r="AD167" s="16" t="str">
        <f t="shared" si="106"/>
        <v>wind_Events/Scaled_cl12_repl1.txt</v>
      </c>
      <c r="AE167" s="16" t="str">
        <f t="shared" si="107"/>
        <v>NCC-NorESM1-M_Scaled_Cluster12_repl1</v>
      </c>
      <c r="AF167" s="21" t="s">
        <v>411</v>
      </c>
      <c r="AG167" s="21" t="s">
        <v>100</v>
      </c>
    </row>
    <row r="168" spans="1:33" ht="13.8">
      <c r="A168" s="7" t="str">
        <f t="shared" si="90"/>
        <v>NCC-NorESM1-M_Scaled_Cluster12_repl2</v>
      </c>
      <c r="B168" s="8" t="s">
        <v>16</v>
      </c>
      <c r="C168" s="8" t="s">
        <v>54</v>
      </c>
      <c r="D168" s="9" t="s">
        <v>17</v>
      </c>
      <c r="E168" s="9" t="str">
        <f t="shared" si="91"/>
        <v>historical</v>
      </c>
      <c r="F168" s="8">
        <v>350</v>
      </c>
      <c r="G168" s="8" t="s">
        <v>60</v>
      </c>
      <c r="H168" s="8">
        <v>3</v>
      </c>
      <c r="I168" s="19">
        <v>6.8499999999999995E-4</v>
      </c>
      <c r="J168" s="8">
        <v>12</v>
      </c>
      <c r="K168" s="8" t="s">
        <v>166</v>
      </c>
      <c r="L168" s="8">
        <v>2</v>
      </c>
      <c r="M168" s="8">
        <v>1</v>
      </c>
      <c r="N168" s="10" t="s">
        <v>21</v>
      </c>
      <c r="O168" s="17" t="s">
        <v>328</v>
      </c>
      <c r="P168" s="10" t="str">
        <f t="shared" si="92"/>
        <v>NCC-NorESM1-M_Scaled_Cluster12_repl2.sqlite</v>
      </c>
      <c r="Q168" s="11">
        <f t="shared" si="93"/>
        <v>6</v>
      </c>
      <c r="R168" s="16" t="str">
        <f t="shared" si="94"/>
        <v>climate_db_NCC-NorESM1-M_historical_v4.sqlite</v>
      </c>
      <c r="S168" s="16" t="str">
        <f t="shared" si="95"/>
        <v>log/NCC-NorESM1-M_Scaled_Cluster12_repl2.txt</v>
      </c>
      <c r="T168" s="16" t="str">
        <f t="shared" si="96"/>
        <v>init/env_file_CLUSTER12_REPL2_NCC-NorESM1-M_historical.csv</v>
      </c>
      <c r="U168" s="16" t="str">
        <f t="shared" si="97"/>
        <v>init/env_grid_CLUSTER12_REPL2.asc</v>
      </c>
      <c r="V168" s="16" t="str">
        <f t="shared" si="98"/>
        <v>init/env_grid_CLUSTER12_REPL2.asc</v>
      </c>
      <c r="W168" s="16" t="str">
        <f t="shared" si="99"/>
        <v>trees_CLUSTER12.csv</v>
      </c>
      <c r="X168" s="16" t="str">
        <f t="shared" si="100"/>
        <v>saplings_CLUSTER12.csv</v>
      </c>
      <c r="Y168" s="16">
        <f t="shared" si="101"/>
        <v>350</v>
      </c>
      <c r="Z168" s="16" t="str">
        <f t="shared" si="102"/>
        <v>abe/no_mgmt.csv</v>
      </c>
      <c r="AA168" s="16" t="str">
        <f t="shared" si="103"/>
        <v>gis/WindModifier_cl12.asc</v>
      </c>
      <c r="AB168" s="16">
        <f t="shared" si="104"/>
        <v>6.8500009999999999E-4</v>
      </c>
      <c r="AC168" s="16" t="str">
        <f t="shared" si="105"/>
        <v>NCC-NorESM1-M_historical_point32670</v>
      </c>
      <c r="AD168" s="16" t="str">
        <f t="shared" si="106"/>
        <v>wind_Events/Scaled_cl12_repl2.txt</v>
      </c>
      <c r="AE168" s="16" t="str">
        <f t="shared" si="107"/>
        <v>NCC-NorESM1-M_Scaled_Cluster12_repl2</v>
      </c>
      <c r="AF168" s="21" t="s">
        <v>694</v>
      </c>
      <c r="AG168" s="21" t="s">
        <v>695</v>
      </c>
    </row>
    <row r="169" spans="1:33" ht="13.8">
      <c r="A169" s="7" t="str">
        <f t="shared" si="90"/>
        <v>NCC-NorESM1-M_Scaled_Cluster12_repl3</v>
      </c>
      <c r="B169" s="8" t="s">
        <v>16</v>
      </c>
      <c r="C169" s="8" t="s">
        <v>54</v>
      </c>
      <c r="D169" s="9" t="s">
        <v>17</v>
      </c>
      <c r="E169" s="9" t="str">
        <f t="shared" si="91"/>
        <v>historical</v>
      </c>
      <c r="F169" s="8">
        <v>350</v>
      </c>
      <c r="G169" s="8" t="s">
        <v>60</v>
      </c>
      <c r="H169" s="8">
        <v>3</v>
      </c>
      <c r="I169" s="19">
        <v>6.8499999999999995E-4</v>
      </c>
      <c r="J169" s="8">
        <v>12</v>
      </c>
      <c r="K169" s="8" t="s">
        <v>166</v>
      </c>
      <c r="L169" s="8">
        <v>3</v>
      </c>
      <c r="M169" s="8">
        <v>1</v>
      </c>
      <c r="N169" s="10" t="s">
        <v>21</v>
      </c>
      <c r="O169" s="17" t="s">
        <v>328</v>
      </c>
      <c r="P169" s="10" t="str">
        <f t="shared" si="92"/>
        <v>NCC-NorESM1-M_Scaled_Cluster12_repl3.sqlite</v>
      </c>
      <c r="Q169" s="11">
        <f t="shared" si="93"/>
        <v>9</v>
      </c>
      <c r="R169" s="16" t="str">
        <f t="shared" si="94"/>
        <v>climate_db_NCC-NorESM1-M_historical_v4.sqlite</v>
      </c>
      <c r="S169" s="16" t="str">
        <f t="shared" si="95"/>
        <v>log/NCC-NorESM1-M_Scaled_Cluster12_repl3.txt</v>
      </c>
      <c r="T169" s="16" t="str">
        <f t="shared" si="96"/>
        <v>init/env_file_CLUSTER12_REPL3_NCC-NorESM1-M_historical.csv</v>
      </c>
      <c r="U169" s="16" t="str">
        <f t="shared" si="97"/>
        <v>init/env_grid_CLUSTER12_REPL3.asc</v>
      </c>
      <c r="V169" s="16" t="str">
        <f t="shared" si="98"/>
        <v>init/env_grid_CLUSTER12_REPL3.asc</v>
      </c>
      <c r="W169" s="16" t="str">
        <f t="shared" si="99"/>
        <v>trees_CLUSTER12.csv</v>
      </c>
      <c r="X169" s="16" t="str">
        <f t="shared" si="100"/>
        <v>saplings_CLUSTER12.csv</v>
      </c>
      <c r="Y169" s="16">
        <f t="shared" si="101"/>
        <v>350</v>
      </c>
      <c r="Z169" s="16" t="str">
        <f t="shared" si="102"/>
        <v>abe/no_mgmt.csv</v>
      </c>
      <c r="AA169" s="16" t="str">
        <f t="shared" si="103"/>
        <v>gis/WindModifier_cl12.asc</v>
      </c>
      <c r="AB169" s="16">
        <f t="shared" si="104"/>
        <v>6.8500009999999999E-4</v>
      </c>
      <c r="AC169" s="16" t="str">
        <f t="shared" si="105"/>
        <v>NCC-NorESM1-M_historical_point32670</v>
      </c>
      <c r="AD169" s="16" t="str">
        <f t="shared" si="106"/>
        <v>wind_Events/Scaled_cl12_repl3.txt</v>
      </c>
      <c r="AE169" s="16" t="str">
        <f t="shared" si="107"/>
        <v>NCC-NorESM1-M_Scaled_Cluster12_repl3</v>
      </c>
      <c r="AF169" s="21" t="s">
        <v>696</v>
      </c>
      <c r="AG169" s="21" t="s">
        <v>697</v>
      </c>
    </row>
    <row r="170" spans="1:33" ht="13.8">
      <c r="A170" s="7" t="str">
        <f t="shared" si="90"/>
        <v>NCC-NorESM1-M_Scaled_Cluster12_repl4</v>
      </c>
      <c r="B170" s="8" t="s">
        <v>16</v>
      </c>
      <c r="C170" s="8" t="s">
        <v>54</v>
      </c>
      <c r="D170" s="9" t="s">
        <v>17</v>
      </c>
      <c r="E170" s="9" t="str">
        <f t="shared" si="91"/>
        <v>historical</v>
      </c>
      <c r="F170" s="8">
        <v>350</v>
      </c>
      <c r="G170" s="8" t="s">
        <v>60</v>
      </c>
      <c r="H170" s="8">
        <v>3</v>
      </c>
      <c r="I170" s="19">
        <v>6.8499999999999995E-4</v>
      </c>
      <c r="J170" s="8">
        <v>12</v>
      </c>
      <c r="K170" s="8" t="s">
        <v>166</v>
      </c>
      <c r="L170" s="8">
        <v>4</v>
      </c>
      <c r="M170" s="8">
        <v>1</v>
      </c>
      <c r="N170" s="10" t="s">
        <v>21</v>
      </c>
      <c r="O170" s="17" t="s">
        <v>328</v>
      </c>
      <c r="P170" s="10" t="str">
        <f t="shared" si="92"/>
        <v>NCC-NorESM1-M_Scaled_Cluster12_repl4.sqlite</v>
      </c>
      <c r="Q170" s="11">
        <f t="shared" si="93"/>
        <v>12</v>
      </c>
      <c r="R170" s="16" t="str">
        <f t="shared" si="94"/>
        <v>climate_db_NCC-NorESM1-M_historical_v4.sqlite</v>
      </c>
      <c r="S170" s="16" t="str">
        <f t="shared" si="95"/>
        <v>log/NCC-NorESM1-M_Scaled_Cluster12_repl4.txt</v>
      </c>
      <c r="T170" s="16" t="str">
        <f t="shared" si="96"/>
        <v>init/env_file_CLUSTER12_REPL4_NCC-NorESM1-M_historical.csv</v>
      </c>
      <c r="U170" s="16" t="str">
        <f t="shared" si="97"/>
        <v>init/env_grid_CLUSTER12_REPL4.asc</v>
      </c>
      <c r="V170" s="16" t="str">
        <f t="shared" si="98"/>
        <v>init/env_grid_CLUSTER12_REPL4.asc</v>
      </c>
      <c r="W170" s="16" t="str">
        <f t="shared" si="99"/>
        <v>trees_CLUSTER12.csv</v>
      </c>
      <c r="X170" s="16" t="str">
        <f t="shared" si="100"/>
        <v>saplings_CLUSTER12.csv</v>
      </c>
      <c r="Y170" s="16">
        <f t="shared" si="101"/>
        <v>350</v>
      </c>
      <c r="Z170" s="16" t="str">
        <f t="shared" si="102"/>
        <v>abe/no_mgmt.csv</v>
      </c>
      <c r="AA170" s="16" t="str">
        <f t="shared" si="103"/>
        <v>gis/WindModifier_cl12.asc</v>
      </c>
      <c r="AB170" s="16">
        <f t="shared" si="104"/>
        <v>6.8500009999999999E-4</v>
      </c>
      <c r="AC170" s="16" t="str">
        <f t="shared" si="105"/>
        <v>NCC-NorESM1-M_historical_point32670</v>
      </c>
      <c r="AD170" s="16" t="str">
        <f t="shared" si="106"/>
        <v>wind_Events/Scaled_cl12_repl4.txt</v>
      </c>
      <c r="AE170" s="16" t="str">
        <f t="shared" si="107"/>
        <v>NCC-NorESM1-M_Scaled_Cluster12_repl4</v>
      </c>
      <c r="AF170" s="21" t="s">
        <v>698</v>
      </c>
      <c r="AG170" s="21" t="s">
        <v>699</v>
      </c>
    </row>
    <row r="171" spans="1:33" ht="13.8">
      <c r="A171" s="7" t="str">
        <f t="shared" si="90"/>
        <v>NCC-NorESM1-M_Scaled_Cluster12_repl5</v>
      </c>
      <c r="B171" s="8" t="s">
        <v>16</v>
      </c>
      <c r="C171" s="8" t="s">
        <v>54</v>
      </c>
      <c r="D171" s="9" t="s">
        <v>17</v>
      </c>
      <c r="E171" s="9" t="str">
        <f t="shared" si="91"/>
        <v>historical</v>
      </c>
      <c r="F171" s="8">
        <v>350</v>
      </c>
      <c r="G171" s="8" t="s">
        <v>60</v>
      </c>
      <c r="H171" s="8">
        <v>3</v>
      </c>
      <c r="I171" s="19">
        <v>6.8499999999999995E-4</v>
      </c>
      <c r="J171" s="8">
        <v>12</v>
      </c>
      <c r="K171" s="8" t="s">
        <v>166</v>
      </c>
      <c r="L171" s="8">
        <v>5</v>
      </c>
      <c r="M171" s="8">
        <v>1</v>
      </c>
      <c r="N171" s="10" t="s">
        <v>21</v>
      </c>
      <c r="O171" s="17" t="s">
        <v>328</v>
      </c>
      <c r="P171" s="10" t="str">
        <f t="shared" si="92"/>
        <v>NCC-NorESM1-M_Scaled_Cluster12_repl5.sqlite</v>
      </c>
      <c r="Q171" s="11">
        <f t="shared" si="93"/>
        <v>15</v>
      </c>
      <c r="R171" s="16" t="str">
        <f t="shared" si="94"/>
        <v>climate_db_NCC-NorESM1-M_historical_v4.sqlite</v>
      </c>
      <c r="S171" s="16" t="str">
        <f t="shared" si="95"/>
        <v>log/NCC-NorESM1-M_Scaled_Cluster12_repl5.txt</v>
      </c>
      <c r="T171" s="16" t="str">
        <f t="shared" si="96"/>
        <v>init/env_file_CLUSTER12_REPL5_NCC-NorESM1-M_historical.csv</v>
      </c>
      <c r="U171" s="16" t="str">
        <f t="shared" si="97"/>
        <v>init/env_grid_CLUSTER12_REPL5.asc</v>
      </c>
      <c r="V171" s="16" t="str">
        <f t="shared" si="98"/>
        <v>init/env_grid_CLUSTER12_REPL5.asc</v>
      </c>
      <c r="W171" s="16" t="str">
        <f t="shared" si="99"/>
        <v>trees_CLUSTER12.csv</v>
      </c>
      <c r="X171" s="16" t="str">
        <f t="shared" si="100"/>
        <v>saplings_CLUSTER12.csv</v>
      </c>
      <c r="Y171" s="16">
        <f t="shared" si="101"/>
        <v>350</v>
      </c>
      <c r="Z171" s="16" t="str">
        <f t="shared" si="102"/>
        <v>abe/no_mgmt.csv</v>
      </c>
      <c r="AA171" s="16" t="str">
        <f t="shared" si="103"/>
        <v>gis/WindModifier_cl12.asc</v>
      </c>
      <c r="AB171" s="16">
        <f t="shared" si="104"/>
        <v>6.8500009999999999E-4</v>
      </c>
      <c r="AC171" s="16" t="str">
        <f t="shared" si="105"/>
        <v>NCC-NorESM1-M_historical_point32670</v>
      </c>
      <c r="AD171" s="16" t="str">
        <f t="shared" si="106"/>
        <v>wind_Events/Scaled_cl12_repl5.txt</v>
      </c>
      <c r="AE171" s="16" t="str">
        <f t="shared" si="107"/>
        <v>NCC-NorESM1-M_Scaled_Cluster12_repl5</v>
      </c>
      <c r="AF171" s="21" t="s">
        <v>700</v>
      </c>
      <c r="AG171" s="21" t="s">
        <v>701</v>
      </c>
    </row>
    <row r="172" spans="1:33" ht="13.8">
      <c r="A172" s="7" t="str">
        <f t="shared" si="90"/>
        <v>NCC-NorESM1-M_Scaled_Cluster13_repl1</v>
      </c>
      <c r="B172" s="8" t="s">
        <v>16</v>
      </c>
      <c r="C172" s="8" t="s">
        <v>54</v>
      </c>
      <c r="D172" s="9" t="s">
        <v>17</v>
      </c>
      <c r="E172" s="9" t="str">
        <f t="shared" si="91"/>
        <v>historical</v>
      </c>
      <c r="F172" s="8">
        <v>350</v>
      </c>
      <c r="G172" s="8" t="s">
        <v>60</v>
      </c>
      <c r="H172" s="8">
        <v>3</v>
      </c>
      <c r="I172" s="19">
        <v>6.8499999999999995E-4</v>
      </c>
      <c r="J172" s="8">
        <v>13</v>
      </c>
      <c r="K172" s="8" t="s">
        <v>167</v>
      </c>
      <c r="L172" s="8">
        <v>1</v>
      </c>
      <c r="M172" s="8">
        <v>1</v>
      </c>
      <c r="N172" s="10" t="s">
        <v>21</v>
      </c>
      <c r="O172" s="17" t="s">
        <v>328</v>
      </c>
      <c r="P172" s="10" t="str">
        <f t="shared" si="92"/>
        <v>NCC-NorESM1-M_Scaled_Cluster13_repl1.sqlite</v>
      </c>
      <c r="Q172" s="11">
        <f t="shared" si="93"/>
        <v>3</v>
      </c>
      <c r="R172" s="16" t="str">
        <f t="shared" si="94"/>
        <v>climate_db_NCC-NorESM1-M_historical_v4.sqlite</v>
      </c>
      <c r="S172" s="16" t="str">
        <f t="shared" si="95"/>
        <v>log/NCC-NorESM1-M_Scaled_Cluster13_repl1.txt</v>
      </c>
      <c r="T172" s="16" t="str">
        <f t="shared" si="96"/>
        <v>init/env_file_CLUSTER13_REPL1_NCC-NorESM1-M_historical.csv</v>
      </c>
      <c r="U172" s="16" t="str">
        <f t="shared" si="97"/>
        <v>init/env_grid_CLUSTER13_REPL1.asc</v>
      </c>
      <c r="V172" s="16" t="str">
        <f t="shared" si="98"/>
        <v>init/env_grid_CLUSTER13_REPL1.asc</v>
      </c>
      <c r="W172" s="16" t="str">
        <f t="shared" si="99"/>
        <v>trees_CLUSTER13.csv</v>
      </c>
      <c r="X172" s="16" t="str">
        <f t="shared" si="100"/>
        <v>saplings_CLUSTER13.csv</v>
      </c>
      <c r="Y172" s="16">
        <f t="shared" si="101"/>
        <v>350</v>
      </c>
      <c r="Z172" s="16" t="str">
        <f t="shared" si="102"/>
        <v>abe/no_mgmt.csv</v>
      </c>
      <c r="AA172" s="16" t="str">
        <f t="shared" si="103"/>
        <v>gis/WindModifier_cl13.asc</v>
      </c>
      <c r="AB172" s="16">
        <f t="shared" si="104"/>
        <v>6.8500009999999999E-4</v>
      </c>
      <c r="AC172" s="16" t="str">
        <f t="shared" si="105"/>
        <v>NCC-NorESM1-M_historical_point33292</v>
      </c>
      <c r="AD172" s="16" t="str">
        <f t="shared" si="106"/>
        <v>wind_Events/Scaled_cl13_repl1.txt</v>
      </c>
      <c r="AE172" s="16" t="str">
        <f t="shared" si="107"/>
        <v>NCC-NorESM1-M_Scaled_Cluster13_repl1</v>
      </c>
      <c r="AF172" s="21" t="s">
        <v>413</v>
      </c>
      <c r="AG172" s="21" t="s">
        <v>414</v>
      </c>
    </row>
    <row r="173" spans="1:33" ht="13.8">
      <c r="A173" s="7" t="str">
        <f t="shared" si="90"/>
        <v>NCC-NorESM1-M_Scaled_Cluster13_repl2</v>
      </c>
      <c r="B173" s="8" t="s">
        <v>16</v>
      </c>
      <c r="C173" s="8" t="s">
        <v>54</v>
      </c>
      <c r="D173" s="9" t="s">
        <v>17</v>
      </c>
      <c r="E173" s="9" t="str">
        <f t="shared" si="91"/>
        <v>historical</v>
      </c>
      <c r="F173" s="8">
        <v>350</v>
      </c>
      <c r="G173" s="8" t="s">
        <v>60</v>
      </c>
      <c r="H173" s="8">
        <v>3</v>
      </c>
      <c r="I173" s="19">
        <v>6.8499999999999995E-4</v>
      </c>
      <c r="J173" s="8">
        <v>13</v>
      </c>
      <c r="K173" s="8" t="s">
        <v>167</v>
      </c>
      <c r="L173" s="8">
        <v>2</v>
      </c>
      <c r="M173" s="8">
        <v>1</v>
      </c>
      <c r="N173" s="10" t="s">
        <v>21</v>
      </c>
      <c r="O173" s="17" t="s">
        <v>328</v>
      </c>
      <c r="P173" s="10" t="str">
        <f t="shared" si="92"/>
        <v>NCC-NorESM1-M_Scaled_Cluster13_repl2.sqlite</v>
      </c>
      <c r="Q173" s="11">
        <f t="shared" si="93"/>
        <v>6</v>
      </c>
      <c r="R173" s="16" t="str">
        <f t="shared" si="94"/>
        <v>climate_db_NCC-NorESM1-M_historical_v4.sqlite</v>
      </c>
      <c r="S173" s="16" t="str">
        <f t="shared" si="95"/>
        <v>log/NCC-NorESM1-M_Scaled_Cluster13_repl2.txt</v>
      </c>
      <c r="T173" s="16" t="str">
        <f t="shared" si="96"/>
        <v>init/env_file_CLUSTER13_REPL2_NCC-NorESM1-M_historical.csv</v>
      </c>
      <c r="U173" s="16" t="str">
        <f t="shared" si="97"/>
        <v>init/env_grid_CLUSTER13_REPL2.asc</v>
      </c>
      <c r="V173" s="16" t="str">
        <f t="shared" si="98"/>
        <v>init/env_grid_CLUSTER13_REPL2.asc</v>
      </c>
      <c r="W173" s="16" t="str">
        <f t="shared" si="99"/>
        <v>trees_CLUSTER13.csv</v>
      </c>
      <c r="X173" s="16" t="str">
        <f t="shared" si="100"/>
        <v>saplings_CLUSTER13.csv</v>
      </c>
      <c r="Y173" s="16">
        <f t="shared" si="101"/>
        <v>350</v>
      </c>
      <c r="Z173" s="16" t="str">
        <f t="shared" si="102"/>
        <v>abe/no_mgmt.csv</v>
      </c>
      <c r="AA173" s="16" t="str">
        <f t="shared" si="103"/>
        <v>gis/WindModifier_cl13.asc</v>
      </c>
      <c r="AB173" s="16">
        <f t="shared" si="104"/>
        <v>6.8500009999999999E-4</v>
      </c>
      <c r="AC173" s="16" t="str">
        <f t="shared" si="105"/>
        <v>NCC-NorESM1-M_historical_point33292</v>
      </c>
      <c r="AD173" s="16" t="str">
        <f t="shared" si="106"/>
        <v>wind_Events/Scaled_cl13_repl2.txt</v>
      </c>
      <c r="AE173" s="16" t="str">
        <f t="shared" si="107"/>
        <v>NCC-NorESM1-M_Scaled_Cluster13_repl2</v>
      </c>
      <c r="AF173" s="21" t="s">
        <v>702</v>
      </c>
      <c r="AG173" s="21" t="s">
        <v>703</v>
      </c>
    </row>
    <row r="174" spans="1:33" ht="13.8">
      <c r="A174" s="7" t="str">
        <f t="shared" si="90"/>
        <v>NCC-NorESM1-M_Scaled_Cluster13_repl3</v>
      </c>
      <c r="B174" s="8" t="s">
        <v>16</v>
      </c>
      <c r="C174" s="8" t="s">
        <v>54</v>
      </c>
      <c r="D174" s="9" t="s">
        <v>17</v>
      </c>
      <c r="E174" s="9" t="str">
        <f t="shared" si="91"/>
        <v>historical</v>
      </c>
      <c r="F174" s="8">
        <v>350</v>
      </c>
      <c r="G174" s="8" t="s">
        <v>60</v>
      </c>
      <c r="H174" s="8">
        <v>3</v>
      </c>
      <c r="I174" s="19">
        <v>6.8499999999999995E-4</v>
      </c>
      <c r="J174" s="8">
        <v>13</v>
      </c>
      <c r="K174" s="8" t="s">
        <v>167</v>
      </c>
      <c r="L174" s="8">
        <v>3</v>
      </c>
      <c r="M174" s="8">
        <v>1</v>
      </c>
      <c r="N174" s="10" t="s">
        <v>21</v>
      </c>
      <c r="O174" s="17" t="s">
        <v>328</v>
      </c>
      <c r="P174" s="10" t="str">
        <f t="shared" si="92"/>
        <v>NCC-NorESM1-M_Scaled_Cluster13_repl3.sqlite</v>
      </c>
      <c r="Q174" s="11">
        <f t="shared" si="93"/>
        <v>9</v>
      </c>
      <c r="R174" s="16" t="str">
        <f t="shared" si="94"/>
        <v>climate_db_NCC-NorESM1-M_historical_v4.sqlite</v>
      </c>
      <c r="S174" s="16" t="str">
        <f t="shared" si="95"/>
        <v>log/NCC-NorESM1-M_Scaled_Cluster13_repl3.txt</v>
      </c>
      <c r="T174" s="16" t="str">
        <f t="shared" si="96"/>
        <v>init/env_file_CLUSTER13_REPL3_NCC-NorESM1-M_historical.csv</v>
      </c>
      <c r="U174" s="16" t="str">
        <f t="shared" si="97"/>
        <v>init/env_grid_CLUSTER13_REPL3.asc</v>
      </c>
      <c r="V174" s="16" t="str">
        <f t="shared" si="98"/>
        <v>init/env_grid_CLUSTER13_REPL3.asc</v>
      </c>
      <c r="W174" s="16" t="str">
        <f t="shared" si="99"/>
        <v>trees_CLUSTER13.csv</v>
      </c>
      <c r="X174" s="16" t="str">
        <f t="shared" si="100"/>
        <v>saplings_CLUSTER13.csv</v>
      </c>
      <c r="Y174" s="16">
        <f t="shared" si="101"/>
        <v>350</v>
      </c>
      <c r="Z174" s="16" t="str">
        <f t="shared" si="102"/>
        <v>abe/no_mgmt.csv</v>
      </c>
      <c r="AA174" s="16" t="str">
        <f t="shared" si="103"/>
        <v>gis/WindModifier_cl13.asc</v>
      </c>
      <c r="AB174" s="16">
        <f t="shared" si="104"/>
        <v>6.8500009999999999E-4</v>
      </c>
      <c r="AC174" s="16" t="str">
        <f t="shared" si="105"/>
        <v>NCC-NorESM1-M_historical_point33292</v>
      </c>
      <c r="AD174" s="16" t="str">
        <f t="shared" si="106"/>
        <v>wind_Events/Scaled_cl13_repl3.txt</v>
      </c>
      <c r="AE174" s="16" t="str">
        <f t="shared" si="107"/>
        <v>NCC-NorESM1-M_Scaled_Cluster13_repl3</v>
      </c>
      <c r="AF174" s="21" t="s">
        <v>704</v>
      </c>
      <c r="AG174" s="21" t="s">
        <v>705</v>
      </c>
    </row>
    <row r="175" spans="1:33" ht="13.8">
      <c r="A175" s="7" t="str">
        <f t="shared" si="90"/>
        <v>NCC-NorESM1-M_Scaled_Cluster13_repl4</v>
      </c>
      <c r="B175" s="8" t="s">
        <v>16</v>
      </c>
      <c r="C175" s="8" t="s">
        <v>54</v>
      </c>
      <c r="D175" s="9" t="s">
        <v>17</v>
      </c>
      <c r="E175" s="9" t="str">
        <f t="shared" si="91"/>
        <v>historical</v>
      </c>
      <c r="F175" s="8">
        <v>350</v>
      </c>
      <c r="G175" s="8" t="s">
        <v>60</v>
      </c>
      <c r="H175" s="8">
        <v>3</v>
      </c>
      <c r="I175" s="19">
        <v>6.8499999999999995E-4</v>
      </c>
      <c r="J175" s="8">
        <v>13</v>
      </c>
      <c r="K175" s="8" t="s">
        <v>167</v>
      </c>
      <c r="L175" s="8">
        <v>4</v>
      </c>
      <c r="M175" s="8">
        <v>1</v>
      </c>
      <c r="N175" s="10" t="s">
        <v>21</v>
      </c>
      <c r="O175" s="17" t="s">
        <v>328</v>
      </c>
      <c r="P175" s="10" t="str">
        <f t="shared" si="92"/>
        <v>NCC-NorESM1-M_Scaled_Cluster13_repl4.sqlite</v>
      </c>
      <c r="Q175" s="11">
        <f t="shared" si="93"/>
        <v>12</v>
      </c>
      <c r="R175" s="16" t="str">
        <f t="shared" si="94"/>
        <v>climate_db_NCC-NorESM1-M_historical_v4.sqlite</v>
      </c>
      <c r="S175" s="16" t="str">
        <f t="shared" si="95"/>
        <v>log/NCC-NorESM1-M_Scaled_Cluster13_repl4.txt</v>
      </c>
      <c r="T175" s="16" t="str">
        <f t="shared" si="96"/>
        <v>init/env_file_CLUSTER13_REPL4_NCC-NorESM1-M_historical.csv</v>
      </c>
      <c r="U175" s="16" t="str">
        <f t="shared" si="97"/>
        <v>init/env_grid_CLUSTER13_REPL4.asc</v>
      </c>
      <c r="V175" s="16" t="str">
        <f t="shared" si="98"/>
        <v>init/env_grid_CLUSTER13_REPL4.asc</v>
      </c>
      <c r="W175" s="16" t="str">
        <f t="shared" si="99"/>
        <v>trees_CLUSTER13.csv</v>
      </c>
      <c r="X175" s="16" t="str">
        <f t="shared" si="100"/>
        <v>saplings_CLUSTER13.csv</v>
      </c>
      <c r="Y175" s="16">
        <f t="shared" si="101"/>
        <v>350</v>
      </c>
      <c r="Z175" s="16" t="str">
        <f t="shared" si="102"/>
        <v>abe/no_mgmt.csv</v>
      </c>
      <c r="AA175" s="16" t="str">
        <f t="shared" si="103"/>
        <v>gis/WindModifier_cl13.asc</v>
      </c>
      <c r="AB175" s="16">
        <f t="shared" si="104"/>
        <v>6.8500009999999999E-4</v>
      </c>
      <c r="AC175" s="16" t="str">
        <f t="shared" si="105"/>
        <v>NCC-NorESM1-M_historical_point33292</v>
      </c>
      <c r="AD175" s="16" t="str">
        <f t="shared" si="106"/>
        <v>wind_Events/Scaled_cl13_repl4.txt</v>
      </c>
      <c r="AE175" s="16" t="str">
        <f t="shared" si="107"/>
        <v>NCC-NorESM1-M_Scaled_Cluster13_repl4</v>
      </c>
      <c r="AF175" s="21" t="s">
        <v>706</v>
      </c>
      <c r="AG175" s="21" t="s">
        <v>707</v>
      </c>
    </row>
    <row r="176" spans="1:33" ht="13.8">
      <c r="A176" s="7" t="str">
        <f t="shared" si="90"/>
        <v>NCC-NorESM1-M_Scaled_Cluster13_repl5</v>
      </c>
      <c r="B176" s="8" t="s">
        <v>16</v>
      </c>
      <c r="C176" s="8" t="s">
        <v>54</v>
      </c>
      <c r="D176" s="9" t="s">
        <v>17</v>
      </c>
      <c r="E176" s="9" t="str">
        <f t="shared" si="91"/>
        <v>historical</v>
      </c>
      <c r="F176" s="8">
        <v>350</v>
      </c>
      <c r="G176" s="8" t="s">
        <v>60</v>
      </c>
      <c r="H176" s="8">
        <v>3</v>
      </c>
      <c r="I176" s="19">
        <v>6.8499999999999995E-4</v>
      </c>
      <c r="J176" s="8">
        <v>13</v>
      </c>
      <c r="K176" s="8" t="s">
        <v>167</v>
      </c>
      <c r="L176" s="8">
        <v>5</v>
      </c>
      <c r="M176" s="8">
        <v>1</v>
      </c>
      <c r="N176" s="10" t="s">
        <v>21</v>
      </c>
      <c r="O176" s="17" t="s">
        <v>328</v>
      </c>
      <c r="P176" s="10" t="str">
        <f t="shared" si="92"/>
        <v>NCC-NorESM1-M_Scaled_Cluster13_repl5.sqlite</v>
      </c>
      <c r="Q176" s="11">
        <f t="shared" si="93"/>
        <v>15</v>
      </c>
      <c r="R176" s="16" t="str">
        <f t="shared" si="94"/>
        <v>climate_db_NCC-NorESM1-M_historical_v4.sqlite</v>
      </c>
      <c r="S176" s="16" t="str">
        <f t="shared" si="95"/>
        <v>log/NCC-NorESM1-M_Scaled_Cluster13_repl5.txt</v>
      </c>
      <c r="T176" s="16" t="str">
        <f t="shared" si="96"/>
        <v>init/env_file_CLUSTER13_REPL5_NCC-NorESM1-M_historical.csv</v>
      </c>
      <c r="U176" s="16" t="str">
        <f t="shared" si="97"/>
        <v>init/env_grid_CLUSTER13_REPL5.asc</v>
      </c>
      <c r="V176" s="16" t="str">
        <f t="shared" si="98"/>
        <v>init/env_grid_CLUSTER13_REPL5.asc</v>
      </c>
      <c r="W176" s="16" t="str">
        <f t="shared" si="99"/>
        <v>trees_CLUSTER13.csv</v>
      </c>
      <c r="X176" s="16" t="str">
        <f t="shared" si="100"/>
        <v>saplings_CLUSTER13.csv</v>
      </c>
      <c r="Y176" s="16">
        <f t="shared" si="101"/>
        <v>350</v>
      </c>
      <c r="Z176" s="16" t="str">
        <f t="shared" si="102"/>
        <v>abe/no_mgmt.csv</v>
      </c>
      <c r="AA176" s="16" t="str">
        <f t="shared" si="103"/>
        <v>gis/WindModifier_cl13.asc</v>
      </c>
      <c r="AB176" s="16">
        <f t="shared" si="104"/>
        <v>6.8500009999999999E-4</v>
      </c>
      <c r="AC176" s="16" t="str">
        <f t="shared" si="105"/>
        <v>NCC-NorESM1-M_historical_point33292</v>
      </c>
      <c r="AD176" s="16" t="str">
        <f t="shared" si="106"/>
        <v>wind_Events/Scaled_cl13_repl5.txt</v>
      </c>
      <c r="AE176" s="16" t="str">
        <f t="shared" si="107"/>
        <v>NCC-NorESM1-M_Scaled_Cluster13_repl5</v>
      </c>
      <c r="AF176" s="21" t="s">
        <v>708</v>
      </c>
      <c r="AG176" s="21" t="s">
        <v>709</v>
      </c>
    </row>
    <row r="177" spans="1:33" ht="13.8">
      <c r="A177" s="7" t="str">
        <f t="shared" si="90"/>
        <v>NCC-NorESM1-M_Scaled_Cluster14_repl1</v>
      </c>
      <c r="B177" s="8" t="s">
        <v>16</v>
      </c>
      <c r="C177" s="8" t="s">
        <v>54</v>
      </c>
      <c r="D177" s="9" t="s">
        <v>17</v>
      </c>
      <c r="E177" s="9" t="str">
        <f t="shared" si="91"/>
        <v>historical</v>
      </c>
      <c r="F177" s="8">
        <v>350</v>
      </c>
      <c r="G177" s="8" t="s">
        <v>60</v>
      </c>
      <c r="H177" s="8">
        <v>3</v>
      </c>
      <c r="I177" s="19">
        <v>6.8499999999999995E-4</v>
      </c>
      <c r="J177" s="8">
        <v>14</v>
      </c>
      <c r="K177" s="8" t="s">
        <v>180</v>
      </c>
      <c r="L177" s="8">
        <v>1</v>
      </c>
      <c r="M177" s="8">
        <v>1</v>
      </c>
      <c r="N177" s="10" t="s">
        <v>21</v>
      </c>
      <c r="O177" s="17" t="s">
        <v>328</v>
      </c>
      <c r="P177" s="10" t="str">
        <f t="shared" si="92"/>
        <v>NCC-NorESM1-M_Scaled_Cluster14_repl1.sqlite</v>
      </c>
      <c r="Q177" s="11">
        <f t="shared" si="93"/>
        <v>3</v>
      </c>
      <c r="R177" s="16" t="str">
        <f t="shared" si="94"/>
        <v>climate_db_NCC-NorESM1-M_historical_v4.sqlite</v>
      </c>
      <c r="S177" s="16" t="str">
        <f t="shared" si="95"/>
        <v>log/NCC-NorESM1-M_Scaled_Cluster14_repl1.txt</v>
      </c>
      <c r="T177" s="16" t="str">
        <f t="shared" si="96"/>
        <v>init/env_file_CLUSTER14_REPL1_NCC-NorESM1-M_historical.csv</v>
      </c>
      <c r="U177" s="16" t="str">
        <f t="shared" si="97"/>
        <v>init/env_grid_CLUSTER14_REPL1.asc</v>
      </c>
      <c r="V177" s="16" t="str">
        <f t="shared" si="98"/>
        <v>init/env_grid_CLUSTER14_REPL1.asc</v>
      </c>
      <c r="W177" s="16" t="str">
        <f t="shared" si="99"/>
        <v>trees_CLUSTER14.csv</v>
      </c>
      <c r="X177" s="16" t="str">
        <f t="shared" si="100"/>
        <v>saplings_CLUSTER14.csv</v>
      </c>
      <c r="Y177" s="16">
        <f t="shared" si="101"/>
        <v>350</v>
      </c>
      <c r="Z177" s="16" t="str">
        <f t="shared" si="102"/>
        <v>abe/no_mgmt.csv</v>
      </c>
      <c r="AA177" s="16" t="str">
        <f t="shared" si="103"/>
        <v>gis/WindModifier_cl14.asc</v>
      </c>
      <c r="AB177" s="16">
        <f t="shared" si="104"/>
        <v>6.8500009999999999E-4</v>
      </c>
      <c r="AC177" s="16" t="str">
        <f t="shared" si="105"/>
        <v>NCC-NorESM1-M_historical_point34873</v>
      </c>
      <c r="AD177" s="16" t="str">
        <f t="shared" si="106"/>
        <v>wind_Events/Scaled_cl14_repl1.txt</v>
      </c>
      <c r="AE177" s="16" t="str">
        <f t="shared" si="107"/>
        <v>NCC-NorESM1-M_Scaled_Cluster14_repl1</v>
      </c>
      <c r="AF177" s="21" t="s">
        <v>416</v>
      </c>
      <c r="AG177" s="21" t="s">
        <v>417</v>
      </c>
    </row>
    <row r="178" spans="1:33" ht="13.8">
      <c r="A178" s="7" t="str">
        <f t="shared" si="90"/>
        <v>NCC-NorESM1-M_Scaled_Cluster14_repl2</v>
      </c>
      <c r="B178" s="8" t="s">
        <v>16</v>
      </c>
      <c r="C178" s="8" t="s">
        <v>54</v>
      </c>
      <c r="D178" s="9" t="s">
        <v>17</v>
      </c>
      <c r="E178" s="9" t="str">
        <f t="shared" si="91"/>
        <v>historical</v>
      </c>
      <c r="F178" s="8">
        <v>350</v>
      </c>
      <c r="G178" s="8" t="s">
        <v>60</v>
      </c>
      <c r="H178" s="8">
        <v>3</v>
      </c>
      <c r="I178" s="19">
        <v>6.8499999999999995E-4</v>
      </c>
      <c r="J178" s="8">
        <v>14</v>
      </c>
      <c r="K178" s="8" t="s">
        <v>180</v>
      </c>
      <c r="L178" s="8">
        <v>2</v>
      </c>
      <c r="M178" s="8">
        <v>1</v>
      </c>
      <c r="N178" s="10" t="s">
        <v>21</v>
      </c>
      <c r="O178" s="17" t="s">
        <v>328</v>
      </c>
      <c r="P178" s="10" t="str">
        <f t="shared" si="92"/>
        <v>NCC-NorESM1-M_Scaled_Cluster14_repl2.sqlite</v>
      </c>
      <c r="Q178" s="11">
        <f t="shared" si="93"/>
        <v>6</v>
      </c>
      <c r="R178" s="16" t="str">
        <f t="shared" si="94"/>
        <v>climate_db_NCC-NorESM1-M_historical_v4.sqlite</v>
      </c>
      <c r="S178" s="16" t="str">
        <f t="shared" si="95"/>
        <v>log/NCC-NorESM1-M_Scaled_Cluster14_repl2.txt</v>
      </c>
      <c r="T178" s="16" t="str">
        <f t="shared" si="96"/>
        <v>init/env_file_CLUSTER14_REPL2_NCC-NorESM1-M_historical.csv</v>
      </c>
      <c r="U178" s="16" t="str">
        <f t="shared" si="97"/>
        <v>init/env_grid_CLUSTER14_REPL2.asc</v>
      </c>
      <c r="V178" s="16" t="str">
        <f t="shared" si="98"/>
        <v>init/env_grid_CLUSTER14_REPL2.asc</v>
      </c>
      <c r="W178" s="16" t="str">
        <f t="shared" si="99"/>
        <v>trees_CLUSTER14.csv</v>
      </c>
      <c r="X178" s="16" t="str">
        <f t="shared" si="100"/>
        <v>saplings_CLUSTER14.csv</v>
      </c>
      <c r="Y178" s="16">
        <f t="shared" si="101"/>
        <v>350</v>
      </c>
      <c r="Z178" s="16" t="str">
        <f t="shared" si="102"/>
        <v>abe/no_mgmt.csv</v>
      </c>
      <c r="AA178" s="16" t="str">
        <f t="shared" si="103"/>
        <v>gis/WindModifier_cl14.asc</v>
      </c>
      <c r="AB178" s="16">
        <f t="shared" si="104"/>
        <v>6.8500009999999999E-4</v>
      </c>
      <c r="AC178" s="16" t="str">
        <f t="shared" si="105"/>
        <v>NCC-NorESM1-M_historical_point34873</v>
      </c>
      <c r="AD178" s="16" t="str">
        <f t="shared" si="106"/>
        <v>wind_Events/Scaled_cl14_repl2.txt</v>
      </c>
      <c r="AE178" s="16" t="str">
        <f t="shared" si="107"/>
        <v>NCC-NorESM1-M_Scaled_Cluster14_repl2</v>
      </c>
      <c r="AF178" s="21" t="s">
        <v>710</v>
      </c>
      <c r="AG178" s="21" t="s">
        <v>711</v>
      </c>
    </row>
    <row r="179" spans="1:33" ht="13.8">
      <c r="A179" s="7" t="str">
        <f t="shared" si="90"/>
        <v>NCC-NorESM1-M_Scaled_Cluster14_repl3</v>
      </c>
      <c r="B179" s="8" t="s">
        <v>16</v>
      </c>
      <c r="C179" s="8" t="s">
        <v>54</v>
      </c>
      <c r="D179" s="9" t="s">
        <v>17</v>
      </c>
      <c r="E179" s="9" t="str">
        <f t="shared" si="91"/>
        <v>historical</v>
      </c>
      <c r="F179" s="8">
        <v>350</v>
      </c>
      <c r="G179" s="8" t="s">
        <v>60</v>
      </c>
      <c r="H179" s="8">
        <v>3</v>
      </c>
      <c r="I179" s="19">
        <v>6.8499999999999995E-4</v>
      </c>
      <c r="J179" s="8">
        <v>14</v>
      </c>
      <c r="K179" s="8" t="s">
        <v>180</v>
      </c>
      <c r="L179" s="8">
        <v>3</v>
      </c>
      <c r="M179" s="8">
        <v>1</v>
      </c>
      <c r="N179" s="10" t="s">
        <v>21</v>
      </c>
      <c r="O179" s="17" t="s">
        <v>328</v>
      </c>
      <c r="P179" s="10" t="str">
        <f t="shared" si="92"/>
        <v>NCC-NorESM1-M_Scaled_Cluster14_repl3.sqlite</v>
      </c>
      <c r="Q179" s="11">
        <f t="shared" si="93"/>
        <v>9</v>
      </c>
      <c r="R179" s="16" t="str">
        <f t="shared" si="94"/>
        <v>climate_db_NCC-NorESM1-M_historical_v4.sqlite</v>
      </c>
      <c r="S179" s="16" t="str">
        <f t="shared" si="95"/>
        <v>log/NCC-NorESM1-M_Scaled_Cluster14_repl3.txt</v>
      </c>
      <c r="T179" s="16" t="str">
        <f t="shared" si="96"/>
        <v>init/env_file_CLUSTER14_REPL3_NCC-NorESM1-M_historical.csv</v>
      </c>
      <c r="U179" s="16" t="str">
        <f t="shared" si="97"/>
        <v>init/env_grid_CLUSTER14_REPL3.asc</v>
      </c>
      <c r="V179" s="16" t="str">
        <f t="shared" si="98"/>
        <v>init/env_grid_CLUSTER14_REPL3.asc</v>
      </c>
      <c r="W179" s="16" t="str">
        <f t="shared" si="99"/>
        <v>trees_CLUSTER14.csv</v>
      </c>
      <c r="X179" s="16" t="str">
        <f t="shared" si="100"/>
        <v>saplings_CLUSTER14.csv</v>
      </c>
      <c r="Y179" s="16">
        <f t="shared" si="101"/>
        <v>350</v>
      </c>
      <c r="Z179" s="16" t="str">
        <f t="shared" si="102"/>
        <v>abe/no_mgmt.csv</v>
      </c>
      <c r="AA179" s="16" t="str">
        <f t="shared" si="103"/>
        <v>gis/WindModifier_cl14.asc</v>
      </c>
      <c r="AB179" s="16">
        <f t="shared" si="104"/>
        <v>6.8500009999999999E-4</v>
      </c>
      <c r="AC179" s="16" t="str">
        <f t="shared" si="105"/>
        <v>NCC-NorESM1-M_historical_point34873</v>
      </c>
      <c r="AD179" s="16" t="str">
        <f t="shared" si="106"/>
        <v>wind_Events/Scaled_cl14_repl3.txt</v>
      </c>
      <c r="AE179" s="16" t="str">
        <f t="shared" si="107"/>
        <v>NCC-NorESM1-M_Scaled_Cluster14_repl3</v>
      </c>
      <c r="AF179" s="21" t="s">
        <v>712</v>
      </c>
      <c r="AG179" s="21" t="s">
        <v>713</v>
      </c>
    </row>
    <row r="180" spans="1:33" ht="13.8">
      <c r="A180" s="7" t="str">
        <f t="shared" si="90"/>
        <v>NCC-NorESM1-M_Scaled_Cluster14_repl4</v>
      </c>
      <c r="B180" s="8" t="s">
        <v>16</v>
      </c>
      <c r="C180" s="8" t="s">
        <v>54</v>
      </c>
      <c r="D180" s="9" t="s">
        <v>17</v>
      </c>
      <c r="E180" s="9" t="str">
        <f t="shared" si="91"/>
        <v>historical</v>
      </c>
      <c r="F180" s="8">
        <v>350</v>
      </c>
      <c r="G180" s="8" t="s">
        <v>60</v>
      </c>
      <c r="H180" s="8">
        <v>3</v>
      </c>
      <c r="I180" s="19">
        <v>6.8499999999999995E-4</v>
      </c>
      <c r="J180" s="8">
        <v>14</v>
      </c>
      <c r="K180" s="8" t="s">
        <v>180</v>
      </c>
      <c r="L180" s="8">
        <v>4</v>
      </c>
      <c r="M180" s="8">
        <v>1</v>
      </c>
      <c r="N180" s="10" t="s">
        <v>21</v>
      </c>
      <c r="O180" s="17" t="s">
        <v>328</v>
      </c>
      <c r="P180" s="10" t="str">
        <f t="shared" si="92"/>
        <v>NCC-NorESM1-M_Scaled_Cluster14_repl4.sqlite</v>
      </c>
      <c r="Q180" s="11">
        <f t="shared" si="93"/>
        <v>12</v>
      </c>
      <c r="R180" s="16" t="str">
        <f t="shared" si="94"/>
        <v>climate_db_NCC-NorESM1-M_historical_v4.sqlite</v>
      </c>
      <c r="S180" s="16" t="str">
        <f t="shared" si="95"/>
        <v>log/NCC-NorESM1-M_Scaled_Cluster14_repl4.txt</v>
      </c>
      <c r="T180" s="16" t="str">
        <f t="shared" si="96"/>
        <v>init/env_file_CLUSTER14_REPL4_NCC-NorESM1-M_historical.csv</v>
      </c>
      <c r="U180" s="16" t="str">
        <f t="shared" si="97"/>
        <v>init/env_grid_CLUSTER14_REPL4.asc</v>
      </c>
      <c r="V180" s="16" t="str">
        <f t="shared" si="98"/>
        <v>init/env_grid_CLUSTER14_REPL4.asc</v>
      </c>
      <c r="W180" s="16" t="str">
        <f t="shared" si="99"/>
        <v>trees_CLUSTER14.csv</v>
      </c>
      <c r="X180" s="16" t="str">
        <f t="shared" si="100"/>
        <v>saplings_CLUSTER14.csv</v>
      </c>
      <c r="Y180" s="16">
        <f t="shared" si="101"/>
        <v>350</v>
      </c>
      <c r="Z180" s="16" t="str">
        <f t="shared" si="102"/>
        <v>abe/no_mgmt.csv</v>
      </c>
      <c r="AA180" s="16" t="str">
        <f t="shared" si="103"/>
        <v>gis/WindModifier_cl14.asc</v>
      </c>
      <c r="AB180" s="16">
        <f t="shared" si="104"/>
        <v>6.8500009999999999E-4</v>
      </c>
      <c r="AC180" s="16" t="str">
        <f t="shared" si="105"/>
        <v>NCC-NorESM1-M_historical_point34873</v>
      </c>
      <c r="AD180" s="16" t="str">
        <f t="shared" si="106"/>
        <v>wind_Events/Scaled_cl14_repl4.txt</v>
      </c>
      <c r="AE180" s="16" t="str">
        <f t="shared" si="107"/>
        <v>NCC-NorESM1-M_Scaled_Cluster14_repl4</v>
      </c>
      <c r="AF180" s="21" t="s">
        <v>714</v>
      </c>
      <c r="AG180" s="21" t="s">
        <v>715</v>
      </c>
    </row>
    <row r="181" spans="1:33" ht="13.8">
      <c r="A181" s="7" t="str">
        <f t="shared" si="90"/>
        <v>NCC-NorESM1-M_Scaled_Cluster14_repl5</v>
      </c>
      <c r="B181" s="8" t="s">
        <v>16</v>
      </c>
      <c r="C181" s="8" t="s">
        <v>54</v>
      </c>
      <c r="D181" s="9" t="s">
        <v>17</v>
      </c>
      <c r="E181" s="9" t="str">
        <f t="shared" si="91"/>
        <v>historical</v>
      </c>
      <c r="F181" s="8">
        <v>350</v>
      </c>
      <c r="G181" s="8" t="s">
        <v>60</v>
      </c>
      <c r="H181" s="8">
        <v>3</v>
      </c>
      <c r="I181" s="19">
        <v>6.8499999999999995E-4</v>
      </c>
      <c r="J181" s="8">
        <v>14</v>
      </c>
      <c r="K181" s="8" t="s">
        <v>180</v>
      </c>
      <c r="L181" s="8">
        <v>5</v>
      </c>
      <c r="M181" s="8">
        <v>1</v>
      </c>
      <c r="N181" s="10" t="s">
        <v>21</v>
      </c>
      <c r="O181" s="17" t="s">
        <v>328</v>
      </c>
      <c r="P181" s="10" t="str">
        <f t="shared" si="92"/>
        <v>NCC-NorESM1-M_Scaled_Cluster14_repl5.sqlite</v>
      </c>
      <c r="Q181" s="11">
        <f t="shared" si="93"/>
        <v>15</v>
      </c>
      <c r="R181" s="16" t="str">
        <f t="shared" si="94"/>
        <v>climate_db_NCC-NorESM1-M_historical_v4.sqlite</v>
      </c>
      <c r="S181" s="16" t="str">
        <f t="shared" si="95"/>
        <v>log/NCC-NorESM1-M_Scaled_Cluster14_repl5.txt</v>
      </c>
      <c r="T181" s="16" t="str">
        <f t="shared" si="96"/>
        <v>init/env_file_CLUSTER14_REPL5_NCC-NorESM1-M_historical.csv</v>
      </c>
      <c r="U181" s="16" t="str">
        <f t="shared" si="97"/>
        <v>init/env_grid_CLUSTER14_REPL5.asc</v>
      </c>
      <c r="V181" s="16" t="str">
        <f t="shared" si="98"/>
        <v>init/env_grid_CLUSTER14_REPL5.asc</v>
      </c>
      <c r="W181" s="16" t="str">
        <f t="shared" si="99"/>
        <v>trees_CLUSTER14.csv</v>
      </c>
      <c r="X181" s="16" t="str">
        <f t="shared" si="100"/>
        <v>saplings_CLUSTER14.csv</v>
      </c>
      <c r="Y181" s="16">
        <f t="shared" si="101"/>
        <v>350</v>
      </c>
      <c r="Z181" s="16" t="str">
        <f t="shared" si="102"/>
        <v>abe/no_mgmt.csv</v>
      </c>
      <c r="AA181" s="16" t="str">
        <f t="shared" si="103"/>
        <v>gis/WindModifier_cl14.asc</v>
      </c>
      <c r="AB181" s="16">
        <f t="shared" si="104"/>
        <v>6.8500009999999999E-4</v>
      </c>
      <c r="AC181" s="16" t="str">
        <f t="shared" si="105"/>
        <v>NCC-NorESM1-M_historical_point34873</v>
      </c>
      <c r="AD181" s="16" t="str">
        <f t="shared" si="106"/>
        <v>wind_Events/Scaled_cl14_repl5.txt</v>
      </c>
      <c r="AE181" s="16" t="str">
        <f t="shared" si="107"/>
        <v>NCC-NorESM1-M_Scaled_Cluster14_repl5</v>
      </c>
      <c r="AF181" s="21" t="s">
        <v>716</v>
      </c>
      <c r="AG181" s="21" t="s">
        <v>717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2110-49DC-4A3D-86CC-5F3ED95A4FB2}">
  <sheetPr filterMode="1">
    <outlinePr summaryBelow="0" summaryRight="0"/>
  </sheetPr>
  <dimension ref="A1:AG46"/>
  <sheetViews>
    <sheetView zoomScale="90" zoomScaleNormal="90" workbookViewId="0">
      <selection activeCell="D27" sqref="D27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5" width="17.44140625" style="13" customWidth="1"/>
    <col min="6" max="6" width="19.88671875" style="13" customWidth="1"/>
    <col min="7" max="12" width="22.109375" style="13" customWidth="1"/>
    <col min="13" max="13" width="13.88671875" style="13" customWidth="1"/>
    <col min="14" max="14" width="13.44140625" style="13" customWidth="1"/>
    <col min="15" max="15" width="12.44140625" style="13" customWidth="1"/>
    <col min="16" max="16" width="48.33203125" style="13" customWidth="1"/>
    <col min="17" max="17" width="10" style="13" customWidth="1"/>
    <col min="18" max="18" width="45.5546875" style="13" customWidth="1"/>
    <col min="19" max="19" width="48.6640625" style="13" customWidth="1"/>
    <col min="20" max="20" width="54" style="13" customWidth="1"/>
    <col min="21" max="21" width="31.21875" style="13" customWidth="1"/>
    <col min="22" max="22" width="34.21875" style="13" customWidth="1"/>
    <col min="23" max="23" width="24.109375" style="13" customWidth="1"/>
    <col min="24" max="24" width="31.33203125" style="13" customWidth="1"/>
    <col min="25" max="25" width="28.109375" style="13" customWidth="1"/>
    <col min="26" max="26" width="33" style="13" customWidth="1"/>
    <col min="27" max="27" width="29.109375" style="13" customWidth="1"/>
    <col min="28" max="28" width="31" style="13" customWidth="1"/>
    <col min="29" max="29" width="39.6640625" style="13" customWidth="1"/>
    <col min="30" max="30" width="28.33203125" style="13" bestFit="1" customWidth="1"/>
    <col min="31" max="31" width="42.33203125" style="13" bestFit="1" customWidth="1"/>
    <col min="32" max="32" width="39.88671875" style="13" bestFit="1" customWidth="1"/>
    <col min="33" max="33" width="48.33203125" style="13" bestFit="1" customWidth="1"/>
    <col min="34" max="16384" width="13.88671875" style="13"/>
  </cols>
  <sheetData>
    <row r="1" spans="1:33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61</v>
      </c>
      <c r="I1" s="2" t="s">
        <v>56</v>
      </c>
      <c r="J1" s="2" t="s">
        <v>38</v>
      </c>
      <c r="K1" s="2" t="s">
        <v>62</v>
      </c>
      <c r="L1" s="2" t="s">
        <v>39</v>
      </c>
      <c r="M1" s="2" t="s">
        <v>6</v>
      </c>
      <c r="N1" s="1" t="s">
        <v>7</v>
      </c>
      <c r="O1" s="1" t="s">
        <v>8</v>
      </c>
      <c r="P1" s="1" t="s">
        <v>9</v>
      </c>
      <c r="Q1" s="3" t="s">
        <v>10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51</v>
      </c>
      <c r="AB1" s="15" t="s">
        <v>55</v>
      </c>
      <c r="AC1" s="15" t="s">
        <v>42</v>
      </c>
      <c r="AD1" s="15" t="s">
        <v>37</v>
      </c>
      <c r="AE1" s="15" t="s">
        <v>52</v>
      </c>
      <c r="AF1" s="15" t="s">
        <v>329</v>
      </c>
      <c r="AG1" s="15" t="s">
        <v>330</v>
      </c>
    </row>
    <row r="2" spans="1:33" ht="13.8">
      <c r="A2" s="7" t="str">
        <f t="shared" ref="A2:A16" si="0" xml:space="preserve"> G2 &amp; "_" &amp; C2 &amp;"Cluster" &amp; J2 &amp; "_repl" &amp; L2</f>
        <v>ICHEC-EC-EARTH_Scaled_Cluster10_repl1</v>
      </c>
      <c r="B2" s="8" t="s">
        <v>16</v>
      </c>
      <c r="C2" s="8" t="s">
        <v>54</v>
      </c>
      <c r="D2" s="9" t="s">
        <v>17</v>
      </c>
      <c r="E2" s="9" t="str">
        <f t="shared" ref="E2:E46" si="1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</v>
      </c>
      <c r="I2" s="19">
        <v>2.5405658160224899E-6</v>
      </c>
      <c r="J2" s="8">
        <v>10</v>
      </c>
      <c r="K2" s="8" t="s">
        <v>164</v>
      </c>
      <c r="L2" s="8">
        <v>1</v>
      </c>
      <c r="M2" s="8">
        <v>1</v>
      </c>
      <c r="N2" s="10" t="s">
        <v>21</v>
      </c>
      <c r="O2" s="17" t="s">
        <v>328</v>
      </c>
      <c r="P2" s="10" t="str">
        <f t="shared" ref="P2:P46" si="2">A2  &amp; ".sqlite"</f>
        <v>ICHEC-EC-EARTH_Scaled_Cluster10_repl1.sqlite</v>
      </c>
      <c r="Q2" s="11">
        <f t="shared" ref="Q2:Q46" si="3">(L2-1)*3+H2</f>
        <v>1</v>
      </c>
      <c r="R2" s="16" t="str">
        <f t="shared" ref="R2:R46" si="4">"climate_db_" &amp; G2&amp; "_" &amp;  E2&amp; "_v4.sqlite"</f>
        <v>climate_db_ICHEC-EC-EARTH_historical_v4.sqlite</v>
      </c>
      <c r="S2" s="16" t="str">
        <f t="shared" ref="S2:S46" si="5">"log/" &amp;A2  &amp; ".txt"</f>
        <v>log/ICHEC-EC-EARTH_Scaled_Cluster10_repl1.txt</v>
      </c>
      <c r="T2" s="16" t="str">
        <f t="shared" ref="T2:T46" si="6">"init/env_file_CLUSTER" &amp; TEXT(J2, "00") &amp; "_REPL" &amp; L2 &amp; "_" &amp; G2 &amp; "_" &amp; E2 &amp; ".csv"</f>
        <v>init/env_file_CLUSTER10_REPL1_ICHEC-EC-EARTH_historical.csv</v>
      </c>
      <c r="U2" s="16" t="str">
        <f t="shared" ref="U2:U46" si="7">"init/env_grid_CLUSTER" &amp; TEXT(J2, "00") &amp; "_REPL" &amp; L2 &amp; ".asc"</f>
        <v>init/env_grid_CLUSTER10_REPL1.asc</v>
      </c>
      <c r="V2" s="16" t="str">
        <f t="shared" ref="V2:V46" si="8">U2</f>
        <v>init/env_grid_CLUSTER10_REPL1.asc</v>
      </c>
      <c r="W2" s="16" t="str">
        <f t="shared" ref="W2:W46" si="9">"trees_CLUSTER" &amp; TEXT(J2, "00")  &amp; ".csv"</f>
        <v>trees_CLUSTER10.csv</v>
      </c>
      <c r="X2" s="16" t="str">
        <f t="shared" ref="X2:X46" si="10">"saplings_CLUSTER" &amp; TEXT(J2, "00")  &amp; ".csv"</f>
        <v>saplings_CLUSTER10.csv</v>
      </c>
      <c r="Y2" s="16">
        <f t="shared" ref="Y2:Y46" si="11">F2</f>
        <v>350</v>
      </c>
      <c r="Z2" s="16" t="str">
        <f t="shared" ref="Z2:Z46" si="12">"abe/no_mgmt.csv"</f>
        <v>abe/no_mgmt.csv</v>
      </c>
      <c r="AA2" s="16" t="str">
        <f t="shared" ref="AA2:AA46" si="13">"gis/WindModifier_cl" &amp; J2 &amp; ".asc"</f>
        <v>gis/WindModifier_cl10.asc</v>
      </c>
      <c r="AB2" s="16">
        <f>IF(C2="Scaled_", I2,  0.000685)</f>
        <v>2.5405658160224899E-6</v>
      </c>
      <c r="AC2" s="16" t="str">
        <f t="shared" ref="AC2:AC16" si="14">G2 &amp; "_" &amp; E2 &amp; "_point" &amp; K2</f>
        <v>ICHEC-EC-EARTH_historical_point38183</v>
      </c>
      <c r="AD2" s="16" t="str">
        <f t="shared" ref="AD2:AD16" si="15">"wind_Events/" &amp; C2 &amp; "cl" &amp; J2 &amp; "_repl" &amp; L2 &amp; ".txt"</f>
        <v>wind_Events/Scaled_cl10_repl1.txt</v>
      </c>
      <c r="AE2" s="16" t="str">
        <f t="shared" ref="AE2:AE16" si="16">A2</f>
        <v>ICHEC-EC-EARTH_Scaled_Cluster10_repl1</v>
      </c>
      <c r="AF2" s="16" t="s">
        <v>322</v>
      </c>
      <c r="AG2" s="16" t="s">
        <v>323</v>
      </c>
    </row>
    <row r="3" spans="1:33" ht="13.8">
      <c r="A3" s="7" t="str">
        <f t="shared" si="0"/>
        <v>MPI-M-MPI-ESM-LR_Scaled_Cluster10_repl1</v>
      </c>
      <c r="B3" s="8" t="s">
        <v>16</v>
      </c>
      <c r="C3" s="8" t="s">
        <v>54</v>
      </c>
      <c r="D3" s="9" t="s">
        <v>17</v>
      </c>
      <c r="E3" s="9" t="str">
        <f t="shared" si="1"/>
        <v>historical</v>
      </c>
      <c r="F3" s="8">
        <v>350</v>
      </c>
      <c r="G3" s="8" t="s">
        <v>63</v>
      </c>
      <c r="H3" s="8">
        <v>2</v>
      </c>
      <c r="I3" s="19">
        <v>2.5405658160224899E-6</v>
      </c>
      <c r="J3" s="8">
        <v>10</v>
      </c>
      <c r="K3" s="8" t="s">
        <v>172</v>
      </c>
      <c r="L3" s="8">
        <v>1</v>
      </c>
      <c r="M3" s="8">
        <v>1</v>
      </c>
      <c r="N3" s="10" t="s">
        <v>21</v>
      </c>
      <c r="O3" s="17" t="s">
        <v>328</v>
      </c>
      <c r="P3" s="10" t="str">
        <f t="shared" si="2"/>
        <v>MPI-M-MPI-ESM-LR_Scaled_Cluster10_repl1.sqlite</v>
      </c>
      <c r="Q3" s="11">
        <f t="shared" si="3"/>
        <v>2</v>
      </c>
      <c r="R3" s="16" t="str">
        <f t="shared" si="4"/>
        <v>climate_db_MPI-M-MPI-ESM-LR_historical_v4.sqlite</v>
      </c>
      <c r="S3" s="16" t="str">
        <f t="shared" si="5"/>
        <v>log/MPI-M-MPI-ESM-LR_Scaled_Cluster10_repl1.txt</v>
      </c>
      <c r="T3" s="16" t="str">
        <f t="shared" si="6"/>
        <v>init/env_file_CLUSTER10_REPL1_MPI-M-MPI-ESM-LR_historical.csv</v>
      </c>
      <c r="U3" s="16" t="str">
        <f t="shared" si="7"/>
        <v>init/env_grid_CLUSTER10_REPL1.asc</v>
      </c>
      <c r="V3" s="16" t="str">
        <f t="shared" si="8"/>
        <v>init/env_grid_CLUSTER10_REPL1.asc</v>
      </c>
      <c r="W3" s="16" t="str">
        <f t="shared" si="9"/>
        <v>trees_CLUSTER10.csv</v>
      </c>
      <c r="X3" s="16" t="str">
        <f t="shared" si="10"/>
        <v>saplings_CLUSTER10.csv</v>
      </c>
      <c r="Y3" s="16">
        <f t="shared" si="11"/>
        <v>350</v>
      </c>
      <c r="Z3" s="16" t="str">
        <f t="shared" si="12"/>
        <v>abe/no_mgmt.csv</v>
      </c>
      <c r="AA3" s="16" t="str">
        <f t="shared" si="13"/>
        <v>gis/WindModifier_cl10.asc</v>
      </c>
      <c r="AB3" s="16">
        <f t="shared" ref="AB3:AB46" si="17">IF(C3="Scaled_", I3,  0.000685)</f>
        <v>2.5405658160224899E-6</v>
      </c>
      <c r="AC3" s="16" t="str">
        <f t="shared" si="14"/>
        <v>MPI-M-MPI-ESM-LR_historical_point37861</v>
      </c>
      <c r="AD3" s="16" t="str">
        <f t="shared" si="15"/>
        <v>wind_Events/Scaled_cl10_repl1.txt</v>
      </c>
      <c r="AE3" s="16" t="str">
        <f t="shared" si="16"/>
        <v>MPI-M-MPI-ESM-LR_Scaled_Cluster10_repl1</v>
      </c>
      <c r="AF3" s="16" t="s">
        <v>324</v>
      </c>
      <c r="AG3" s="16" t="s">
        <v>325</v>
      </c>
    </row>
    <row r="4" spans="1:33" ht="13.8">
      <c r="A4" s="7" t="str">
        <f t="shared" si="0"/>
        <v>NCC-NorESM1-M_Scaled_Cluster10_repl1</v>
      </c>
      <c r="B4" s="8" t="s">
        <v>16</v>
      </c>
      <c r="C4" s="8" t="s">
        <v>54</v>
      </c>
      <c r="D4" s="9" t="s">
        <v>17</v>
      </c>
      <c r="E4" s="9" t="str">
        <f t="shared" si="1"/>
        <v>historical</v>
      </c>
      <c r="F4" s="8">
        <v>350</v>
      </c>
      <c r="G4" s="8" t="s">
        <v>60</v>
      </c>
      <c r="H4" s="8">
        <v>3</v>
      </c>
      <c r="I4" s="19">
        <v>2.5405658160224899E-6</v>
      </c>
      <c r="J4" s="8">
        <v>10</v>
      </c>
      <c r="K4" s="8" t="s">
        <v>172</v>
      </c>
      <c r="L4" s="8">
        <v>1</v>
      </c>
      <c r="M4" s="8">
        <v>1</v>
      </c>
      <c r="N4" s="10" t="s">
        <v>21</v>
      </c>
      <c r="O4" s="17" t="s">
        <v>328</v>
      </c>
      <c r="P4" s="10" t="str">
        <f t="shared" si="2"/>
        <v>NCC-NorESM1-M_Scaled_Cluster10_repl1.sqlite</v>
      </c>
      <c r="Q4" s="11">
        <f t="shared" si="3"/>
        <v>3</v>
      </c>
      <c r="R4" s="16" t="str">
        <f t="shared" si="4"/>
        <v>climate_db_NCC-NorESM1-M_historical_v4.sqlite</v>
      </c>
      <c r="S4" s="16" t="str">
        <f t="shared" si="5"/>
        <v>log/NCC-NorESM1-M_Scaled_Cluster10_repl1.txt</v>
      </c>
      <c r="T4" s="16" t="str">
        <f t="shared" si="6"/>
        <v>init/env_file_CLUSTER10_REPL1_NCC-NorESM1-M_historical.csv</v>
      </c>
      <c r="U4" s="16" t="str">
        <f t="shared" si="7"/>
        <v>init/env_grid_CLUSTER10_REPL1.asc</v>
      </c>
      <c r="V4" s="16" t="str">
        <f t="shared" si="8"/>
        <v>init/env_grid_CLUSTER10_REPL1.asc</v>
      </c>
      <c r="W4" s="16" t="str">
        <f t="shared" si="9"/>
        <v>trees_CLUSTER10.csv</v>
      </c>
      <c r="X4" s="16" t="str">
        <f t="shared" si="10"/>
        <v>saplings_CLUSTER10.csv</v>
      </c>
      <c r="Y4" s="16">
        <f t="shared" si="11"/>
        <v>350</v>
      </c>
      <c r="Z4" s="16" t="str">
        <f t="shared" si="12"/>
        <v>abe/no_mgmt.csv</v>
      </c>
      <c r="AA4" s="16" t="str">
        <f t="shared" si="13"/>
        <v>gis/WindModifier_cl10.asc</v>
      </c>
      <c r="AB4" s="16">
        <f t="shared" si="17"/>
        <v>2.5405658160224899E-6</v>
      </c>
      <c r="AC4" s="16" t="str">
        <f t="shared" si="14"/>
        <v>NCC-NorESM1-M_historical_point37861</v>
      </c>
      <c r="AD4" s="16" t="str">
        <f t="shared" si="15"/>
        <v>wind_Events/Scaled_cl10_repl1.txt</v>
      </c>
      <c r="AE4" s="16" t="str">
        <f t="shared" si="16"/>
        <v>NCC-NorESM1-M_Scaled_Cluster10_repl1</v>
      </c>
      <c r="AF4" s="16" t="s">
        <v>326</v>
      </c>
      <c r="AG4" s="16" t="s">
        <v>327</v>
      </c>
    </row>
    <row r="5" spans="1:33" ht="13.8" hidden="1">
      <c r="A5" s="7" t="str">
        <f t="shared" si="0"/>
        <v>ICHEC-EC-EARTH_Scaled_Cluster10_repl2</v>
      </c>
      <c r="B5" s="8" t="s">
        <v>16</v>
      </c>
      <c r="C5" s="8" t="s">
        <v>54</v>
      </c>
      <c r="D5" s="9" t="s">
        <v>17</v>
      </c>
      <c r="E5" s="9" t="str">
        <f t="shared" si="1"/>
        <v>historical</v>
      </c>
      <c r="F5" s="8">
        <v>350</v>
      </c>
      <c r="G5" s="8" t="s">
        <v>18</v>
      </c>
      <c r="H5" s="8">
        <v>1</v>
      </c>
      <c r="I5" s="19">
        <v>2.5405658160224899E-6</v>
      </c>
      <c r="J5" s="8">
        <v>10</v>
      </c>
      <c r="K5" s="8" t="s">
        <v>164</v>
      </c>
      <c r="L5" s="8">
        <v>2</v>
      </c>
      <c r="M5" s="8">
        <v>1</v>
      </c>
      <c r="N5" s="10" t="s">
        <v>21</v>
      </c>
      <c r="O5" s="17" t="s">
        <v>328</v>
      </c>
      <c r="P5" s="10" t="str">
        <f t="shared" si="2"/>
        <v>ICHEC-EC-EARTH_Scaled_Cluster10_repl2.sqlite</v>
      </c>
      <c r="Q5" s="11">
        <f t="shared" si="3"/>
        <v>4</v>
      </c>
      <c r="R5" s="16" t="str">
        <f t="shared" si="4"/>
        <v>climate_db_ICHEC-EC-EARTH_historical_v4.sqlite</v>
      </c>
      <c r="S5" s="16" t="str">
        <f t="shared" si="5"/>
        <v>log/ICHEC-EC-EARTH_Scaled_Cluster10_repl2.txt</v>
      </c>
      <c r="T5" s="16" t="str">
        <f t="shared" si="6"/>
        <v>init/env_file_CLUSTER10_REPL2_ICHEC-EC-EARTH_historical.csv</v>
      </c>
      <c r="U5" s="16" t="str">
        <f t="shared" si="7"/>
        <v>init/env_grid_CLUSTER10_REPL2.asc</v>
      </c>
      <c r="V5" s="16" t="str">
        <f t="shared" si="8"/>
        <v>init/env_grid_CLUSTER10_REPL2.asc</v>
      </c>
      <c r="W5" s="16" t="str">
        <f t="shared" si="9"/>
        <v>trees_CLUSTER10.csv</v>
      </c>
      <c r="X5" s="16" t="str">
        <f t="shared" si="10"/>
        <v>saplings_CLUSTER10.csv</v>
      </c>
      <c r="Y5" s="16">
        <f t="shared" si="11"/>
        <v>350</v>
      </c>
      <c r="Z5" s="16" t="str">
        <f t="shared" si="12"/>
        <v>abe/no_mgmt.csv</v>
      </c>
      <c r="AA5" s="16" t="str">
        <f t="shared" si="13"/>
        <v>gis/WindModifier_cl10.asc</v>
      </c>
      <c r="AB5" s="16">
        <f t="shared" si="17"/>
        <v>2.5405658160224899E-6</v>
      </c>
      <c r="AC5" s="16" t="str">
        <f t="shared" si="14"/>
        <v>ICHEC-EC-EARTH_historical_point38183</v>
      </c>
      <c r="AD5" s="16" t="str">
        <f t="shared" si="15"/>
        <v>wind_Events/Scaled_cl10_repl2.txt</v>
      </c>
      <c r="AE5" s="16" t="str">
        <f t="shared" si="16"/>
        <v>ICHEC-EC-EARTH_Scaled_Cluster10_repl2</v>
      </c>
      <c r="AF5" s="16" t="s">
        <v>256</v>
      </c>
      <c r="AG5" s="16" t="s">
        <v>257</v>
      </c>
    </row>
    <row r="6" spans="1:33" ht="13.8" hidden="1">
      <c r="A6" s="7" t="str">
        <f t="shared" si="0"/>
        <v>MPI-M-MPI-ESM-LR_Scaled_Cluster10_repl2</v>
      </c>
      <c r="B6" s="8" t="s">
        <v>16</v>
      </c>
      <c r="C6" s="8" t="s">
        <v>54</v>
      </c>
      <c r="D6" s="9" t="s">
        <v>17</v>
      </c>
      <c r="E6" s="9" t="str">
        <f t="shared" si="1"/>
        <v>historical</v>
      </c>
      <c r="F6" s="8">
        <v>350</v>
      </c>
      <c r="G6" s="8" t="s">
        <v>63</v>
      </c>
      <c r="H6" s="8">
        <v>2</v>
      </c>
      <c r="I6" s="19">
        <v>2.5405658160224899E-6</v>
      </c>
      <c r="J6" s="8">
        <v>10</v>
      </c>
      <c r="K6" s="8" t="s">
        <v>172</v>
      </c>
      <c r="L6" s="8">
        <v>2</v>
      </c>
      <c r="M6" s="8">
        <v>1</v>
      </c>
      <c r="N6" s="10" t="s">
        <v>21</v>
      </c>
      <c r="O6" s="17" t="s">
        <v>328</v>
      </c>
      <c r="P6" s="10" t="str">
        <f t="shared" si="2"/>
        <v>MPI-M-MPI-ESM-LR_Scaled_Cluster10_repl2.sqlite</v>
      </c>
      <c r="Q6" s="11">
        <f t="shared" si="3"/>
        <v>5</v>
      </c>
      <c r="R6" s="16" t="str">
        <f t="shared" si="4"/>
        <v>climate_db_MPI-M-MPI-ESM-LR_historical_v4.sqlite</v>
      </c>
      <c r="S6" s="16" t="str">
        <f t="shared" si="5"/>
        <v>log/MPI-M-MPI-ESM-LR_Scaled_Cluster10_repl2.txt</v>
      </c>
      <c r="T6" s="16" t="str">
        <f t="shared" si="6"/>
        <v>init/env_file_CLUSTER10_REPL2_MPI-M-MPI-ESM-LR_historical.csv</v>
      </c>
      <c r="U6" s="16" t="str">
        <f t="shared" si="7"/>
        <v>init/env_grid_CLUSTER10_REPL2.asc</v>
      </c>
      <c r="V6" s="16" t="str">
        <f t="shared" si="8"/>
        <v>init/env_grid_CLUSTER10_REPL2.asc</v>
      </c>
      <c r="W6" s="16" t="str">
        <f t="shared" si="9"/>
        <v>trees_CLUSTER10.csv</v>
      </c>
      <c r="X6" s="16" t="str">
        <f t="shared" si="10"/>
        <v>saplings_CLUSTER10.csv</v>
      </c>
      <c r="Y6" s="16">
        <f t="shared" si="11"/>
        <v>350</v>
      </c>
      <c r="Z6" s="16" t="str">
        <f t="shared" si="12"/>
        <v>abe/no_mgmt.csv</v>
      </c>
      <c r="AA6" s="16" t="str">
        <f t="shared" si="13"/>
        <v>gis/WindModifier_cl10.asc</v>
      </c>
      <c r="AB6" s="16">
        <f t="shared" si="17"/>
        <v>2.5405658160224899E-6</v>
      </c>
      <c r="AC6" s="16" t="str">
        <f t="shared" si="14"/>
        <v>MPI-M-MPI-ESM-LR_historical_point37861</v>
      </c>
      <c r="AD6" s="16" t="str">
        <f t="shared" si="15"/>
        <v>wind_Events/Scaled_cl10_repl2.txt</v>
      </c>
      <c r="AE6" s="16" t="str">
        <f t="shared" si="16"/>
        <v>MPI-M-MPI-ESM-LR_Scaled_Cluster10_repl2</v>
      </c>
      <c r="AF6" s="16" t="s">
        <v>258</v>
      </c>
      <c r="AG6" s="16" t="s">
        <v>259</v>
      </c>
    </row>
    <row r="7" spans="1:33" ht="13.8" hidden="1">
      <c r="A7" s="7" t="str">
        <f t="shared" si="0"/>
        <v>NCC-NorESM1-M_Scaled_Cluster10_repl2</v>
      </c>
      <c r="B7" s="8" t="s">
        <v>16</v>
      </c>
      <c r="C7" s="8" t="s">
        <v>54</v>
      </c>
      <c r="D7" s="9" t="s">
        <v>17</v>
      </c>
      <c r="E7" s="9" t="str">
        <f t="shared" si="1"/>
        <v>historical</v>
      </c>
      <c r="F7" s="8">
        <v>350</v>
      </c>
      <c r="G7" s="8" t="s">
        <v>60</v>
      </c>
      <c r="H7" s="8">
        <v>3</v>
      </c>
      <c r="I7" s="19">
        <v>2.5405658160224899E-6</v>
      </c>
      <c r="J7" s="8">
        <v>10</v>
      </c>
      <c r="K7" s="8" t="s">
        <v>172</v>
      </c>
      <c r="L7" s="8">
        <v>2</v>
      </c>
      <c r="M7" s="8">
        <v>1</v>
      </c>
      <c r="N7" s="10" t="s">
        <v>21</v>
      </c>
      <c r="O7" s="17" t="s">
        <v>328</v>
      </c>
      <c r="P7" s="10" t="str">
        <f t="shared" si="2"/>
        <v>NCC-NorESM1-M_Scaled_Cluster10_repl2.sqlite</v>
      </c>
      <c r="Q7" s="11">
        <f t="shared" si="3"/>
        <v>6</v>
      </c>
      <c r="R7" s="16" t="str">
        <f t="shared" si="4"/>
        <v>climate_db_NCC-NorESM1-M_historical_v4.sqlite</v>
      </c>
      <c r="S7" s="16" t="str">
        <f t="shared" si="5"/>
        <v>log/NCC-NorESM1-M_Scaled_Cluster10_repl2.txt</v>
      </c>
      <c r="T7" s="16" t="str">
        <f t="shared" si="6"/>
        <v>init/env_file_CLUSTER10_REPL2_NCC-NorESM1-M_historical.csv</v>
      </c>
      <c r="U7" s="16" t="str">
        <f t="shared" si="7"/>
        <v>init/env_grid_CLUSTER10_REPL2.asc</v>
      </c>
      <c r="V7" s="16" t="str">
        <f t="shared" si="8"/>
        <v>init/env_grid_CLUSTER10_REPL2.asc</v>
      </c>
      <c r="W7" s="16" t="str">
        <f t="shared" si="9"/>
        <v>trees_CLUSTER10.csv</v>
      </c>
      <c r="X7" s="16" t="str">
        <f t="shared" si="10"/>
        <v>saplings_CLUSTER10.csv</v>
      </c>
      <c r="Y7" s="16">
        <f t="shared" si="11"/>
        <v>350</v>
      </c>
      <c r="Z7" s="16" t="str">
        <f t="shared" si="12"/>
        <v>abe/no_mgmt.csv</v>
      </c>
      <c r="AA7" s="16" t="str">
        <f t="shared" si="13"/>
        <v>gis/WindModifier_cl10.asc</v>
      </c>
      <c r="AB7" s="16">
        <f t="shared" si="17"/>
        <v>2.5405658160224899E-6</v>
      </c>
      <c r="AC7" s="16" t="str">
        <f t="shared" si="14"/>
        <v>NCC-NorESM1-M_historical_point37861</v>
      </c>
      <c r="AD7" s="16" t="str">
        <f t="shared" si="15"/>
        <v>wind_Events/Scaled_cl10_repl2.txt</v>
      </c>
      <c r="AE7" s="16" t="str">
        <f t="shared" si="16"/>
        <v>NCC-NorESM1-M_Scaled_Cluster10_repl2</v>
      </c>
      <c r="AF7" s="16" t="s">
        <v>260</v>
      </c>
      <c r="AG7" s="16" t="s">
        <v>261</v>
      </c>
    </row>
    <row r="8" spans="1:33" ht="13.8" hidden="1">
      <c r="A8" s="7" t="str">
        <f t="shared" si="0"/>
        <v>ICHEC-EC-EARTH_Scaled_Cluster10_repl3</v>
      </c>
      <c r="B8" s="8" t="s">
        <v>16</v>
      </c>
      <c r="C8" s="8" t="s">
        <v>54</v>
      </c>
      <c r="D8" s="9" t="s">
        <v>17</v>
      </c>
      <c r="E8" s="9" t="str">
        <f t="shared" si="1"/>
        <v>historical</v>
      </c>
      <c r="F8" s="8">
        <v>350</v>
      </c>
      <c r="G8" s="8" t="s">
        <v>18</v>
      </c>
      <c r="H8" s="8">
        <v>1</v>
      </c>
      <c r="I8" s="19">
        <v>2.5405658160224899E-6</v>
      </c>
      <c r="J8" s="8">
        <v>10</v>
      </c>
      <c r="K8" s="8" t="s">
        <v>164</v>
      </c>
      <c r="L8" s="8">
        <v>3</v>
      </c>
      <c r="M8" s="8">
        <v>1</v>
      </c>
      <c r="N8" s="10" t="s">
        <v>21</v>
      </c>
      <c r="O8" s="17" t="s">
        <v>328</v>
      </c>
      <c r="P8" s="10" t="str">
        <f t="shared" si="2"/>
        <v>ICHEC-EC-EARTH_Scaled_Cluster10_repl3.sqlite</v>
      </c>
      <c r="Q8" s="11">
        <f t="shared" si="3"/>
        <v>7</v>
      </c>
      <c r="R8" s="16" t="str">
        <f t="shared" si="4"/>
        <v>climate_db_ICHEC-EC-EARTH_historical_v4.sqlite</v>
      </c>
      <c r="S8" s="16" t="str">
        <f t="shared" si="5"/>
        <v>log/ICHEC-EC-EARTH_Scaled_Cluster10_repl3.txt</v>
      </c>
      <c r="T8" s="16" t="str">
        <f t="shared" si="6"/>
        <v>init/env_file_CLUSTER10_REPL3_ICHEC-EC-EARTH_historical.csv</v>
      </c>
      <c r="U8" s="16" t="str">
        <f t="shared" si="7"/>
        <v>init/env_grid_CLUSTER10_REPL3.asc</v>
      </c>
      <c r="V8" s="16" t="str">
        <f t="shared" si="8"/>
        <v>init/env_grid_CLUSTER10_REPL3.asc</v>
      </c>
      <c r="W8" s="16" t="str">
        <f t="shared" si="9"/>
        <v>trees_CLUSTER10.csv</v>
      </c>
      <c r="X8" s="16" t="str">
        <f t="shared" si="10"/>
        <v>saplings_CLUSTER10.csv</v>
      </c>
      <c r="Y8" s="16">
        <f t="shared" si="11"/>
        <v>350</v>
      </c>
      <c r="Z8" s="16" t="str">
        <f t="shared" si="12"/>
        <v>abe/no_mgmt.csv</v>
      </c>
      <c r="AA8" s="16" t="str">
        <f t="shared" si="13"/>
        <v>gis/WindModifier_cl10.asc</v>
      </c>
      <c r="AB8" s="16">
        <f t="shared" si="17"/>
        <v>2.5405658160224899E-6</v>
      </c>
      <c r="AC8" s="16" t="str">
        <f t="shared" si="14"/>
        <v>ICHEC-EC-EARTH_historical_point38183</v>
      </c>
      <c r="AD8" s="16" t="str">
        <f t="shared" si="15"/>
        <v>wind_Events/Scaled_cl10_repl3.txt</v>
      </c>
      <c r="AE8" s="16" t="str">
        <f t="shared" si="16"/>
        <v>ICHEC-EC-EARTH_Scaled_Cluster10_repl3</v>
      </c>
      <c r="AF8" s="16" t="s">
        <v>262</v>
      </c>
      <c r="AG8" s="16" t="s">
        <v>263</v>
      </c>
    </row>
    <row r="9" spans="1:33" ht="13.8" hidden="1">
      <c r="A9" s="7" t="str">
        <f t="shared" si="0"/>
        <v>MPI-M-MPI-ESM-LR_Scaled_Cluster10_repl3</v>
      </c>
      <c r="B9" s="8" t="s">
        <v>16</v>
      </c>
      <c r="C9" s="8" t="s">
        <v>54</v>
      </c>
      <c r="D9" s="9" t="s">
        <v>17</v>
      </c>
      <c r="E9" s="9" t="str">
        <f t="shared" si="1"/>
        <v>historical</v>
      </c>
      <c r="F9" s="8">
        <v>350</v>
      </c>
      <c r="G9" s="8" t="s">
        <v>63</v>
      </c>
      <c r="H9" s="8">
        <v>2</v>
      </c>
      <c r="I9" s="19">
        <v>2.5405658160224899E-6</v>
      </c>
      <c r="J9" s="8">
        <v>10</v>
      </c>
      <c r="K9" s="8" t="s">
        <v>172</v>
      </c>
      <c r="L9" s="8">
        <v>3</v>
      </c>
      <c r="M9" s="8">
        <v>1</v>
      </c>
      <c r="N9" s="10" t="s">
        <v>21</v>
      </c>
      <c r="O9" s="17" t="s">
        <v>328</v>
      </c>
      <c r="P9" s="10" t="str">
        <f t="shared" si="2"/>
        <v>MPI-M-MPI-ESM-LR_Scaled_Cluster10_repl3.sqlite</v>
      </c>
      <c r="Q9" s="11">
        <f t="shared" si="3"/>
        <v>8</v>
      </c>
      <c r="R9" s="16" t="str">
        <f t="shared" si="4"/>
        <v>climate_db_MPI-M-MPI-ESM-LR_historical_v4.sqlite</v>
      </c>
      <c r="S9" s="16" t="str">
        <f t="shared" si="5"/>
        <v>log/MPI-M-MPI-ESM-LR_Scaled_Cluster10_repl3.txt</v>
      </c>
      <c r="T9" s="16" t="str">
        <f t="shared" si="6"/>
        <v>init/env_file_CLUSTER10_REPL3_MPI-M-MPI-ESM-LR_historical.csv</v>
      </c>
      <c r="U9" s="16" t="str">
        <f t="shared" si="7"/>
        <v>init/env_grid_CLUSTER10_REPL3.asc</v>
      </c>
      <c r="V9" s="16" t="str">
        <f t="shared" si="8"/>
        <v>init/env_grid_CLUSTER10_REPL3.asc</v>
      </c>
      <c r="W9" s="16" t="str">
        <f t="shared" si="9"/>
        <v>trees_CLUSTER10.csv</v>
      </c>
      <c r="X9" s="16" t="str">
        <f t="shared" si="10"/>
        <v>saplings_CLUSTER10.csv</v>
      </c>
      <c r="Y9" s="16">
        <f t="shared" si="11"/>
        <v>350</v>
      </c>
      <c r="Z9" s="16" t="str">
        <f t="shared" si="12"/>
        <v>abe/no_mgmt.csv</v>
      </c>
      <c r="AA9" s="16" t="str">
        <f t="shared" si="13"/>
        <v>gis/WindModifier_cl10.asc</v>
      </c>
      <c r="AB9" s="16">
        <f t="shared" si="17"/>
        <v>2.5405658160224899E-6</v>
      </c>
      <c r="AC9" s="16" t="str">
        <f t="shared" si="14"/>
        <v>MPI-M-MPI-ESM-LR_historical_point37861</v>
      </c>
      <c r="AD9" s="16" t="str">
        <f t="shared" si="15"/>
        <v>wind_Events/Scaled_cl10_repl3.txt</v>
      </c>
      <c r="AE9" s="16" t="str">
        <f t="shared" si="16"/>
        <v>MPI-M-MPI-ESM-LR_Scaled_Cluster10_repl3</v>
      </c>
      <c r="AF9" s="16" t="s">
        <v>264</v>
      </c>
      <c r="AG9" s="16" t="s">
        <v>265</v>
      </c>
    </row>
    <row r="10" spans="1:33" ht="13.8" hidden="1">
      <c r="A10" s="7" t="str">
        <f t="shared" si="0"/>
        <v>NCC-NorESM1-M_Scaled_Cluster10_repl3</v>
      </c>
      <c r="B10" s="8" t="s">
        <v>16</v>
      </c>
      <c r="C10" s="8" t="s">
        <v>54</v>
      </c>
      <c r="D10" s="9" t="s">
        <v>17</v>
      </c>
      <c r="E10" s="9" t="str">
        <f t="shared" si="1"/>
        <v>historical</v>
      </c>
      <c r="F10" s="8">
        <v>350</v>
      </c>
      <c r="G10" s="8" t="s">
        <v>60</v>
      </c>
      <c r="H10" s="8">
        <v>3</v>
      </c>
      <c r="I10" s="19">
        <v>2.5405658160224899E-6</v>
      </c>
      <c r="J10" s="8">
        <v>10</v>
      </c>
      <c r="K10" s="8" t="s">
        <v>172</v>
      </c>
      <c r="L10" s="8">
        <v>3</v>
      </c>
      <c r="M10" s="8">
        <v>1</v>
      </c>
      <c r="N10" s="10" t="s">
        <v>21</v>
      </c>
      <c r="O10" s="17" t="s">
        <v>328</v>
      </c>
      <c r="P10" s="10" t="str">
        <f t="shared" si="2"/>
        <v>NCC-NorESM1-M_Scaled_Cluster10_repl3.sqlite</v>
      </c>
      <c r="Q10" s="11">
        <f t="shared" si="3"/>
        <v>9</v>
      </c>
      <c r="R10" s="16" t="str">
        <f t="shared" si="4"/>
        <v>climate_db_NCC-NorESM1-M_historical_v4.sqlite</v>
      </c>
      <c r="S10" s="16" t="str">
        <f t="shared" si="5"/>
        <v>log/NCC-NorESM1-M_Scaled_Cluster10_repl3.txt</v>
      </c>
      <c r="T10" s="16" t="str">
        <f t="shared" si="6"/>
        <v>init/env_file_CLUSTER10_REPL3_NCC-NorESM1-M_historical.csv</v>
      </c>
      <c r="U10" s="16" t="str">
        <f t="shared" si="7"/>
        <v>init/env_grid_CLUSTER10_REPL3.asc</v>
      </c>
      <c r="V10" s="16" t="str">
        <f t="shared" si="8"/>
        <v>init/env_grid_CLUSTER10_REPL3.asc</v>
      </c>
      <c r="W10" s="16" t="str">
        <f t="shared" si="9"/>
        <v>trees_CLUSTER10.csv</v>
      </c>
      <c r="X10" s="16" t="str">
        <f t="shared" si="10"/>
        <v>saplings_CLUSTER10.csv</v>
      </c>
      <c r="Y10" s="16">
        <f t="shared" si="11"/>
        <v>350</v>
      </c>
      <c r="Z10" s="16" t="str">
        <f t="shared" si="12"/>
        <v>abe/no_mgmt.csv</v>
      </c>
      <c r="AA10" s="16" t="str">
        <f t="shared" si="13"/>
        <v>gis/WindModifier_cl10.asc</v>
      </c>
      <c r="AB10" s="16">
        <f t="shared" si="17"/>
        <v>2.5405658160224899E-6</v>
      </c>
      <c r="AC10" s="16" t="str">
        <f t="shared" si="14"/>
        <v>NCC-NorESM1-M_historical_point37861</v>
      </c>
      <c r="AD10" s="16" t="str">
        <f t="shared" si="15"/>
        <v>wind_Events/Scaled_cl10_repl3.txt</v>
      </c>
      <c r="AE10" s="16" t="str">
        <f t="shared" si="16"/>
        <v>NCC-NorESM1-M_Scaled_Cluster10_repl3</v>
      </c>
      <c r="AF10" s="16" t="s">
        <v>266</v>
      </c>
      <c r="AG10" s="16" t="s">
        <v>267</v>
      </c>
    </row>
    <row r="11" spans="1:33" ht="13.8" hidden="1">
      <c r="A11" s="7" t="str">
        <f t="shared" si="0"/>
        <v>ICHEC-EC-EARTH_Scaled_Cluster10_repl4</v>
      </c>
      <c r="B11" s="8" t="s">
        <v>16</v>
      </c>
      <c r="C11" s="8" t="s">
        <v>54</v>
      </c>
      <c r="D11" s="9" t="s">
        <v>17</v>
      </c>
      <c r="E11" s="9" t="str">
        <f t="shared" si="1"/>
        <v>historical</v>
      </c>
      <c r="F11" s="8">
        <v>350</v>
      </c>
      <c r="G11" s="8" t="s">
        <v>18</v>
      </c>
      <c r="H11" s="8">
        <v>1</v>
      </c>
      <c r="I11" s="19">
        <v>2.5405658160224899E-6</v>
      </c>
      <c r="J11" s="8">
        <v>10</v>
      </c>
      <c r="K11" s="8" t="s">
        <v>164</v>
      </c>
      <c r="L11" s="8">
        <v>4</v>
      </c>
      <c r="M11" s="8">
        <v>1</v>
      </c>
      <c r="N11" s="10" t="s">
        <v>21</v>
      </c>
      <c r="O11" s="17" t="s">
        <v>328</v>
      </c>
      <c r="P11" s="10" t="str">
        <f t="shared" si="2"/>
        <v>ICHEC-EC-EARTH_Scaled_Cluster10_repl4.sqlite</v>
      </c>
      <c r="Q11" s="11">
        <f t="shared" si="3"/>
        <v>10</v>
      </c>
      <c r="R11" s="16" t="str">
        <f t="shared" si="4"/>
        <v>climate_db_ICHEC-EC-EARTH_historical_v4.sqlite</v>
      </c>
      <c r="S11" s="16" t="str">
        <f t="shared" si="5"/>
        <v>log/ICHEC-EC-EARTH_Scaled_Cluster10_repl4.txt</v>
      </c>
      <c r="T11" s="16" t="str">
        <f t="shared" si="6"/>
        <v>init/env_file_CLUSTER10_REPL4_ICHEC-EC-EARTH_historical.csv</v>
      </c>
      <c r="U11" s="16" t="str">
        <f t="shared" si="7"/>
        <v>init/env_grid_CLUSTER10_REPL4.asc</v>
      </c>
      <c r="V11" s="16" t="str">
        <f t="shared" si="8"/>
        <v>init/env_grid_CLUSTER10_REPL4.asc</v>
      </c>
      <c r="W11" s="16" t="str">
        <f t="shared" si="9"/>
        <v>trees_CLUSTER10.csv</v>
      </c>
      <c r="X11" s="16" t="str">
        <f t="shared" si="10"/>
        <v>saplings_CLUSTER10.csv</v>
      </c>
      <c r="Y11" s="16">
        <f t="shared" si="11"/>
        <v>350</v>
      </c>
      <c r="Z11" s="16" t="str">
        <f t="shared" si="12"/>
        <v>abe/no_mgmt.csv</v>
      </c>
      <c r="AA11" s="16" t="str">
        <f t="shared" si="13"/>
        <v>gis/WindModifier_cl10.asc</v>
      </c>
      <c r="AB11" s="16">
        <f t="shared" si="17"/>
        <v>2.5405658160224899E-6</v>
      </c>
      <c r="AC11" s="16" t="str">
        <f t="shared" si="14"/>
        <v>ICHEC-EC-EARTH_historical_point38183</v>
      </c>
      <c r="AD11" s="16" t="str">
        <f t="shared" si="15"/>
        <v>wind_Events/Scaled_cl10_repl4.txt</v>
      </c>
      <c r="AE11" s="16" t="str">
        <f t="shared" si="16"/>
        <v>ICHEC-EC-EARTH_Scaled_Cluster10_repl4</v>
      </c>
      <c r="AF11" s="16" t="s">
        <v>268</v>
      </c>
      <c r="AG11" s="16" t="s">
        <v>269</v>
      </c>
    </row>
    <row r="12" spans="1:33" ht="13.8" hidden="1">
      <c r="A12" s="7" t="str">
        <f t="shared" si="0"/>
        <v>MPI-M-MPI-ESM-LR_Scaled_Cluster10_repl4</v>
      </c>
      <c r="B12" s="8" t="s">
        <v>16</v>
      </c>
      <c r="C12" s="8" t="s">
        <v>54</v>
      </c>
      <c r="D12" s="9" t="s">
        <v>17</v>
      </c>
      <c r="E12" s="9" t="str">
        <f t="shared" si="1"/>
        <v>historical</v>
      </c>
      <c r="F12" s="8">
        <v>350</v>
      </c>
      <c r="G12" s="8" t="s">
        <v>63</v>
      </c>
      <c r="H12" s="8">
        <v>2</v>
      </c>
      <c r="I12" s="19">
        <v>2.5405658160224899E-6</v>
      </c>
      <c r="J12" s="8">
        <v>10</v>
      </c>
      <c r="K12" s="8" t="s">
        <v>172</v>
      </c>
      <c r="L12" s="8">
        <v>4</v>
      </c>
      <c r="M12" s="8">
        <v>1</v>
      </c>
      <c r="N12" s="10" t="s">
        <v>21</v>
      </c>
      <c r="O12" s="17" t="s">
        <v>328</v>
      </c>
      <c r="P12" s="10" t="str">
        <f t="shared" si="2"/>
        <v>MPI-M-MPI-ESM-LR_Scaled_Cluster10_repl4.sqlite</v>
      </c>
      <c r="Q12" s="11">
        <f t="shared" si="3"/>
        <v>11</v>
      </c>
      <c r="R12" s="16" t="str">
        <f t="shared" si="4"/>
        <v>climate_db_MPI-M-MPI-ESM-LR_historical_v4.sqlite</v>
      </c>
      <c r="S12" s="16" t="str">
        <f t="shared" si="5"/>
        <v>log/MPI-M-MPI-ESM-LR_Scaled_Cluster10_repl4.txt</v>
      </c>
      <c r="T12" s="16" t="str">
        <f t="shared" si="6"/>
        <v>init/env_file_CLUSTER10_REPL4_MPI-M-MPI-ESM-LR_historical.csv</v>
      </c>
      <c r="U12" s="16" t="str">
        <f t="shared" si="7"/>
        <v>init/env_grid_CLUSTER10_REPL4.asc</v>
      </c>
      <c r="V12" s="16" t="str">
        <f t="shared" si="8"/>
        <v>init/env_grid_CLUSTER10_REPL4.asc</v>
      </c>
      <c r="W12" s="16" t="str">
        <f t="shared" si="9"/>
        <v>trees_CLUSTER10.csv</v>
      </c>
      <c r="X12" s="16" t="str">
        <f t="shared" si="10"/>
        <v>saplings_CLUSTER10.csv</v>
      </c>
      <c r="Y12" s="16">
        <f t="shared" si="11"/>
        <v>350</v>
      </c>
      <c r="Z12" s="16" t="str">
        <f t="shared" si="12"/>
        <v>abe/no_mgmt.csv</v>
      </c>
      <c r="AA12" s="16" t="str">
        <f t="shared" si="13"/>
        <v>gis/WindModifier_cl10.asc</v>
      </c>
      <c r="AB12" s="16">
        <f t="shared" si="17"/>
        <v>2.5405658160224899E-6</v>
      </c>
      <c r="AC12" s="16" t="str">
        <f t="shared" si="14"/>
        <v>MPI-M-MPI-ESM-LR_historical_point37861</v>
      </c>
      <c r="AD12" s="16" t="str">
        <f t="shared" si="15"/>
        <v>wind_Events/Scaled_cl10_repl4.txt</v>
      </c>
      <c r="AE12" s="16" t="str">
        <f t="shared" si="16"/>
        <v>MPI-M-MPI-ESM-LR_Scaled_Cluster10_repl4</v>
      </c>
      <c r="AF12" s="16" t="s">
        <v>270</v>
      </c>
      <c r="AG12" s="16" t="s">
        <v>271</v>
      </c>
    </row>
    <row r="13" spans="1:33" ht="13.8" hidden="1">
      <c r="A13" s="7" t="str">
        <f t="shared" si="0"/>
        <v>NCC-NorESM1-M_Scaled_Cluster10_repl4</v>
      </c>
      <c r="B13" s="8" t="s">
        <v>16</v>
      </c>
      <c r="C13" s="8" t="s">
        <v>54</v>
      </c>
      <c r="D13" s="9" t="s">
        <v>17</v>
      </c>
      <c r="E13" s="9" t="str">
        <f t="shared" si="1"/>
        <v>historical</v>
      </c>
      <c r="F13" s="8">
        <v>350</v>
      </c>
      <c r="G13" s="8" t="s">
        <v>60</v>
      </c>
      <c r="H13" s="8">
        <v>3</v>
      </c>
      <c r="I13" s="19">
        <v>2.5405658160224899E-6</v>
      </c>
      <c r="J13" s="8">
        <v>10</v>
      </c>
      <c r="K13" s="8" t="s">
        <v>172</v>
      </c>
      <c r="L13" s="8">
        <v>4</v>
      </c>
      <c r="M13" s="8">
        <v>1</v>
      </c>
      <c r="N13" s="10" t="s">
        <v>21</v>
      </c>
      <c r="O13" s="17" t="s">
        <v>328</v>
      </c>
      <c r="P13" s="10" t="str">
        <f t="shared" si="2"/>
        <v>NCC-NorESM1-M_Scaled_Cluster10_repl4.sqlite</v>
      </c>
      <c r="Q13" s="11">
        <f t="shared" si="3"/>
        <v>12</v>
      </c>
      <c r="R13" s="16" t="str">
        <f t="shared" si="4"/>
        <v>climate_db_NCC-NorESM1-M_historical_v4.sqlite</v>
      </c>
      <c r="S13" s="16" t="str">
        <f t="shared" si="5"/>
        <v>log/NCC-NorESM1-M_Scaled_Cluster10_repl4.txt</v>
      </c>
      <c r="T13" s="16" t="str">
        <f t="shared" si="6"/>
        <v>init/env_file_CLUSTER10_REPL4_NCC-NorESM1-M_historical.csv</v>
      </c>
      <c r="U13" s="16" t="str">
        <f t="shared" si="7"/>
        <v>init/env_grid_CLUSTER10_REPL4.asc</v>
      </c>
      <c r="V13" s="16" t="str">
        <f t="shared" si="8"/>
        <v>init/env_grid_CLUSTER10_REPL4.asc</v>
      </c>
      <c r="W13" s="16" t="str">
        <f t="shared" si="9"/>
        <v>trees_CLUSTER10.csv</v>
      </c>
      <c r="X13" s="16" t="str">
        <f t="shared" si="10"/>
        <v>saplings_CLUSTER10.csv</v>
      </c>
      <c r="Y13" s="16">
        <f t="shared" si="11"/>
        <v>350</v>
      </c>
      <c r="Z13" s="16" t="str">
        <f t="shared" si="12"/>
        <v>abe/no_mgmt.csv</v>
      </c>
      <c r="AA13" s="16" t="str">
        <f t="shared" si="13"/>
        <v>gis/WindModifier_cl10.asc</v>
      </c>
      <c r="AB13" s="16">
        <f t="shared" si="17"/>
        <v>2.5405658160224899E-6</v>
      </c>
      <c r="AC13" s="16" t="str">
        <f t="shared" si="14"/>
        <v>NCC-NorESM1-M_historical_point37861</v>
      </c>
      <c r="AD13" s="16" t="str">
        <f t="shared" si="15"/>
        <v>wind_Events/Scaled_cl10_repl4.txt</v>
      </c>
      <c r="AE13" s="16" t="str">
        <f t="shared" si="16"/>
        <v>NCC-NorESM1-M_Scaled_Cluster10_repl4</v>
      </c>
      <c r="AF13" s="16" t="s">
        <v>272</v>
      </c>
      <c r="AG13" s="16" t="s">
        <v>273</v>
      </c>
    </row>
    <row r="14" spans="1:33" ht="13.8" hidden="1">
      <c r="A14" s="7" t="str">
        <f t="shared" si="0"/>
        <v>ICHEC-EC-EARTH_Scaled_Cluster10_repl5</v>
      </c>
      <c r="B14" s="8" t="s">
        <v>16</v>
      </c>
      <c r="C14" s="8" t="s">
        <v>54</v>
      </c>
      <c r="D14" s="9" t="s">
        <v>17</v>
      </c>
      <c r="E14" s="9" t="str">
        <f t="shared" si="1"/>
        <v>historical</v>
      </c>
      <c r="F14" s="8">
        <v>350</v>
      </c>
      <c r="G14" s="8" t="s">
        <v>18</v>
      </c>
      <c r="H14" s="8">
        <v>1</v>
      </c>
      <c r="I14" s="19">
        <v>2.5405658160224899E-6</v>
      </c>
      <c r="J14" s="8">
        <v>10</v>
      </c>
      <c r="K14" s="8" t="s">
        <v>164</v>
      </c>
      <c r="L14" s="8">
        <v>5</v>
      </c>
      <c r="M14" s="8">
        <v>1</v>
      </c>
      <c r="N14" s="10" t="s">
        <v>21</v>
      </c>
      <c r="O14" s="17" t="s">
        <v>328</v>
      </c>
      <c r="P14" s="10" t="str">
        <f t="shared" si="2"/>
        <v>ICHEC-EC-EARTH_Scaled_Cluster10_repl5.sqlite</v>
      </c>
      <c r="Q14" s="11">
        <f t="shared" si="3"/>
        <v>13</v>
      </c>
      <c r="R14" s="16" t="str">
        <f t="shared" si="4"/>
        <v>climate_db_ICHEC-EC-EARTH_historical_v4.sqlite</v>
      </c>
      <c r="S14" s="16" t="str">
        <f t="shared" si="5"/>
        <v>log/ICHEC-EC-EARTH_Scaled_Cluster10_repl5.txt</v>
      </c>
      <c r="T14" s="16" t="str">
        <f t="shared" si="6"/>
        <v>init/env_file_CLUSTER10_REPL5_ICHEC-EC-EARTH_historical.csv</v>
      </c>
      <c r="U14" s="16" t="str">
        <f t="shared" si="7"/>
        <v>init/env_grid_CLUSTER10_REPL5.asc</v>
      </c>
      <c r="V14" s="16" t="str">
        <f t="shared" si="8"/>
        <v>init/env_grid_CLUSTER10_REPL5.asc</v>
      </c>
      <c r="W14" s="16" t="str">
        <f t="shared" si="9"/>
        <v>trees_CLUSTER10.csv</v>
      </c>
      <c r="X14" s="16" t="str">
        <f t="shared" si="10"/>
        <v>saplings_CLUSTER10.csv</v>
      </c>
      <c r="Y14" s="16">
        <f t="shared" si="11"/>
        <v>350</v>
      </c>
      <c r="Z14" s="16" t="str">
        <f t="shared" si="12"/>
        <v>abe/no_mgmt.csv</v>
      </c>
      <c r="AA14" s="16" t="str">
        <f t="shared" si="13"/>
        <v>gis/WindModifier_cl10.asc</v>
      </c>
      <c r="AB14" s="16">
        <f t="shared" si="17"/>
        <v>2.5405658160224899E-6</v>
      </c>
      <c r="AC14" s="16" t="str">
        <f t="shared" si="14"/>
        <v>ICHEC-EC-EARTH_historical_point38183</v>
      </c>
      <c r="AD14" s="16" t="str">
        <f t="shared" si="15"/>
        <v>wind_Events/Scaled_cl10_repl5.txt</v>
      </c>
      <c r="AE14" s="16" t="str">
        <f t="shared" si="16"/>
        <v>ICHEC-EC-EARTH_Scaled_Cluster10_repl5</v>
      </c>
      <c r="AF14" s="16" t="s">
        <v>274</v>
      </c>
      <c r="AG14" s="16" t="s">
        <v>275</v>
      </c>
    </row>
    <row r="15" spans="1:33" ht="13.8" hidden="1">
      <c r="A15" s="7" t="str">
        <f t="shared" si="0"/>
        <v>MPI-M-MPI-ESM-LR_Scaled_Cluster10_repl5</v>
      </c>
      <c r="B15" s="8" t="s">
        <v>16</v>
      </c>
      <c r="C15" s="8" t="s">
        <v>54</v>
      </c>
      <c r="D15" s="9" t="s">
        <v>17</v>
      </c>
      <c r="E15" s="9" t="str">
        <f t="shared" si="1"/>
        <v>historical</v>
      </c>
      <c r="F15" s="8">
        <v>350</v>
      </c>
      <c r="G15" s="8" t="s">
        <v>63</v>
      </c>
      <c r="H15" s="8">
        <v>2</v>
      </c>
      <c r="I15" s="19">
        <v>2.5405658160224899E-6</v>
      </c>
      <c r="J15" s="8">
        <v>10</v>
      </c>
      <c r="K15" s="8" t="s">
        <v>172</v>
      </c>
      <c r="L15" s="8">
        <v>5</v>
      </c>
      <c r="M15" s="8">
        <v>1</v>
      </c>
      <c r="N15" s="10" t="s">
        <v>21</v>
      </c>
      <c r="O15" s="17" t="s">
        <v>328</v>
      </c>
      <c r="P15" s="10" t="str">
        <f t="shared" si="2"/>
        <v>MPI-M-MPI-ESM-LR_Scaled_Cluster10_repl5.sqlite</v>
      </c>
      <c r="Q15" s="11">
        <f t="shared" si="3"/>
        <v>14</v>
      </c>
      <c r="R15" s="16" t="str">
        <f t="shared" si="4"/>
        <v>climate_db_MPI-M-MPI-ESM-LR_historical_v4.sqlite</v>
      </c>
      <c r="S15" s="16" t="str">
        <f t="shared" si="5"/>
        <v>log/MPI-M-MPI-ESM-LR_Scaled_Cluster10_repl5.txt</v>
      </c>
      <c r="T15" s="16" t="str">
        <f t="shared" si="6"/>
        <v>init/env_file_CLUSTER10_REPL5_MPI-M-MPI-ESM-LR_historical.csv</v>
      </c>
      <c r="U15" s="16" t="str">
        <f t="shared" si="7"/>
        <v>init/env_grid_CLUSTER10_REPL5.asc</v>
      </c>
      <c r="V15" s="16" t="str">
        <f t="shared" si="8"/>
        <v>init/env_grid_CLUSTER10_REPL5.asc</v>
      </c>
      <c r="W15" s="16" t="str">
        <f t="shared" si="9"/>
        <v>trees_CLUSTER10.csv</v>
      </c>
      <c r="X15" s="16" t="str">
        <f t="shared" si="10"/>
        <v>saplings_CLUSTER10.csv</v>
      </c>
      <c r="Y15" s="16">
        <f t="shared" si="11"/>
        <v>350</v>
      </c>
      <c r="Z15" s="16" t="str">
        <f t="shared" si="12"/>
        <v>abe/no_mgmt.csv</v>
      </c>
      <c r="AA15" s="16" t="str">
        <f t="shared" si="13"/>
        <v>gis/WindModifier_cl10.asc</v>
      </c>
      <c r="AB15" s="16">
        <f t="shared" si="17"/>
        <v>2.5405658160224899E-6</v>
      </c>
      <c r="AC15" s="16" t="str">
        <f t="shared" si="14"/>
        <v>MPI-M-MPI-ESM-LR_historical_point37861</v>
      </c>
      <c r="AD15" s="16" t="str">
        <f t="shared" si="15"/>
        <v>wind_Events/Scaled_cl10_repl5.txt</v>
      </c>
      <c r="AE15" s="16" t="str">
        <f t="shared" si="16"/>
        <v>MPI-M-MPI-ESM-LR_Scaled_Cluster10_repl5</v>
      </c>
      <c r="AF15" s="16" t="s">
        <v>276</v>
      </c>
      <c r="AG15" s="16" t="s">
        <v>277</v>
      </c>
    </row>
    <row r="16" spans="1:33" ht="13.8" hidden="1">
      <c r="A16" s="7" t="str">
        <f t="shared" si="0"/>
        <v>NCC-NorESM1-M_Scaled_Cluster10_repl5</v>
      </c>
      <c r="B16" s="8" t="s">
        <v>16</v>
      </c>
      <c r="C16" s="8" t="s">
        <v>54</v>
      </c>
      <c r="D16" s="9" t="s">
        <v>17</v>
      </c>
      <c r="E16" s="9" t="str">
        <f t="shared" si="1"/>
        <v>historical</v>
      </c>
      <c r="F16" s="8">
        <v>350</v>
      </c>
      <c r="G16" s="8" t="s">
        <v>60</v>
      </c>
      <c r="H16" s="8">
        <v>3</v>
      </c>
      <c r="I16" s="19">
        <v>2.5405658160224899E-6</v>
      </c>
      <c r="J16" s="8">
        <v>10</v>
      </c>
      <c r="K16" s="8" t="s">
        <v>172</v>
      </c>
      <c r="L16" s="8">
        <v>5</v>
      </c>
      <c r="M16" s="8">
        <v>1</v>
      </c>
      <c r="N16" s="10" t="s">
        <v>21</v>
      </c>
      <c r="O16" s="17" t="s">
        <v>328</v>
      </c>
      <c r="P16" s="10" t="str">
        <f t="shared" si="2"/>
        <v>NCC-NorESM1-M_Scaled_Cluster10_repl5.sqlite</v>
      </c>
      <c r="Q16" s="11">
        <f t="shared" si="3"/>
        <v>15</v>
      </c>
      <c r="R16" s="16" t="str">
        <f t="shared" si="4"/>
        <v>climate_db_NCC-NorESM1-M_historical_v4.sqlite</v>
      </c>
      <c r="S16" s="16" t="str">
        <f t="shared" si="5"/>
        <v>log/NCC-NorESM1-M_Scaled_Cluster10_repl5.txt</v>
      </c>
      <c r="T16" s="16" t="str">
        <f t="shared" si="6"/>
        <v>init/env_file_CLUSTER10_REPL5_NCC-NorESM1-M_historical.csv</v>
      </c>
      <c r="U16" s="16" t="str">
        <f t="shared" si="7"/>
        <v>init/env_grid_CLUSTER10_REPL5.asc</v>
      </c>
      <c r="V16" s="16" t="str">
        <f t="shared" si="8"/>
        <v>init/env_grid_CLUSTER10_REPL5.asc</v>
      </c>
      <c r="W16" s="16" t="str">
        <f t="shared" si="9"/>
        <v>trees_CLUSTER10.csv</v>
      </c>
      <c r="X16" s="16" t="str">
        <f t="shared" si="10"/>
        <v>saplings_CLUSTER10.csv</v>
      </c>
      <c r="Y16" s="16">
        <f t="shared" si="11"/>
        <v>350</v>
      </c>
      <c r="Z16" s="16" t="str">
        <f t="shared" si="12"/>
        <v>abe/no_mgmt.csv</v>
      </c>
      <c r="AA16" s="16" t="str">
        <f t="shared" si="13"/>
        <v>gis/WindModifier_cl10.asc</v>
      </c>
      <c r="AB16" s="16">
        <f t="shared" si="17"/>
        <v>2.5405658160224899E-6</v>
      </c>
      <c r="AC16" s="16" t="str">
        <f t="shared" si="14"/>
        <v>NCC-NorESM1-M_historical_point37861</v>
      </c>
      <c r="AD16" s="16" t="str">
        <f t="shared" si="15"/>
        <v>wind_Events/Scaled_cl10_repl5.txt</v>
      </c>
      <c r="AE16" s="16" t="str">
        <f t="shared" si="16"/>
        <v>NCC-NorESM1-M_Scaled_Cluster10_repl5</v>
      </c>
      <c r="AF16" s="16" t="s">
        <v>278</v>
      </c>
      <c r="AG16" s="16" t="s">
        <v>279</v>
      </c>
    </row>
    <row r="17" spans="1:33" ht="13.8">
      <c r="A17" s="7" t="str">
        <f xml:space="preserve"> G17 &amp; "_" &amp; C17 &amp;"2_" &amp;"Cluster" &amp; J17 &amp; "_repl" &amp; L17</f>
        <v>ICHEC-EC-EARTH_Scaled_2_Cluster10_repl1</v>
      </c>
      <c r="B17" s="8" t="s">
        <v>16</v>
      </c>
      <c r="C17" s="8" t="s">
        <v>54</v>
      </c>
      <c r="D17" s="9" t="s">
        <v>17</v>
      </c>
      <c r="E17" s="9" t="str">
        <f t="shared" si="1"/>
        <v>historical</v>
      </c>
      <c r="F17" s="8">
        <v>350</v>
      </c>
      <c r="G17" s="8" t="s">
        <v>18</v>
      </c>
      <c r="H17" s="8">
        <v>1</v>
      </c>
      <c r="I17" s="19">
        <v>1</v>
      </c>
      <c r="J17" s="8">
        <v>10</v>
      </c>
      <c r="K17" s="8" t="s">
        <v>164</v>
      </c>
      <c r="L17" s="8">
        <v>1</v>
      </c>
      <c r="M17" s="8">
        <v>1</v>
      </c>
      <c r="N17" s="10" t="s">
        <v>21</v>
      </c>
      <c r="O17" s="17" t="s">
        <v>328</v>
      </c>
      <c r="P17" s="10" t="str">
        <f t="shared" si="2"/>
        <v>ICHEC-EC-EARTH_Scaled_2_Cluster10_repl1.sqlite</v>
      </c>
      <c r="Q17" s="11">
        <f t="shared" si="3"/>
        <v>1</v>
      </c>
      <c r="R17" s="16" t="str">
        <f t="shared" si="4"/>
        <v>climate_db_ICHEC-EC-EARTH_historical_v4.sqlite</v>
      </c>
      <c r="S17" s="16" t="str">
        <f t="shared" si="5"/>
        <v>log/ICHEC-EC-EARTH_Scaled_2_Cluster10_repl1.txt</v>
      </c>
      <c r="T17" s="16" t="str">
        <f t="shared" si="6"/>
        <v>init/env_file_CLUSTER10_REPL1_ICHEC-EC-EARTH_historical.csv</v>
      </c>
      <c r="U17" s="16" t="str">
        <f t="shared" si="7"/>
        <v>init/env_grid_CLUSTER10_REPL1.asc</v>
      </c>
      <c r="V17" s="16" t="str">
        <f t="shared" si="8"/>
        <v>init/env_grid_CLUSTER10_REPL1.asc</v>
      </c>
      <c r="W17" s="16" t="str">
        <f t="shared" si="9"/>
        <v>trees_CLUSTER10.csv</v>
      </c>
      <c r="X17" s="16" t="str">
        <f t="shared" si="10"/>
        <v>saplings_CLUSTER10.csv</v>
      </c>
      <c r="Y17" s="16">
        <f t="shared" si="11"/>
        <v>350</v>
      </c>
      <c r="Z17" s="16" t="str">
        <f t="shared" si="12"/>
        <v>abe/no_mgmt.csv</v>
      </c>
      <c r="AA17" s="16" t="str">
        <f t="shared" si="13"/>
        <v>gis/WindModifier_cl10.asc</v>
      </c>
      <c r="AB17" s="16">
        <f t="shared" si="17"/>
        <v>1</v>
      </c>
      <c r="AC17" s="16" t="str">
        <f t="shared" ref="AC17:AC31" si="18">G17 &amp; "_" &amp; E17 &amp; "_point" &amp; K17</f>
        <v>ICHEC-EC-EARTH_historical_point38183</v>
      </c>
      <c r="AD17" s="16" t="str">
        <f t="shared" ref="AD17:AD31" si="19">"wind_Events/" &amp; C17 &amp; "cl" &amp; J17 &amp; "_repl" &amp; L17 &amp; ".txt"</f>
        <v>wind_Events/Scaled_cl10_repl1.txt</v>
      </c>
      <c r="AE17" s="16" t="str">
        <f t="shared" ref="AE17:AE31" si="20">A17</f>
        <v>ICHEC-EC-EARTH_Scaled_2_Cluster10_repl1</v>
      </c>
      <c r="AF17" s="16" t="s">
        <v>322</v>
      </c>
      <c r="AG17" s="16" t="s">
        <v>323</v>
      </c>
    </row>
    <row r="18" spans="1:33" ht="13.8">
      <c r="A18" s="7" t="str">
        <f t="shared" ref="A18:A31" si="21" xml:space="preserve"> G18 &amp; "_" &amp; C18 &amp;"2_" &amp;"Cluster" &amp; J18 &amp; "_repl" &amp; L18</f>
        <v>MPI-M-MPI-ESM-LR_Scaled_2_Cluster10_repl1</v>
      </c>
      <c r="B18" s="8" t="s">
        <v>16</v>
      </c>
      <c r="C18" s="8" t="s">
        <v>54</v>
      </c>
      <c r="D18" s="9" t="s">
        <v>17</v>
      </c>
      <c r="E18" s="9" t="str">
        <f t="shared" si="1"/>
        <v>historical</v>
      </c>
      <c r="F18" s="8">
        <v>350</v>
      </c>
      <c r="G18" s="8" t="s">
        <v>63</v>
      </c>
      <c r="H18" s="8">
        <v>2</v>
      </c>
      <c r="I18" s="19">
        <v>1</v>
      </c>
      <c r="J18" s="8">
        <v>10</v>
      </c>
      <c r="K18" s="8" t="s">
        <v>172</v>
      </c>
      <c r="L18" s="8">
        <v>1</v>
      </c>
      <c r="M18" s="8">
        <v>1</v>
      </c>
      <c r="N18" s="10" t="s">
        <v>21</v>
      </c>
      <c r="O18" s="17" t="s">
        <v>328</v>
      </c>
      <c r="P18" s="10" t="str">
        <f t="shared" si="2"/>
        <v>MPI-M-MPI-ESM-LR_Scaled_2_Cluster10_repl1.sqlite</v>
      </c>
      <c r="Q18" s="11">
        <f t="shared" si="3"/>
        <v>2</v>
      </c>
      <c r="R18" s="16" t="str">
        <f t="shared" si="4"/>
        <v>climate_db_MPI-M-MPI-ESM-LR_historical_v4.sqlite</v>
      </c>
      <c r="S18" s="16" t="str">
        <f t="shared" si="5"/>
        <v>log/MPI-M-MPI-ESM-LR_Scaled_2_Cluster10_repl1.txt</v>
      </c>
      <c r="T18" s="16" t="str">
        <f t="shared" si="6"/>
        <v>init/env_file_CLUSTER10_REPL1_MPI-M-MPI-ESM-LR_historical.csv</v>
      </c>
      <c r="U18" s="16" t="str">
        <f t="shared" si="7"/>
        <v>init/env_grid_CLUSTER10_REPL1.asc</v>
      </c>
      <c r="V18" s="16" t="str">
        <f t="shared" si="8"/>
        <v>init/env_grid_CLUSTER10_REPL1.asc</v>
      </c>
      <c r="W18" s="16" t="str">
        <f t="shared" si="9"/>
        <v>trees_CLUSTER10.csv</v>
      </c>
      <c r="X18" s="16" t="str">
        <f t="shared" si="10"/>
        <v>saplings_CLUSTER10.csv</v>
      </c>
      <c r="Y18" s="16">
        <f t="shared" si="11"/>
        <v>350</v>
      </c>
      <c r="Z18" s="16" t="str">
        <f t="shared" si="12"/>
        <v>abe/no_mgmt.csv</v>
      </c>
      <c r="AA18" s="16" t="str">
        <f t="shared" si="13"/>
        <v>gis/WindModifier_cl10.asc</v>
      </c>
      <c r="AB18" s="16">
        <f t="shared" si="17"/>
        <v>1</v>
      </c>
      <c r="AC18" s="16" t="str">
        <f t="shared" si="18"/>
        <v>MPI-M-MPI-ESM-LR_historical_point37861</v>
      </c>
      <c r="AD18" s="16" t="str">
        <f t="shared" si="19"/>
        <v>wind_Events/Scaled_cl10_repl1.txt</v>
      </c>
      <c r="AE18" s="16" t="str">
        <f t="shared" si="20"/>
        <v>MPI-M-MPI-ESM-LR_Scaled_2_Cluster10_repl1</v>
      </c>
      <c r="AF18" s="16" t="s">
        <v>324</v>
      </c>
      <c r="AG18" s="16" t="s">
        <v>325</v>
      </c>
    </row>
    <row r="19" spans="1:33" ht="13.8">
      <c r="A19" s="7" t="str">
        <f t="shared" si="21"/>
        <v>NCC-NorESM1-M_Scaled_2_Cluster10_repl1</v>
      </c>
      <c r="B19" s="8" t="s">
        <v>16</v>
      </c>
      <c r="C19" s="8" t="s">
        <v>54</v>
      </c>
      <c r="D19" s="9" t="s">
        <v>17</v>
      </c>
      <c r="E19" s="9" t="str">
        <f t="shared" si="1"/>
        <v>historical</v>
      </c>
      <c r="F19" s="8">
        <v>350</v>
      </c>
      <c r="G19" s="8" t="s">
        <v>60</v>
      </c>
      <c r="H19" s="8">
        <v>3</v>
      </c>
      <c r="I19" s="19">
        <v>1</v>
      </c>
      <c r="J19" s="8">
        <v>10</v>
      </c>
      <c r="K19" s="8" t="s">
        <v>172</v>
      </c>
      <c r="L19" s="8">
        <v>1</v>
      </c>
      <c r="M19" s="8">
        <v>1</v>
      </c>
      <c r="N19" s="10" t="s">
        <v>21</v>
      </c>
      <c r="O19" s="17" t="s">
        <v>328</v>
      </c>
      <c r="P19" s="10" t="str">
        <f t="shared" si="2"/>
        <v>NCC-NorESM1-M_Scaled_2_Cluster10_repl1.sqlite</v>
      </c>
      <c r="Q19" s="11">
        <f t="shared" si="3"/>
        <v>3</v>
      </c>
      <c r="R19" s="16" t="str">
        <f t="shared" si="4"/>
        <v>climate_db_NCC-NorESM1-M_historical_v4.sqlite</v>
      </c>
      <c r="S19" s="16" t="str">
        <f t="shared" si="5"/>
        <v>log/NCC-NorESM1-M_Scaled_2_Cluster10_repl1.txt</v>
      </c>
      <c r="T19" s="16" t="str">
        <f t="shared" si="6"/>
        <v>init/env_file_CLUSTER10_REPL1_NCC-NorESM1-M_historical.csv</v>
      </c>
      <c r="U19" s="16" t="str">
        <f t="shared" si="7"/>
        <v>init/env_grid_CLUSTER10_REPL1.asc</v>
      </c>
      <c r="V19" s="16" t="str">
        <f t="shared" si="8"/>
        <v>init/env_grid_CLUSTER10_REPL1.asc</v>
      </c>
      <c r="W19" s="16" t="str">
        <f t="shared" si="9"/>
        <v>trees_CLUSTER10.csv</v>
      </c>
      <c r="X19" s="16" t="str">
        <f t="shared" si="10"/>
        <v>saplings_CLUSTER10.csv</v>
      </c>
      <c r="Y19" s="16">
        <f t="shared" si="11"/>
        <v>350</v>
      </c>
      <c r="Z19" s="16" t="str">
        <f t="shared" si="12"/>
        <v>abe/no_mgmt.csv</v>
      </c>
      <c r="AA19" s="16" t="str">
        <f t="shared" si="13"/>
        <v>gis/WindModifier_cl10.asc</v>
      </c>
      <c r="AB19" s="16">
        <f t="shared" si="17"/>
        <v>1</v>
      </c>
      <c r="AC19" s="16" t="str">
        <f t="shared" si="18"/>
        <v>NCC-NorESM1-M_historical_point37861</v>
      </c>
      <c r="AD19" s="16" t="str">
        <f t="shared" si="19"/>
        <v>wind_Events/Scaled_cl10_repl1.txt</v>
      </c>
      <c r="AE19" s="16" t="str">
        <f t="shared" si="20"/>
        <v>NCC-NorESM1-M_Scaled_2_Cluster10_repl1</v>
      </c>
      <c r="AF19" s="16" t="s">
        <v>326</v>
      </c>
      <c r="AG19" s="16" t="s">
        <v>327</v>
      </c>
    </row>
    <row r="20" spans="1:33" ht="13.8" hidden="1">
      <c r="A20" s="7" t="str">
        <f t="shared" si="21"/>
        <v>ICHEC-EC-EARTH_Scaled_2_Cluster10_repl2</v>
      </c>
      <c r="B20" s="8" t="s">
        <v>16</v>
      </c>
      <c r="C20" s="8" t="s">
        <v>54</v>
      </c>
      <c r="D20" s="9" t="s">
        <v>17</v>
      </c>
      <c r="E20" s="9" t="str">
        <f t="shared" si="1"/>
        <v>historical</v>
      </c>
      <c r="F20" s="8">
        <v>350</v>
      </c>
      <c r="G20" s="8" t="s">
        <v>18</v>
      </c>
      <c r="H20" s="8">
        <v>1</v>
      </c>
      <c r="I20" s="19">
        <v>1</v>
      </c>
      <c r="J20" s="8">
        <v>10</v>
      </c>
      <c r="K20" s="8" t="s">
        <v>164</v>
      </c>
      <c r="L20" s="8">
        <v>2</v>
      </c>
      <c r="M20" s="8">
        <v>1</v>
      </c>
      <c r="N20" s="10" t="s">
        <v>21</v>
      </c>
      <c r="O20" s="17" t="s">
        <v>328</v>
      </c>
      <c r="P20" s="10" t="str">
        <f t="shared" si="2"/>
        <v>ICHEC-EC-EARTH_Scaled_2_Cluster10_repl2.sqlite</v>
      </c>
      <c r="Q20" s="11">
        <f t="shared" si="3"/>
        <v>4</v>
      </c>
      <c r="R20" s="16" t="str">
        <f t="shared" si="4"/>
        <v>climate_db_ICHEC-EC-EARTH_historical_v4.sqlite</v>
      </c>
      <c r="S20" s="16" t="str">
        <f t="shared" si="5"/>
        <v>log/ICHEC-EC-EARTH_Scaled_2_Cluster10_repl2.txt</v>
      </c>
      <c r="T20" s="16" t="str">
        <f t="shared" si="6"/>
        <v>init/env_file_CLUSTER10_REPL2_ICHEC-EC-EARTH_historical.csv</v>
      </c>
      <c r="U20" s="16" t="str">
        <f t="shared" si="7"/>
        <v>init/env_grid_CLUSTER10_REPL2.asc</v>
      </c>
      <c r="V20" s="16" t="str">
        <f t="shared" si="8"/>
        <v>init/env_grid_CLUSTER10_REPL2.asc</v>
      </c>
      <c r="W20" s="16" t="str">
        <f t="shared" si="9"/>
        <v>trees_CLUSTER10.csv</v>
      </c>
      <c r="X20" s="16" t="str">
        <f t="shared" si="10"/>
        <v>saplings_CLUSTER10.csv</v>
      </c>
      <c r="Y20" s="16">
        <f t="shared" si="11"/>
        <v>350</v>
      </c>
      <c r="Z20" s="16" t="str">
        <f t="shared" si="12"/>
        <v>abe/no_mgmt.csv</v>
      </c>
      <c r="AA20" s="16" t="str">
        <f t="shared" si="13"/>
        <v>gis/WindModifier_cl10.asc</v>
      </c>
      <c r="AB20" s="16">
        <f t="shared" si="17"/>
        <v>1</v>
      </c>
      <c r="AC20" s="16" t="str">
        <f t="shared" si="18"/>
        <v>ICHEC-EC-EARTH_historical_point38183</v>
      </c>
      <c r="AD20" s="16" t="str">
        <f t="shared" si="19"/>
        <v>wind_Events/Scaled_cl10_repl2.txt</v>
      </c>
      <c r="AE20" s="16" t="str">
        <f t="shared" si="20"/>
        <v>ICHEC-EC-EARTH_Scaled_2_Cluster10_repl2</v>
      </c>
      <c r="AF20" s="16" t="s">
        <v>256</v>
      </c>
      <c r="AG20" s="16" t="s">
        <v>257</v>
      </c>
    </row>
    <row r="21" spans="1:33" ht="13.8" hidden="1">
      <c r="A21" s="7" t="str">
        <f t="shared" si="21"/>
        <v>MPI-M-MPI-ESM-LR_Scaled_2_Cluster10_repl2</v>
      </c>
      <c r="B21" s="8" t="s">
        <v>16</v>
      </c>
      <c r="C21" s="8" t="s">
        <v>54</v>
      </c>
      <c r="D21" s="9" t="s">
        <v>17</v>
      </c>
      <c r="E21" s="9" t="str">
        <f t="shared" si="1"/>
        <v>historical</v>
      </c>
      <c r="F21" s="8">
        <v>350</v>
      </c>
      <c r="G21" s="8" t="s">
        <v>63</v>
      </c>
      <c r="H21" s="8">
        <v>2</v>
      </c>
      <c r="I21" s="19">
        <v>1</v>
      </c>
      <c r="J21" s="8">
        <v>10</v>
      </c>
      <c r="K21" s="8" t="s">
        <v>172</v>
      </c>
      <c r="L21" s="8">
        <v>2</v>
      </c>
      <c r="M21" s="8">
        <v>1</v>
      </c>
      <c r="N21" s="10" t="s">
        <v>21</v>
      </c>
      <c r="O21" s="17" t="s">
        <v>328</v>
      </c>
      <c r="P21" s="10" t="str">
        <f t="shared" si="2"/>
        <v>MPI-M-MPI-ESM-LR_Scaled_2_Cluster10_repl2.sqlite</v>
      </c>
      <c r="Q21" s="11">
        <f t="shared" si="3"/>
        <v>5</v>
      </c>
      <c r="R21" s="16" t="str">
        <f t="shared" si="4"/>
        <v>climate_db_MPI-M-MPI-ESM-LR_historical_v4.sqlite</v>
      </c>
      <c r="S21" s="16" t="str">
        <f t="shared" si="5"/>
        <v>log/MPI-M-MPI-ESM-LR_Scaled_2_Cluster10_repl2.txt</v>
      </c>
      <c r="T21" s="16" t="str">
        <f t="shared" si="6"/>
        <v>init/env_file_CLUSTER10_REPL2_MPI-M-MPI-ESM-LR_historical.csv</v>
      </c>
      <c r="U21" s="16" t="str">
        <f t="shared" si="7"/>
        <v>init/env_grid_CLUSTER10_REPL2.asc</v>
      </c>
      <c r="V21" s="16" t="str">
        <f t="shared" si="8"/>
        <v>init/env_grid_CLUSTER10_REPL2.asc</v>
      </c>
      <c r="W21" s="16" t="str">
        <f t="shared" si="9"/>
        <v>trees_CLUSTER10.csv</v>
      </c>
      <c r="X21" s="16" t="str">
        <f t="shared" si="10"/>
        <v>saplings_CLUSTER10.csv</v>
      </c>
      <c r="Y21" s="16">
        <f t="shared" si="11"/>
        <v>350</v>
      </c>
      <c r="Z21" s="16" t="str">
        <f t="shared" si="12"/>
        <v>abe/no_mgmt.csv</v>
      </c>
      <c r="AA21" s="16" t="str">
        <f t="shared" si="13"/>
        <v>gis/WindModifier_cl10.asc</v>
      </c>
      <c r="AB21" s="16">
        <f t="shared" si="17"/>
        <v>1</v>
      </c>
      <c r="AC21" s="16" t="str">
        <f t="shared" si="18"/>
        <v>MPI-M-MPI-ESM-LR_historical_point37861</v>
      </c>
      <c r="AD21" s="16" t="str">
        <f t="shared" si="19"/>
        <v>wind_Events/Scaled_cl10_repl2.txt</v>
      </c>
      <c r="AE21" s="16" t="str">
        <f t="shared" si="20"/>
        <v>MPI-M-MPI-ESM-LR_Scaled_2_Cluster10_repl2</v>
      </c>
      <c r="AF21" s="16" t="s">
        <v>258</v>
      </c>
      <c r="AG21" s="16" t="s">
        <v>259</v>
      </c>
    </row>
    <row r="22" spans="1:33" ht="13.8" hidden="1">
      <c r="A22" s="7" t="str">
        <f t="shared" si="21"/>
        <v>NCC-NorESM1-M_Scaled_2_Cluster10_repl2</v>
      </c>
      <c r="B22" s="8" t="s">
        <v>16</v>
      </c>
      <c r="C22" s="8" t="s">
        <v>54</v>
      </c>
      <c r="D22" s="9" t="s">
        <v>17</v>
      </c>
      <c r="E22" s="9" t="str">
        <f t="shared" si="1"/>
        <v>historical</v>
      </c>
      <c r="F22" s="8">
        <v>350</v>
      </c>
      <c r="G22" s="8" t="s">
        <v>60</v>
      </c>
      <c r="H22" s="8">
        <v>3</v>
      </c>
      <c r="I22" s="19">
        <v>1</v>
      </c>
      <c r="J22" s="8">
        <v>10</v>
      </c>
      <c r="K22" s="8" t="s">
        <v>172</v>
      </c>
      <c r="L22" s="8">
        <v>2</v>
      </c>
      <c r="M22" s="8">
        <v>1</v>
      </c>
      <c r="N22" s="10" t="s">
        <v>21</v>
      </c>
      <c r="O22" s="17" t="s">
        <v>328</v>
      </c>
      <c r="P22" s="10" t="str">
        <f t="shared" si="2"/>
        <v>NCC-NorESM1-M_Scaled_2_Cluster10_repl2.sqlite</v>
      </c>
      <c r="Q22" s="11">
        <f t="shared" si="3"/>
        <v>6</v>
      </c>
      <c r="R22" s="16" t="str">
        <f t="shared" si="4"/>
        <v>climate_db_NCC-NorESM1-M_historical_v4.sqlite</v>
      </c>
      <c r="S22" s="16" t="str">
        <f t="shared" si="5"/>
        <v>log/NCC-NorESM1-M_Scaled_2_Cluster10_repl2.txt</v>
      </c>
      <c r="T22" s="16" t="str">
        <f t="shared" si="6"/>
        <v>init/env_file_CLUSTER10_REPL2_NCC-NorESM1-M_historical.csv</v>
      </c>
      <c r="U22" s="16" t="str">
        <f t="shared" si="7"/>
        <v>init/env_grid_CLUSTER10_REPL2.asc</v>
      </c>
      <c r="V22" s="16" t="str">
        <f t="shared" si="8"/>
        <v>init/env_grid_CLUSTER10_REPL2.asc</v>
      </c>
      <c r="W22" s="16" t="str">
        <f t="shared" si="9"/>
        <v>trees_CLUSTER10.csv</v>
      </c>
      <c r="X22" s="16" t="str">
        <f t="shared" si="10"/>
        <v>saplings_CLUSTER10.csv</v>
      </c>
      <c r="Y22" s="16">
        <f t="shared" si="11"/>
        <v>350</v>
      </c>
      <c r="Z22" s="16" t="str">
        <f t="shared" si="12"/>
        <v>abe/no_mgmt.csv</v>
      </c>
      <c r="AA22" s="16" t="str">
        <f t="shared" si="13"/>
        <v>gis/WindModifier_cl10.asc</v>
      </c>
      <c r="AB22" s="16">
        <f t="shared" si="17"/>
        <v>1</v>
      </c>
      <c r="AC22" s="16" t="str">
        <f t="shared" si="18"/>
        <v>NCC-NorESM1-M_historical_point37861</v>
      </c>
      <c r="AD22" s="16" t="str">
        <f t="shared" si="19"/>
        <v>wind_Events/Scaled_cl10_repl2.txt</v>
      </c>
      <c r="AE22" s="16" t="str">
        <f t="shared" si="20"/>
        <v>NCC-NorESM1-M_Scaled_2_Cluster10_repl2</v>
      </c>
      <c r="AF22" s="16" t="s">
        <v>260</v>
      </c>
      <c r="AG22" s="16" t="s">
        <v>261</v>
      </c>
    </row>
    <row r="23" spans="1:33" ht="13.8" hidden="1">
      <c r="A23" s="7" t="str">
        <f t="shared" si="21"/>
        <v>ICHEC-EC-EARTH_Scaled_2_Cluster10_repl3</v>
      </c>
      <c r="B23" s="8" t="s">
        <v>16</v>
      </c>
      <c r="C23" s="8" t="s">
        <v>54</v>
      </c>
      <c r="D23" s="9" t="s">
        <v>17</v>
      </c>
      <c r="E23" s="9" t="str">
        <f t="shared" si="1"/>
        <v>historical</v>
      </c>
      <c r="F23" s="8">
        <v>350</v>
      </c>
      <c r="G23" s="8" t="s">
        <v>18</v>
      </c>
      <c r="H23" s="8">
        <v>1</v>
      </c>
      <c r="I23" s="19">
        <v>1</v>
      </c>
      <c r="J23" s="8">
        <v>10</v>
      </c>
      <c r="K23" s="8" t="s">
        <v>164</v>
      </c>
      <c r="L23" s="8">
        <v>3</v>
      </c>
      <c r="M23" s="8">
        <v>1</v>
      </c>
      <c r="N23" s="10" t="s">
        <v>21</v>
      </c>
      <c r="O23" s="17" t="s">
        <v>328</v>
      </c>
      <c r="P23" s="10" t="str">
        <f t="shared" si="2"/>
        <v>ICHEC-EC-EARTH_Scaled_2_Cluster10_repl3.sqlite</v>
      </c>
      <c r="Q23" s="11">
        <f t="shared" si="3"/>
        <v>7</v>
      </c>
      <c r="R23" s="16" t="str">
        <f t="shared" si="4"/>
        <v>climate_db_ICHEC-EC-EARTH_historical_v4.sqlite</v>
      </c>
      <c r="S23" s="16" t="str">
        <f t="shared" si="5"/>
        <v>log/ICHEC-EC-EARTH_Scaled_2_Cluster10_repl3.txt</v>
      </c>
      <c r="T23" s="16" t="str">
        <f t="shared" si="6"/>
        <v>init/env_file_CLUSTER10_REPL3_ICHEC-EC-EARTH_historical.csv</v>
      </c>
      <c r="U23" s="16" t="str">
        <f t="shared" si="7"/>
        <v>init/env_grid_CLUSTER10_REPL3.asc</v>
      </c>
      <c r="V23" s="16" t="str">
        <f t="shared" si="8"/>
        <v>init/env_grid_CLUSTER10_REPL3.asc</v>
      </c>
      <c r="W23" s="16" t="str">
        <f t="shared" si="9"/>
        <v>trees_CLUSTER10.csv</v>
      </c>
      <c r="X23" s="16" t="str">
        <f t="shared" si="10"/>
        <v>saplings_CLUSTER10.csv</v>
      </c>
      <c r="Y23" s="16">
        <f t="shared" si="11"/>
        <v>350</v>
      </c>
      <c r="Z23" s="16" t="str">
        <f t="shared" si="12"/>
        <v>abe/no_mgmt.csv</v>
      </c>
      <c r="AA23" s="16" t="str">
        <f t="shared" si="13"/>
        <v>gis/WindModifier_cl10.asc</v>
      </c>
      <c r="AB23" s="16">
        <f t="shared" si="17"/>
        <v>1</v>
      </c>
      <c r="AC23" s="16" t="str">
        <f t="shared" si="18"/>
        <v>ICHEC-EC-EARTH_historical_point38183</v>
      </c>
      <c r="AD23" s="16" t="str">
        <f t="shared" si="19"/>
        <v>wind_Events/Scaled_cl10_repl3.txt</v>
      </c>
      <c r="AE23" s="16" t="str">
        <f t="shared" si="20"/>
        <v>ICHEC-EC-EARTH_Scaled_2_Cluster10_repl3</v>
      </c>
      <c r="AF23" s="16" t="s">
        <v>262</v>
      </c>
      <c r="AG23" s="16" t="s">
        <v>263</v>
      </c>
    </row>
    <row r="24" spans="1:33" ht="13.8" hidden="1">
      <c r="A24" s="7" t="str">
        <f t="shared" si="21"/>
        <v>MPI-M-MPI-ESM-LR_Scaled_2_Cluster10_repl3</v>
      </c>
      <c r="B24" s="8" t="s">
        <v>16</v>
      </c>
      <c r="C24" s="8" t="s">
        <v>54</v>
      </c>
      <c r="D24" s="9" t="s">
        <v>17</v>
      </c>
      <c r="E24" s="9" t="str">
        <f t="shared" si="1"/>
        <v>historical</v>
      </c>
      <c r="F24" s="8">
        <v>350</v>
      </c>
      <c r="G24" s="8" t="s">
        <v>63</v>
      </c>
      <c r="H24" s="8">
        <v>2</v>
      </c>
      <c r="I24" s="19">
        <v>1</v>
      </c>
      <c r="J24" s="8">
        <v>10</v>
      </c>
      <c r="K24" s="8" t="s">
        <v>172</v>
      </c>
      <c r="L24" s="8">
        <v>3</v>
      </c>
      <c r="M24" s="8">
        <v>1</v>
      </c>
      <c r="N24" s="10" t="s">
        <v>21</v>
      </c>
      <c r="O24" s="17" t="s">
        <v>328</v>
      </c>
      <c r="P24" s="10" t="str">
        <f t="shared" si="2"/>
        <v>MPI-M-MPI-ESM-LR_Scaled_2_Cluster10_repl3.sqlite</v>
      </c>
      <c r="Q24" s="11">
        <f t="shared" si="3"/>
        <v>8</v>
      </c>
      <c r="R24" s="16" t="str">
        <f t="shared" si="4"/>
        <v>climate_db_MPI-M-MPI-ESM-LR_historical_v4.sqlite</v>
      </c>
      <c r="S24" s="16" t="str">
        <f t="shared" si="5"/>
        <v>log/MPI-M-MPI-ESM-LR_Scaled_2_Cluster10_repl3.txt</v>
      </c>
      <c r="T24" s="16" t="str">
        <f t="shared" si="6"/>
        <v>init/env_file_CLUSTER10_REPL3_MPI-M-MPI-ESM-LR_historical.csv</v>
      </c>
      <c r="U24" s="16" t="str">
        <f t="shared" si="7"/>
        <v>init/env_grid_CLUSTER10_REPL3.asc</v>
      </c>
      <c r="V24" s="16" t="str">
        <f t="shared" si="8"/>
        <v>init/env_grid_CLUSTER10_REPL3.asc</v>
      </c>
      <c r="W24" s="16" t="str">
        <f t="shared" si="9"/>
        <v>trees_CLUSTER10.csv</v>
      </c>
      <c r="X24" s="16" t="str">
        <f t="shared" si="10"/>
        <v>saplings_CLUSTER10.csv</v>
      </c>
      <c r="Y24" s="16">
        <f t="shared" si="11"/>
        <v>350</v>
      </c>
      <c r="Z24" s="16" t="str">
        <f t="shared" si="12"/>
        <v>abe/no_mgmt.csv</v>
      </c>
      <c r="AA24" s="16" t="str">
        <f t="shared" si="13"/>
        <v>gis/WindModifier_cl10.asc</v>
      </c>
      <c r="AB24" s="16">
        <f t="shared" si="17"/>
        <v>1</v>
      </c>
      <c r="AC24" s="16" t="str">
        <f t="shared" si="18"/>
        <v>MPI-M-MPI-ESM-LR_historical_point37861</v>
      </c>
      <c r="AD24" s="16" t="str">
        <f t="shared" si="19"/>
        <v>wind_Events/Scaled_cl10_repl3.txt</v>
      </c>
      <c r="AE24" s="16" t="str">
        <f t="shared" si="20"/>
        <v>MPI-M-MPI-ESM-LR_Scaled_2_Cluster10_repl3</v>
      </c>
      <c r="AF24" s="16" t="s">
        <v>264</v>
      </c>
      <c r="AG24" s="16" t="s">
        <v>265</v>
      </c>
    </row>
    <row r="25" spans="1:33" ht="13.8" hidden="1">
      <c r="A25" s="7" t="str">
        <f t="shared" si="21"/>
        <v>NCC-NorESM1-M_Scaled_2_Cluster10_repl3</v>
      </c>
      <c r="B25" s="8" t="s">
        <v>16</v>
      </c>
      <c r="C25" s="8" t="s">
        <v>54</v>
      </c>
      <c r="D25" s="9" t="s">
        <v>17</v>
      </c>
      <c r="E25" s="9" t="str">
        <f t="shared" si="1"/>
        <v>historical</v>
      </c>
      <c r="F25" s="8">
        <v>350</v>
      </c>
      <c r="G25" s="8" t="s">
        <v>60</v>
      </c>
      <c r="H25" s="8">
        <v>3</v>
      </c>
      <c r="I25" s="19">
        <v>1</v>
      </c>
      <c r="J25" s="8">
        <v>10</v>
      </c>
      <c r="K25" s="8" t="s">
        <v>172</v>
      </c>
      <c r="L25" s="8">
        <v>3</v>
      </c>
      <c r="M25" s="8">
        <v>1</v>
      </c>
      <c r="N25" s="10" t="s">
        <v>21</v>
      </c>
      <c r="O25" s="17" t="s">
        <v>328</v>
      </c>
      <c r="P25" s="10" t="str">
        <f t="shared" si="2"/>
        <v>NCC-NorESM1-M_Scaled_2_Cluster10_repl3.sqlite</v>
      </c>
      <c r="Q25" s="11">
        <f t="shared" si="3"/>
        <v>9</v>
      </c>
      <c r="R25" s="16" t="str">
        <f t="shared" si="4"/>
        <v>climate_db_NCC-NorESM1-M_historical_v4.sqlite</v>
      </c>
      <c r="S25" s="16" t="str">
        <f t="shared" si="5"/>
        <v>log/NCC-NorESM1-M_Scaled_2_Cluster10_repl3.txt</v>
      </c>
      <c r="T25" s="16" t="str">
        <f t="shared" si="6"/>
        <v>init/env_file_CLUSTER10_REPL3_NCC-NorESM1-M_historical.csv</v>
      </c>
      <c r="U25" s="16" t="str">
        <f t="shared" si="7"/>
        <v>init/env_grid_CLUSTER10_REPL3.asc</v>
      </c>
      <c r="V25" s="16" t="str">
        <f t="shared" si="8"/>
        <v>init/env_grid_CLUSTER10_REPL3.asc</v>
      </c>
      <c r="W25" s="16" t="str">
        <f t="shared" si="9"/>
        <v>trees_CLUSTER10.csv</v>
      </c>
      <c r="X25" s="16" t="str">
        <f t="shared" si="10"/>
        <v>saplings_CLUSTER10.csv</v>
      </c>
      <c r="Y25" s="16">
        <f t="shared" si="11"/>
        <v>350</v>
      </c>
      <c r="Z25" s="16" t="str">
        <f t="shared" si="12"/>
        <v>abe/no_mgmt.csv</v>
      </c>
      <c r="AA25" s="16" t="str">
        <f t="shared" si="13"/>
        <v>gis/WindModifier_cl10.asc</v>
      </c>
      <c r="AB25" s="16">
        <f t="shared" si="17"/>
        <v>1</v>
      </c>
      <c r="AC25" s="16" t="str">
        <f t="shared" si="18"/>
        <v>NCC-NorESM1-M_historical_point37861</v>
      </c>
      <c r="AD25" s="16" t="str">
        <f t="shared" si="19"/>
        <v>wind_Events/Scaled_cl10_repl3.txt</v>
      </c>
      <c r="AE25" s="16" t="str">
        <f t="shared" si="20"/>
        <v>NCC-NorESM1-M_Scaled_2_Cluster10_repl3</v>
      </c>
      <c r="AF25" s="16" t="s">
        <v>266</v>
      </c>
      <c r="AG25" s="16" t="s">
        <v>267</v>
      </c>
    </row>
    <row r="26" spans="1:33" ht="13.8" hidden="1">
      <c r="A26" s="7" t="str">
        <f t="shared" si="21"/>
        <v>ICHEC-EC-EARTH_Scaled_2_Cluster10_repl4</v>
      </c>
      <c r="B26" s="8" t="s">
        <v>16</v>
      </c>
      <c r="C26" s="8" t="s">
        <v>54</v>
      </c>
      <c r="D26" s="9" t="s">
        <v>17</v>
      </c>
      <c r="E26" s="9" t="str">
        <f t="shared" si="1"/>
        <v>historical</v>
      </c>
      <c r="F26" s="8">
        <v>350</v>
      </c>
      <c r="G26" s="8" t="s">
        <v>18</v>
      </c>
      <c r="H26" s="8">
        <v>1</v>
      </c>
      <c r="I26" s="19">
        <v>1</v>
      </c>
      <c r="J26" s="8">
        <v>10</v>
      </c>
      <c r="K26" s="8" t="s">
        <v>164</v>
      </c>
      <c r="L26" s="8">
        <v>4</v>
      </c>
      <c r="M26" s="8">
        <v>1</v>
      </c>
      <c r="N26" s="10" t="s">
        <v>21</v>
      </c>
      <c r="O26" s="17" t="s">
        <v>328</v>
      </c>
      <c r="P26" s="10" t="str">
        <f t="shared" si="2"/>
        <v>ICHEC-EC-EARTH_Scaled_2_Cluster10_repl4.sqlite</v>
      </c>
      <c r="Q26" s="11">
        <f t="shared" si="3"/>
        <v>10</v>
      </c>
      <c r="R26" s="16" t="str">
        <f t="shared" si="4"/>
        <v>climate_db_ICHEC-EC-EARTH_historical_v4.sqlite</v>
      </c>
      <c r="S26" s="16" t="str">
        <f t="shared" si="5"/>
        <v>log/ICHEC-EC-EARTH_Scaled_2_Cluster10_repl4.txt</v>
      </c>
      <c r="T26" s="16" t="str">
        <f t="shared" si="6"/>
        <v>init/env_file_CLUSTER10_REPL4_ICHEC-EC-EARTH_historical.csv</v>
      </c>
      <c r="U26" s="16" t="str">
        <f t="shared" si="7"/>
        <v>init/env_grid_CLUSTER10_REPL4.asc</v>
      </c>
      <c r="V26" s="16" t="str">
        <f t="shared" si="8"/>
        <v>init/env_grid_CLUSTER10_REPL4.asc</v>
      </c>
      <c r="W26" s="16" t="str">
        <f t="shared" si="9"/>
        <v>trees_CLUSTER10.csv</v>
      </c>
      <c r="X26" s="16" t="str">
        <f t="shared" si="10"/>
        <v>saplings_CLUSTER10.csv</v>
      </c>
      <c r="Y26" s="16">
        <f t="shared" si="11"/>
        <v>350</v>
      </c>
      <c r="Z26" s="16" t="str">
        <f t="shared" si="12"/>
        <v>abe/no_mgmt.csv</v>
      </c>
      <c r="AA26" s="16" t="str">
        <f t="shared" si="13"/>
        <v>gis/WindModifier_cl10.asc</v>
      </c>
      <c r="AB26" s="16">
        <f t="shared" si="17"/>
        <v>1</v>
      </c>
      <c r="AC26" s="16" t="str">
        <f t="shared" si="18"/>
        <v>ICHEC-EC-EARTH_historical_point38183</v>
      </c>
      <c r="AD26" s="16" t="str">
        <f t="shared" si="19"/>
        <v>wind_Events/Scaled_cl10_repl4.txt</v>
      </c>
      <c r="AE26" s="16" t="str">
        <f t="shared" si="20"/>
        <v>ICHEC-EC-EARTH_Scaled_2_Cluster10_repl4</v>
      </c>
      <c r="AF26" s="16" t="s">
        <v>268</v>
      </c>
      <c r="AG26" s="16" t="s">
        <v>269</v>
      </c>
    </row>
    <row r="27" spans="1:33" ht="13.8" hidden="1">
      <c r="A27" s="7" t="str">
        <f t="shared" si="21"/>
        <v>MPI-M-MPI-ESM-LR_Scaled_2_Cluster10_repl4</v>
      </c>
      <c r="B27" s="8" t="s">
        <v>16</v>
      </c>
      <c r="C27" s="8" t="s">
        <v>54</v>
      </c>
      <c r="D27" s="9" t="s">
        <v>17</v>
      </c>
      <c r="E27" s="9" t="str">
        <f t="shared" si="1"/>
        <v>historical</v>
      </c>
      <c r="F27" s="8">
        <v>350</v>
      </c>
      <c r="G27" s="8" t="s">
        <v>63</v>
      </c>
      <c r="H27" s="8">
        <v>2</v>
      </c>
      <c r="I27" s="19">
        <v>1</v>
      </c>
      <c r="J27" s="8">
        <v>10</v>
      </c>
      <c r="K27" s="8" t="s">
        <v>172</v>
      </c>
      <c r="L27" s="8">
        <v>4</v>
      </c>
      <c r="M27" s="8">
        <v>1</v>
      </c>
      <c r="N27" s="10" t="s">
        <v>21</v>
      </c>
      <c r="O27" s="17" t="s">
        <v>328</v>
      </c>
      <c r="P27" s="10" t="str">
        <f t="shared" si="2"/>
        <v>MPI-M-MPI-ESM-LR_Scaled_2_Cluster10_repl4.sqlite</v>
      </c>
      <c r="Q27" s="11">
        <f t="shared" si="3"/>
        <v>11</v>
      </c>
      <c r="R27" s="16" t="str">
        <f t="shared" si="4"/>
        <v>climate_db_MPI-M-MPI-ESM-LR_historical_v4.sqlite</v>
      </c>
      <c r="S27" s="16" t="str">
        <f t="shared" si="5"/>
        <v>log/MPI-M-MPI-ESM-LR_Scaled_2_Cluster10_repl4.txt</v>
      </c>
      <c r="T27" s="16" t="str">
        <f t="shared" si="6"/>
        <v>init/env_file_CLUSTER10_REPL4_MPI-M-MPI-ESM-LR_historical.csv</v>
      </c>
      <c r="U27" s="16" t="str">
        <f t="shared" si="7"/>
        <v>init/env_grid_CLUSTER10_REPL4.asc</v>
      </c>
      <c r="V27" s="16" t="str">
        <f t="shared" si="8"/>
        <v>init/env_grid_CLUSTER10_REPL4.asc</v>
      </c>
      <c r="W27" s="16" t="str">
        <f t="shared" si="9"/>
        <v>trees_CLUSTER10.csv</v>
      </c>
      <c r="X27" s="16" t="str">
        <f t="shared" si="10"/>
        <v>saplings_CLUSTER10.csv</v>
      </c>
      <c r="Y27" s="16">
        <f t="shared" si="11"/>
        <v>350</v>
      </c>
      <c r="Z27" s="16" t="str">
        <f t="shared" si="12"/>
        <v>abe/no_mgmt.csv</v>
      </c>
      <c r="AA27" s="16" t="str">
        <f t="shared" si="13"/>
        <v>gis/WindModifier_cl10.asc</v>
      </c>
      <c r="AB27" s="16">
        <f t="shared" si="17"/>
        <v>1</v>
      </c>
      <c r="AC27" s="16" t="str">
        <f t="shared" si="18"/>
        <v>MPI-M-MPI-ESM-LR_historical_point37861</v>
      </c>
      <c r="AD27" s="16" t="str">
        <f t="shared" si="19"/>
        <v>wind_Events/Scaled_cl10_repl4.txt</v>
      </c>
      <c r="AE27" s="16" t="str">
        <f t="shared" si="20"/>
        <v>MPI-M-MPI-ESM-LR_Scaled_2_Cluster10_repl4</v>
      </c>
      <c r="AF27" s="16" t="s">
        <v>270</v>
      </c>
      <c r="AG27" s="16" t="s">
        <v>271</v>
      </c>
    </row>
    <row r="28" spans="1:33" ht="13.8" hidden="1">
      <c r="A28" s="7" t="str">
        <f t="shared" si="21"/>
        <v>NCC-NorESM1-M_Scaled_2_Cluster10_repl4</v>
      </c>
      <c r="B28" s="8" t="s">
        <v>16</v>
      </c>
      <c r="C28" s="8" t="s">
        <v>54</v>
      </c>
      <c r="D28" s="9" t="s">
        <v>17</v>
      </c>
      <c r="E28" s="9" t="str">
        <f t="shared" si="1"/>
        <v>historical</v>
      </c>
      <c r="F28" s="8">
        <v>350</v>
      </c>
      <c r="G28" s="8" t="s">
        <v>60</v>
      </c>
      <c r="H28" s="8">
        <v>3</v>
      </c>
      <c r="I28" s="19">
        <v>1</v>
      </c>
      <c r="J28" s="8">
        <v>10</v>
      </c>
      <c r="K28" s="8" t="s">
        <v>172</v>
      </c>
      <c r="L28" s="8">
        <v>4</v>
      </c>
      <c r="M28" s="8">
        <v>1</v>
      </c>
      <c r="N28" s="10" t="s">
        <v>21</v>
      </c>
      <c r="O28" s="17" t="s">
        <v>328</v>
      </c>
      <c r="P28" s="10" t="str">
        <f t="shared" si="2"/>
        <v>NCC-NorESM1-M_Scaled_2_Cluster10_repl4.sqlite</v>
      </c>
      <c r="Q28" s="11">
        <f t="shared" si="3"/>
        <v>12</v>
      </c>
      <c r="R28" s="16" t="str">
        <f t="shared" si="4"/>
        <v>climate_db_NCC-NorESM1-M_historical_v4.sqlite</v>
      </c>
      <c r="S28" s="16" t="str">
        <f t="shared" si="5"/>
        <v>log/NCC-NorESM1-M_Scaled_2_Cluster10_repl4.txt</v>
      </c>
      <c r="T28" s="16" t="str">
        <f t="shared" si="6"/>
        <v>init/env_file_CLUSTER10_REPL4_NCC-NorESM1-M_historical.csv</v>
      </c>
      <c r="U28" s="16" t="str">
        <f t="shared" si="7"/>
        <v>init/env_grid_CLUSTER10_REPL4.asc</v>
      </c>
      <c r="V28" s="16" t="str">
        <f t="shared" si="8"/>
        <v>init/env_grid_CLUSTER10_REPL4.asc</v>
      </c>
      <c r="W28" s="16" t="str">
        <f t="shared" si="9"/>
        <v>trees_CLUSTER10.csv</v>
      </c>
      <c r="X28" s="16" t="str">
        <f t="shared" si="10"/>
        <v>saplings_CLUSTER10.csv</v>
      </c>
      <c r="Y28" s="16">
        <f t="shared" si="11"/>
        <v>350</v>
      </c>
      <c r="Z28" s="16" t="str">
        <f t="shared" si="12"/>
        <v>abe/no_mgmt.csv</v>
      </c>
      <c r="AA28" s="16" t="str">
        <f t="shared" si="13"/>
        <v>gis/WindModifier_cl10.asc</v>
      </c>
      <c r="AB28" s="16">
        <f t="shared" si="17"/>
        <v>1</v>
      </c>
      <c r="AC28" s="16" t="str">
        <f t="shared" si="18"/>
        <v>NCC-NorESM1-M_historical_point37861</v>
      </c>
      <c r="AD28" s="16" t="str">
        <f t="shared" si="19"/>
        <v>wind_Events/Scaled_cl10_repl4.txt</v>
      </c>
      <c r="AE28" s="16" t="str">
        <f t="shared" si="20"/>
        <v>NCC-NorESM1-M_Scaled_2_Cluster10_repl4</v>
      </c>
      <c r="AF28" s="16" t="s">
        <v>272</v>
      </c>
      <c r="AG28" s="16" t="s">
        <v>273</v>
      </c>
    </row>
    <row r="29" spans="1:33" ht="13.8" hidden="1">
      <c r="A29" s="7" t="str">
        <f t="shared" si="21"/>
        <v>ICHEC-EC-EARTH_Scaled_2_Cluster10_repl5</v>
      </c>
      <c r="B29" s="8" t="s">
        <v>16</v>
      </c>
      <c r="C29" s="8" t="s">
        <v>54</v>
      </c>
      <c r="D29" s="9" t="s">
        <v>17</v>
      </c>
      <c r="E29" s="9" t="str">
        <f t="shared" si="1"/>
        <v>historical</v>
      </c>
      <c r="F29" s="8">
        <v>350</v>
      </c>
      <c r="G29" s="8" t="s">
        <v>18</v>
      </c>
      <c r="H29" s="8">
        <v>1</v>
      </c>
      <c r="I29" s="19">
        <v>1</v>
      </c>
      <c r="J29" s="8">
        <v>10</v>
      </c>
      <c r="K29" s="8" t="s">
        <v>164</v>
      </c>
      <c r="L29" s="8">
        <v>5</v>
      </c>
      <c r="M29" s="8">
        <v>1</v>
      </c>
      <c r="N29" s="10" t="s">
        <v>21</v>
      </c>
      <c r="O29" s="17" t="s">
        <v>328</v>
      </c>
      <c r="P29" s="10" t="str">
        <f t="shared" si="2"/>
        <v>ICHEC-EC-EARTH_Scaled_2_Cluster10_repl5.sqlite</v>
      </c>
      <c r="Q29" s="11">
        <f t="shared" si="3"/>
        <v>13</v>
      </c>
      <c r="R29" s="16" t="str">
        <f t="shared" si="4"/>
        <v>climate_db_ICHEC-EC-EARTH_historical_v4.sqlite</v>
      </c>
      <c r="S29" s="16" t="str">
        <f t="shared" si="5"/>
        <v>log/ICHEC-EC-EARTH_Scaled_2_Cluster10_repl5.txt</v>
      </c>
      <c r="T29" s="16" t="str">
        <f t="shared" si="6"/>
        <v>init/env_file_CLUSTER10_REPL5_ICHEC-EC-EARTH_historical.csv</v>
      </c>
      <c r="U29" s="16" t="str">
        <f t="shared" si="7"/>
        <v>init/env_grid_CLUSTER10_REPL5.asc</v>
      </c>
      <c r="V29" s="16" t="str">
        <f t="shared" si="8"/>
        <v>init/env_grid_CLUSTER10_REPL5.asc</v>
      </c>
      <c r="W29" s="16" t="str">
        <f t="shared" si="9"/>
        <v>trees_CLUSTER10.csv</v>
      </c>
      <c r="X29" s="16" t="str">
        <f t="shared" si="10"/>
        <v>saplings_CLUSTER10.csv</v>
      </c>
      <c r="Y29" s="16">
        <f t="shared" si="11"/>
        <v>350</v>
      </c>
      <c r="Z29" s="16" t="str">
        <f t="shared" si="12"/>
        <v>abe/no_mgmt.csv</v>
      </c>
      <c r="AA29" s="16" t="str">
        <f t="shared" si="13"/>
        <v>gis/WindModifier_cl10.asc</v>
      </c>
      <c r="AB29" s="16">
        <f t="shared" si="17"/>
        <v>1</v>
      </c>
      <c r="AC29" s="16" t="str">
        <f t="shared" si="18"/>
        <v>ICHEC-EC-EARTH_historical_point38183</v>
      </c>
      <c r="AD29" s="16" t="str">
        <f t="shared" si="19"/>
        <v>wind_Events/Scaled_cl10_repl5.txt</v>
      </c>
      <c r="AE29" s="16" t="str">
        <f t="shared" si="20"/>
        <v>ICHEC-EC-EARTH_Scaled_2_Cluster10_repl5</v>
      </c>
      <c r="AF29" s="16" t="s">
        <v>274</v>
      </c>
      <c r="AG29" s="16" t="s">
        <v>275</v>
      </c>
    </row>
    <row r="30" spans="1:33" ht="13.8" hidden="1">
      <c r="A30" s="7" t="str">
        <f t="shared" si="21"/>
        <v>MPI-M-MPI-ESM-LR_Scaled_2_Cluster10_repl5</v>
      </c>
      <c r="B30" s="8" t="s">
        <v>16</v>
      </c>
      <c r="C30" s="8" t="s">
        <v>54</v>
      </c>
      <c r="D30" s="9" t="s">
        <v>17</v>
      </c>
      <c r="E30" s="9" t="str">
        <f t="shared" si="1"/>
        <v>historical</v>
      </c>
      <c r="F30" s="8">
        <v>350</v>
      </c>
      <c r="G30" s="8" t="s">
        <v>63</v>
      </c>
      <c r="H30" s="8">
        <v>2</v>
      </c>
      <c r="I30" s="19">
        <v>1</v>
      </c>
      <c r="J30" s="8">
        <v>10</v>
      </c>
      <c r="K30" s="8" t="s">
        <v>172</v>
      </c>
      <c r="L30" s="8">
        <v>5</v>
      </c>
      <c r="M30" s="8">
        <v>1</v>
      </c>
      <c r="N30" s="10" t="s">
        <v>21</v>
      </c>
      <c r="O30" s="17" t="s">
        <v>328</v>
      </c>
      <c r="P30" s="10" t="str">
        <f t="shared" si="2"/>
        <v>MPI-M-MPI-ESM-LR_Scaled_2_Cluster10_repl5.sqlite</v>
      </c>
      <c r="Q30" s="11">
        <f t="shared" si="3"/>
        <v>14</v>
      </c>
      <c r="R30" s="16" t="str">
        <f t="shared" si="4"/>
        <v>climate_db_MPI-M-MPI-ESM-LR_historical_v4.sqlite</v>
      </c>
      <c r="S30" s="16" t="str">
        <f t="shared" si="5"/>
        <v>log/MPI-M-MPI-ESM-LR_Scaled_2_Cluster10_repl5.txt</v>
      </c>
      <c r="T30" s="16" t="str">
        <f t="shared" si="6"/>
        <v>init/env_file_CLUSTER10_REPL5_MPI-M-MPI-ESM-LR_historical.csv</v>
      </c>
      <c r="U30" s="16" t="str">
        <f t="shared" si="7"/>
        <v>init/env_grid_CLUSTER10_REPL5.asc</v>
      </c>
      <c r="V30" s="16" t="str">
        <f t="shared" si="8"/>
        <v>init/env_grid_CLUSTER10_REPL5.asc</v>
      </c>
      <c r="W30" s="16" t="str">
        <f t="shared" si="9"/>
        <v>trees_CLUSTER10.csv</v>
      </c>
      <c r="X30" s="16" t="str">
        <f t="shared" si="10"/>
        <v>saplings_CLUSTER10.csv</v>
      </c>
      <c r="Y30" s="16">
        <f t="shared" si="11"/>
        <v>350</v>
      </c>
      <c r="Z30" s="16" t="str">
        <f t="shared" si="12"/>
        <v>abe/no_mgmt.csv</v>
      </c>
      <c r="AA30" s="16" t="str">
        <f t="shared" si="13"/>
        <v>gis/WindModifier_cl10.asc</v>
      </c>
      <c r="AB30" s="16">
        <f t="shared" si="17"/>
        <v>1</v>
      </c>
      <c r="AC30" s="16" t="str">
        <f t="shared" si="18"/>
        <v>MPI-M-MPI-ESM-LR_historical_point37861</v>
      </c>
      <c r="AD30" s="16" t="str">
        <f t="shared" si="19"/>
        <v>wind_Events/Scaled_cl10_repl5.txt</v>
      </c>
      <c r="AE30" s="16" t="str">
        <f t="shared" si="20"/>
        <v>MPI-M-MPI-ESM-LR_Scaled_2_Cluster10_repl5</v>
      </c>
      <c r="AF30" s="16" t="s">
        <v>276</v>
      </c>
      <c r="AG30" s="16" t="s">
        <v>277</v>
      </c>
    </row>
    <row r="31" spans="1:33" ht="13.8" hidden="1">
      <c r="A31" s="7" t="str">
        <f t="shared" si="21"/>
        <v>NCC-NorESM1-M_Scaled_2_Cluster10_repl5</v>
      </c>
      <c r="B31" s="8" t="s">
        <v>16</v>
      </c>
      <c r="C31" s="8" t="s">
        <v>54</v>
      </c>
      <c r="D31" s="9" t="s">
        <v>17</v>
      </c>
      <c r="E31" s="9" t="str">
        <f t="shared" si="1"/>
        <v>historical</v>
      </c>
      <c r="F31" s="8">
        <v>350</v>
      </c>
      <c r="G31" s="8" t="s">
        <v>60</v>
      </c>
      <c r="H31" s="8">
        <v>3</v>
      </c>
      <c r="I31" s="19">
        <v>1</v>
      </c>
      <c r="J31" s="8">
        <v>10</v>
      </c>
      <c r="K31" s="8" t="s">
        <v>172</v>
      </c>
      <c r="L31" s="8">
        <v>5</v>
      </c>
      <c r="M31" s="8">
        <v>1</v>
      </c>
      <c r="N31" s="10" t="s">
        <v>21</v>
      </c>
      <c r="O31" s="17" t="s">
        <v>328</v>
      </c>
      <c r="P31" s="10" t="str">
        <f t="shared" si="2"/>
        <v>NCC-NorESM1-M_Scaled_2_Cluster10_repl5.sqlite</v>
      </c>
      <c r="Q31" s="11">
        <f t="shared" si="3"/>
        <v>15</v>
      </c>
      <c r="R31" s="16" t="str">
        <f t="shared" si="4"/>
        <v>climate_db_NCC-NorESM1-M_historical_v4.sqlite</v>
      </c>
      <c r="S31" s="16" t="str">
        <f t="shared" si="5"/>
        <v>log/NCC-NorESM1-M_Scaled_2_Cluster10_repl5.txt</v>
      </c>
      <c r="T31" s="16" t="str">
        <f t="shared" si="6"/>
        <v>init/env_file_CLUSTER10_REPL5_NCC-NorESM1-M_historical.csv</v>
      </c>
      <c r="U31" s="16" t="str">
        <f t="shared" si="7"/>
        <v>init/env_grid_CLUSTER10_REPL5.asc</v>
      </c>
      <c r="V31" s="16" t="str">
        <f t="shared" si="8"/>
        <v>init/env_grid_CLUSTER10_REPL5.asc</v>
      </c>
      <c r="W31" s="16" t="str">
        <f t="shared" si="9"/>
        <v>trees_CLUSTER10.csv</v>
      </c>
      <c r="X31" s="16" t="str">
        <f t="shared" si="10"/>
        <v>saplings_CLUSTER10.csv</v>
      </c>
      <c r="Y31" s="16">
        <f t="shared" si="11"/>
        <v>350</v>
      </c>
      <c r="Z31" s="16" t="str">
        <f t="shared" si="12"/>
        <v>abe/no_mgmt.csv</v>
      </c>
      <c r="AA31" s="16" t="str">
        <f t="shared" si="13"/>
        <v>gis/WindModifier_cl10.asc</v>
      </c>
      <c r="AB31" s="16">
        <f t="shared" si="17"/>
        <v>1</v>
      </c>
      <c r="AC31" s="16" t="str">
        <f t="shared" si="18"/>
        <v>NCC-NorESM1-M_historical_point37861</v>
      </c>
      <c r="AD31" s="16" t="str">
        <f t="shared" si="19"/>
        <v>wind_Events/Scaled_cl10_repl5.txt</v>
      </c>
      <c r="AE31" s="16" t="str">
        <f t="shared" si="20"/>
        <v>NCC-NorESM1-M_Scaled_2_Cluster10_repl5</v>
      </c>
      <c r="AF31" s="16" t="s">
        <v>278</v>
      </c>
      <c r="AG31" s="16" t="s">
        <v>279</v>
      </c>
    </row>
    <row r="32" spans="1:33" ht="13.8">
      <c r="A32" s="7" t="str">
        <f xml:space="preserve"> G32 &amp; "_" &amp; C32 &amp;"3_" &amp;"Cluster" &amp; J32 &amp; "_repl" &amp; L32</f>
        <v>ICHEC-EC-EARTH_Scaled_3_Cluster10_repl1</v>
      </c>
      <c r="B32" s="8" t="s">
        <v>16</v>
      </c>
      <c r="C32" s="8" t="s">
        <v>54</v>
      </c>
      <c r="D32" s="9" t="s">
        <v>17</v>
      </c>
      <c r="E32" s="9" t="str">
        <f t="shared" si="1"/>
        <v>historical</v>
      </c>
      <c r="F32" s="8">
        <v>350</v>
      </c>
      <c r="G32" s="8" t="s">
        <v>18</v>
      </c>
      <c r="H32" s="8">
        <v>1</v>
      </c>
      <c r="I32" s="19">
        <v>1</v>
      </c>
      <c r="J32" s="8">
        <v>10</v>
      </c>
      <c r="K32" s="8" t="s">
        <v>164</v>
      </c>
      <c r="L32" s="8">
        <v>1</v>
      </c>
      <c r="M32" s="8">
        <v>1</v>
      </c>
      <c r="N32" s="10" t="s">
        <v>21</v>
      </c>
      <c r="O32" s="17" t="s">
        <v>328</v>
      </c>
      <c r="P32" s="10" t="str">
        <f t="shared" si="2"/>
        <v>ICHEC-EC-EARTH_Scaled_3_Cluster10_repl1.sqlite</v>
      </c>
      <c r="Q32" s="11">
        <f t="shared" si="3"/>
        <v>1</v>
      </c>
      <c r="R32" s="16" t="str">
        <f t="shared" si="4"/>
        <v>climate_db_ICHEC-EC-EARTH_historical_v4.sqlite</v>
      </c>
      <c r="S32" s="16" t="str">
        <f t="shared" si="5"/>
        <v>log/ICHEC-EC-EARTH_Scaled_3_Cluster10_repl1.txt</v>
      </c>
      <c r="T32" s="16" t="str">
        <f t="shared" si="6"/>
        <v>init/env_file_CLUSTER10_REPL1_ICHEC-EC-EARTH_historical.csv</v>
      </c>
      <c r="U32" s="16" t="str">
        <f t="shared" si="7"/>
        <v>init/env_grid_CLUSTER10_REPL1.asc</v>
      </c>
      <c r="V32" s="16" t="str">
        <f t="shared" si="8"/>
        <v>init/env_grid_CLUSTER10_REPL1.asc</v>
      </c>
      <c r="W32" s="16" t="str">
        <f t="shared" si="9"/>
        <v>trees_CLUSTER10.csv</v>
      </c>
      <c r="X32" s="16" t="str">
        <f t="shared" si="10"/>
        <v>saplings_CLUSTER10.csv</v>
      </c>
      <c r="Y32" s="16">
        <f t="shared" si="11"/>
        <v>350</v>
      </c>
      <c r="Z32" s="16" t="str">
        <f t="shared" si="12"/>
        <v>abe/no_mgmt.csv</v>
      </c>
      <c r="AA32" s="16" t="str">
        <f t="shared" si="13"/>
        <v>gis/WindModifier_cl10.asc</v>
      </c>
      <c r="AB32" s="16">
        <f t="shared" si="17"/>
        <v>1</v>
      </c>
      <c r="AC32" s="16" t="str">
        <f t="shared" ref="AC32:AC46" si="22">G32 &amp; "_" &amp; E32 &amp; "_point" &amp; K32</f>
        <v>ICHEC-EC-EARTH_historical_point38183</v>
      </c>
      <c r="AD32" s="16" t="str">
        <f t="shared" ref="AD32:AD46" si="23">"wind_Events/" &amp; C32 &amp; "cl" &amp; J32 &amp; "_repl" &amp; L32 &amp; ".txt"</f>
        <v>wind_Events/Scaled_cl10_repl1.txt</v>
      </c>
      <c r="AE32" s="16" t="str">
        <f t="shared" ref="AE32:AE46" si="24">A32</f>
        <v>ICHEC-EC-EARTH_Scaled_3_Cluster10_repl1</v>
      </c>
      <c r="AF32" s="16" t="s">
        <v>322</v>
      </c>
      <c r="AG32" s="16" t="s">
        <v>323</v>
      </c>
    </row>
    <row r="33" spans="1:33" ht="13.8">
      <c r="A33" s="7" t="str">
        <f t="shared" ref="A33:A46" si="25" xml:space="preserve"> G33 &amp; "_" &amp; C33 &amp;"3_" &amp;"Cluster" &amp; J33 &amp; "_repl" &amp; L33</f>
        <v>MPI-M-MPI-ESM-LR_Scaled_3_Cluster10_repl1</v>
      </c>
      <c r="B33" s="8" t="s">
        <v>16</v>
      </c>
      <c r="C33" s="8" t="s">
        <v>54</v>
      </c>
      <c r="D33" s="9" t="s">
        <v>17</v>
      </c>
      <c r="E33" s="9" t="str">
        <f t="shared" si="1"/>
        <v>historical</v>
      </c>
      <c r="F33" s="8">
        <v>350</v>
      </c>
      <c r="G33" s="8" t="s">
        <v>63</v>
      </c>
      <c r="H33" s="8">
        <v>2</v>
      </c>
      <c r="I33" s="19">
        <v>0</v>
      </c>
      <c r="J33" s="8">
        <v>10</v>
      </c>
      <c r="K33" s="8" t="s">
        <v>172</v>
      </c>
      <c r="L33" s="8">
        <v>1</v>
      </c>
      <c r="M33" s="8">
        <v>1</v>
      </c>
      <c r="N33" s="10" t="s">
        <v>21</v>
      </c>
      <c r="O33" s="17" t="s">
        <v>328</v>
      </c>
      <c r="P33" s="10" t="str">
        <f t="shared" si="2"/>
        <v>MPI-M-MPI-ESM-LR_Scaled_3_Cluster10_repl1.sqlite</v>
      </c>
      <c r="Q33" s="11">
        <f t="shared" si="3"/>
        <v>2</v>
      </c>
      <c r="R33" s="16" t="str">
        <f t="shared" si="4"/>
        <v>climate_db_MPI-M-MPI-ESM-LR_historical_v4.sqlite</v>
      </c>
      <c r="S33" s="16" t="str">
        <f t="shared" si="5"/>
        <v>log/MPI-M-MPI-ESM-LR_Scaled_3_Cluster10_repl1.txt</v>
      </c>
      <c r="T33" s="16" t="str">
        <f t="shared" si="6"/>
        <v>init/env_file_CLUSTER10_REPL1_MPI-M-MPI-ESM-LR_historical.csv</v>
      </c>
      <c r="U33" s="16" t="str">
        <f t="shared" si="7"/>
        <v>init/env_grid_CLUSTER10_REPL1.asc</v>
      </c>
      <c r="V33" s="16" t="str">
        <f t="shared" si="8"/>
        <v>init/env_grid_CLUSTER10_REPL1.asc</v>
      </c>
      <c r="W33" s="16" t="str">
        <f t="shared" si="9"/>
        <v>trees_CLUSTER10.csv</v>
      </c>
      <c r="X33" s="16" t="str">
        <f t="shared" si="10"/>
        <v>saplings_CLUSTER10.csv</v>
      </c>
      <c r="Y33" s="16">
        <f t="shared" si="11"/>
        <v>350</v>
      </c>
      <c r="Z33" s="16" t="str">
        <f t="shared" si="12"/>
        <v>abe/no_mgmt.csv</v>
      </c>
      <c r="AA33" s="16" t="str">
        <f t="shared" si="13"/>
        <v>gis/WindModifier_cl10.asc</v>
      </c>
      <c r="AB33" s="16">
        <f t="shared" si="17"/>
        <v>0</v>
      </c>
      <c r="AC33" s="16" t="str">
        <f t="shared" si="22"/>
        <v>MPI-M-MPI-ESM-LR_historical_point37861</v>
      </c>
      <c r="AD33" s="16" t="str">
        <f t="shared" si="23"/>
        <v>wind_Events/Scaled_cl10_repl1.txt</v>
      </c>
      <c r="AE33" s="16" t="str">
        <f t="shared" si="24"/>
        <v>MPI-M-MPI-ESM-LR_Scaled_3_Cluster10_repl1</v>
      </c>
      <c r="AF33" s="16" t="s">
        <v>324</v>
      </c>
      <c r="AG33" s="16" t="s">
        <v>325</v>
      </c>
    </row>
    <row r="34" spans="1:33" ht="13.8">
      <c r="A34" s="7" t="str">
        <f t="shared" si="25"/>
        <v>NCC-NorESM1-M_Scaled_3_Cluster10_repl1</v>
      </c>
      <c r="B34" s="8" t="s">
        <v>16</v>
      </c>
      <c r="C34" s="8" t="s">
        <v>54</v>
      </c>
      <c r="D34" s="9" t="s">
        <v>17</v>
      </c>
      <c r="E34" s="9" t="str">
        <f t="shared" si="1"/>
        <v>historical</v>
      </c>
      <c r="F34" s="8">
        <v>350</v>
      </c>
      <c r="G34" s="8" t="s">
        <v>60</v>
      </c>
      <c r="H34" s="8">
        <v>3</v>
      </c>
      <c r="I34" s="19">
        <v>0</v>
      </c>
      <c r="J34" s="8">
        <v>10</v>
      </c>
      <c r="K34" s="8" t="s">
        <v>172</v>
      </c>
      <c r="L34" s="8">
        <v>1</v>
      </c>
      <c r="M34" s="8">
        <v>1</v>
      </c>
      <c r="N34" s="10" t="s">
        <v>21</v>
      </c>
      <c r="O34" s="17" t="s">
        <v>328</v>
      </c>
      <c r="P34" s="10" t="str">
        <f t="shared" si="2"/>
        <v>NCC-NorESM1-M_Scaled_3_Cluster10_repl1.sqlite</v>
      </c>
      <c r="Q34" s="11">
        <f t="shared" si="3"/>
        <v>3</v>
      </c>
      <c r="R34" s="16" t="str">
        <f t="shared" si="4"/>
        <v>climate_db_NCC-NorESM1-M_historical_v4.sqlite</v>
      </c>
      <c r="S34" s="16" t="str">
        <f t="shared" si="5"/>
        <v>log/NCC-NorESM1-M_Scaled_3_Cluster10_repl1.txt</v>
      </c>
      <c r="T34" s="16" t="str">
        <f t="shared" si="6"/>
        <v>init/env_file_CLUSTER10_REPL1_NCC-NorESM1-M_historical.csv</v>
      </c>
      <c r="U34" s="16" t="str">
        <f t="shared" si="7"/>
        <v>init/env_grid_CLUSTER10_REPL1.asc</v>
      </c>
      <c r="V34" s="16" t="str">
        <f t="shared" si="8"/>
        <v>init/env_grid_CLUSTER10_REPL1.asc</v>
      </c>
      <c r="W34" s="16" t="str">
        <f t="shared" si="9"/>
        <v>trees_CLUSTER10.csv</v>
      </c>
      <c r="X34" s="16" t="str">
        <f t="shared" si="10"/>
        <v>saplings_CLUSTER10.csv</v>
      </c>
      <c r="Y34" s="16">
        <f t="shared" si="11"/>
        <v>350</v>
      </c>
      <c r="Z34" s="16" t="str">
        <f t="shared" si="12"/>
        <v>abe/no_mgmt.csv</v>
      </c>
      <c r="AA34" s="16" t="str">
        <f t="shared" si="13"/>
        <v>gis/WindModifier_cl10.asc</v>
      </c>
      <c r="AB34" s="16">
        <f t="shared" si="17"/>
        <v>0</v>
      </c>
      <c r="AC34" s="16" t="str">
        <f t="shared" si="22"/>
        <v>NCC-NorESM1-M_historical_point37861</v>
      </c>
      <c r="AD34" s="16" t="str">
        <f t="shared" si="23"/>
        <v>wind_Events/Scaled_cl10_repl1.txt</v>
      </c>
      <c r="AE34" s="16" t="str">
        <f t="shared" si="24"/>
        <v>NCC-NorESM1-M_Scaled_3_Cluster10_repl1</v>
      </c>
      <c r="AF34" s="16" t="s">
        <v>326</v>
      </c>
      <c r="AG34" s="16" t="s">
        <v>327</v>
      </c>
    </row>
    <row r="35" spans="1:33" ht="13.8" hidden="1">
      <c r="A35" s="7" t="str">
        <f t="shared" si="25"/>
        <v>ICHEC-EC-EARTH_Scaled_3_Cluster10_repl2</v>
      </c>
      <c r="B35" s="8" t="s">
        <v>16</v>
      </c>
      <c r="C35" s="8" t="s">
        <v>54</v>
      </c>
      <c r="D35" s="9" t="s">
        <v>17</v>
      </c>
      <c r="E35" s="9" t="str">
        <f t="shared" si="1"/>
        <v>historical</v>
      </c>
      <c r="F35" s="8">
        <v>350</v>
      </c>
      <c r="G35" s="8" t="s">
        <v>18</v>
      </c>
      <c r="H35" s="8">
        <v>1</v>
      </c>
      <c r="I35" s="19">
        <v>0</v>
      </c>
      <c r="J35" s="8">
        <v>10</v>
      </c>
      <c r="K35" s="8" t="s">
        <v>164</v>
      </c>
      <c r="L35" s="8">
        <v>2</v>
      </c>
      <c r="M35" s="8">
        <v>1</v>
      </c>
      <c r="N35" s="10" t="s">
        <v>21</v>
      </c>
      <c r="O35" s="17" t="s">
        <v>328</v>
      </c>
      <c r="P35" s="10" t="str">
        <f t="shared" si="2"/>
        <v>ICHEC-EC-EARTH_Scaled_3_Cluster10_repl2.sqlite</v>
      </c>
      <c r="Q35" s="11">
        <f t="shared" si="3"/>
        <v>4</v>
      </c>
      <c r="R35" s="16" t="str">
        <f t="shared" si="4"/>
        <v>climate_db_ICHEC-EC-EARTH_historical_v4.sqlite</v>
      </c>
      <c r="S35" s="16" t="str">
        <f t="shared" si="5"/>
        <v>log/ICHEC-EC-EARTH_Scaled_3_Cluster10_repl2.txt</v>
      </c>
      <c r="T35" s="16" t="str">
        <f t="shared" si="6"/>
        <v>init/env_file_CLUSTER10_REPL2_ICHEC-EC-EARTH_historical.csv</v>
      </c>
      <c r="U35" s="16" t="str">
        <f t="shared" si="7"/>
        <v>init/env_grid_CLUSTER10_REPL2.asc</v>
      </c>
      <c r="V35" s="16" t="str">
        <f t="shared" si="8"/>
        <v>init/env_grid_CLUSTER10_REPL2.asc</v>
      </c>
      <c r="W35" s="16" t="str">
        <f t="shared" si="9"/>
        <v>trees_CLUSTER10.csv</v>
      </c>
      <c r="X35" s="16" t="str">
        <f t="shared" si="10"/>
        <v>saplings_CLUSTER10.csv</v>
      </c>
      <c r="Y35" s="16">
        <f t="shared" si="11"/>
        <v>350</v>
      </c>
      <c r="Z35" s="16" t="str">
        <f t="shared" si="12"/>
        <v>abe/no_mgmt.csv</v>
      </c>
      <c r="AA35" s="16" t="str">
        <f t="shared" si="13"/>
        <v>gis/WindModifier_cl10.asc</v>
      </c>
      <c r="AB35" s="16">
        <f t="shared" si="17"/>
        <v>0</v>
      </c>
      <c r="AC35" s="16" t="str">
        <f t="shared" si="22"/>
        <v>ICHEC-EC-EARTH_historical_point38183</v>
      </c>
      <c r="AD35" s="16" t="str">
        <f t="shared" si="23"/>
        <v>wind_Events/Scaled_cl10_repl2.txt</v>
      </c>
      <c r="AE35" s="16" t="str">
        <f t="shared" si="24"/>
        <v>ICHEC-EC-EARTH_Scaled_3_Cluster10_repl2</v>
      </c>
      <c r="AF35" s="16" t="s">
        <v>256</v>
      </c>
      <c r="AG35" s="16" t="s">
        <v>257</v>
      </c>
    </row>
    <row r="36" spans="1:33" ht="13.8" hidden="1">
      <c r="A36" s="7" t="str">
        <f t="shared" si="25"/>
        <v>MPI-M-MPI-ESM-LR_Scaled_3_Cluster10_repl2</v>
      </c>
      <c r="B36" s="8" t="s">
        <v>16</v>
      </c>
      <c r="C36" s="8" t="s">
        <v>54</v>
      </c>
      <c r="D36" s="9" t="s">
        <v>17</v>
      </c>
      <c r="E36" s="9" t="str">
        <f t="shared" si="1"/>
        <v>historical</v>
      </c>
      <c r="F36" s="8">
        <v>350</v>
      </c>
      <c r="G36" s="8" t="s">
        <v>63</v>
      </c>
      <c r="H36" s="8">
        <v>2</v>
      </c>
      <c r="I36" s="19">
        <v>0</v>
      </c>
      <c r="J36" s="8">
        <v>10</v>
      </c>
      <c r="K36" s="8" t="s">
        <v>172</v>
      </c>
      <c r="L36" s="8">
        <v>2</v>
      </c>
      <c r="M36" s="8">
        <v>1</v>
      </c>
      <c r="N36" s="10" t="s">
        <v>21</v>
      </c>
      <c r="O36" s="17" t="s">
        <v>328</v>
      </c>
      <c r="P36" s="10" t="str">
        <f t="shared" si="2"/>
        <v>MPI-M-MPI-ESM-LR_Scaled_3_Cluster10_repl2.sqlite</v>
      </c>
      <c r="Q36" s="11">
        <f t="shared" si="3"/>
        <v>5</v>
      </c>
      <c r="R36" s="16" t="str">
        <f t="shared" si="4"/>
        <v>climate_db_MPI-M-MPI-ESM-LR_historical_v4.sqlite</v>
      </c>
      <c r="S36" s="16" t="str">
        <f t="shared" si="5"/>
        <v>log/MPI-M-MPI-ESM-LR_Scaled_3_Cluster10_repl2.txt</v>
      </c>
      <c r="T36" s="16" t="str">
        <f t="shared" si="6"/>
        <v>init/env_file_CLUSTER10_REPL2_MPI-M-MPI-ESM-LR_historical.csv</v>
      </c>
      <c r="U36" s="16" t="str">
        <f t="shared" si="7"/>
        <v>init/env_grid_CLUSTER10_REPL2.asc</v>
      </c>
      <c r="V36" s="16" t="str">
        <f t="shared" si="8"/>
        <v>init/env_grid_CLUSTER10_REPL2.asc</v>
      </c>
      <c r="W36" s="16" t="str">
        <f t="shared" si="9"/>
        <v>trees_CLUSTER10.csv</v>
      </c>
      <c r="X36" s="16" t="str">
        <f t="shared" si="10"/>
        <v>saplings_CLUSTER10.csv</v>
      </c>
      <c r="Y36" s="16">
        <f t="shared" si="11"/>
        <v>350</v>
      </c>
      <c r="Z36" s="16" t="str">
        <f t="shared" si="12"/>
        <v>abe/no_mgmt.csv</v>
      </c>
      <c r="AA36" s="16" t="str">
        <f t="shared" si="13"/>
        <v>gis/WindModifier_cl10.asc</v>
      </c>
      <c r="AB36" s="16">
        <f t="shared" si="17"/>
        <v>0</v>
      </c>
      <c r="AC36" s="16" t="str">
        <f t="shared" si="22"/>
        <v>MPI-M-MPI-ESM-LR_historical_point37861</v>
      </c>
      <c r="AD36" s="16" t="str">
        <f t="shared" si="23"/>
        <v>wind_Events/Scaled_cl10_repl2.txt</v>
      </c>
      <c r="AE36" s="16" t="str">
        <f t="shared" si="24"/>
        <v>MPI-M-MPI-ESM-LR_Scaled_3_Cluster10_repl2</v>
      </c>
      <c r="AF36" s="16" t="s">
        <v>258</v>
      </c>
      <c r="AG36" s="16" t="s">
        <v>259</v>
      </c>
    </row>
    <row r="37" spans="1:33" ht="13.8" hidden="1">
      <c r="A37" s="7" t="str">
        <f t="shared" si="25"/>
        <v>NCC-NorESM1-M_Scaled_3_Cluster10_repl2</v>
      </c>
      <c r="B37" s="8" t="s">
        <v>16</v>
      </c>
      <c r="C37" s="8" t="s">
        <v>54</v>
      </c>
      <c r="D37" s="9" t="s">
        <v>17</v>
      </c>
      <c r="E37" s="9" t="str">
        <f t="shared" si="1"/>
        <v>historical</v>
      </c>
      <c r="F37" s="8">
        <v>350</v>
      </c>
      <c r="G37" s="8" t="s">
        <v>60</v>
      </c>
      <c r="H37" s="8">
        <v>3</v>
      </c>
      <c r="I37" s="19">
        <v>0</v>
      </c>
      <c r="J37" s="8">
        <v>10</v>
      </c>
      <c r="K37" s="8" t="s">
        <v>172</v>
      </c>
      <c r="L37" s="8">
        <v>2</v>
      </c>
      <c r="M37" s="8">
        <v>1</v>
      </c>
      <c r="N37" s="10" t="s">
        <v>21</v>
      </c>
      <c r="O37" s="17" t="s">
        <v>328</v>
      </c>
      <c r="P37" s="10" t="str">
        <f t="shared" si="2"/>
        <v>NCC-NorESM1-M_Scaled_3_Cluster10_repl2.sqlite</v>
      </c>
      <c r="Q37" s="11">
        <f t="shared" si="3"/>
        <v>6</v>
      </c>
      <c r="R37" s="16" t="str">
        <f t="shared" si="4"/>
        <v>climate_db_NCC-NorESM1-M_historical_v4.sqlite</v>
      </c>
      <c r="S37" s="16" t="str">
        <f t="shared" si="5"/>
        <v>log/NCC-NorESM1-M_Scaled_3_Cluster10_repl2.txt</v>
      </c>
      <c r="T37" s="16" t="str">
        <f t="shared" si="6"/>
        <v>init/env_file_CLUSTER10_REPL2_NCC-NorESM1-M_historical.csv</v>
      </c>
      <c r="U37" s="16" t="str">
        <f t="shared" si="7"/>
        <v>init/env_grid_CLUSTER10_REPL2.asc</v>
      </c>
      <c r="V37" s="16" t="str">
        <f t="shared" si="8"/>
        <v>init/env_grid_CLUSTER10_REPL2.asc</v>
      </c>
      <c r="W37" s="16" t="str">
        <f t="shared" si="9"/>
        <v>trees_CLUSTER10.csv</v>
      </c>
      <c r="X37" s="16" t="str">
        <f t="shared" si="10"/>
        <v>saplings_CLUSTER10.csv</v>
      </c>
      <c r="Y37" s="16">
        <f t="shared" si="11"/>
        <v>350</v>
      </c>
      <c r="Z37" s="16" t="str">
        <f t="shared" si="12"/>
        <v>abe/no_mgmt.csv</v>
      </c>
      <c r="AA37" s="16" t="str">
        <f t="shared" si="13"/>
        <v>gis/WindModifier_cl10.asc</v>
      </c>
      <c r="AB37" s="16">
        <f t="shared" si="17"/>
        <v>0</v>
      </c>
      <c r="AC37" s="16" t="str">
        <f t="shared" si="22"/>
        <v>NCC-NorESM1-M_historical_point37861</v>
      </c>
      <c r="AD37" s="16" t="str">
        <f t="shared" si="23"/>
        <v>wind_Events/Scaled_cl10_repl2.txt</v>
      </c>
      <c r="AE37" s="16" t="str">
        <f t="shared" si="24"/>
        <v>NCC-NorESM1-M_Scaled_3_Cluster10_repl2</v>
      </c>
      <c r="AF37" s="16" t="s">
        <v>260</v>
      </c>
      <c r="AG37" s="16" t="s">
        <v>261</v>
      </c>
    </row>
    <row r="38" spans="1:33" ht="13.8" hidden="1">
      <c r="A38" s="7" t="str">
        <f t="shared" si="25"/>
        <v>ICHEC-EC-EARTH_Scaled_3_Cluster10_repl3</v>
      </c>
      <c r="B38" s="8" t="s">
        <v>16</v>
      </c>
      <c r="C38" s="8" t="s">
        <v>54</v>
      </c>
      <c r="D38" s="9" t="s">
        <v>17</v>
      </c>
      <c r="E38" s="9" t="str">
        <f t="shared" si="1"/>
        <v>historical</v>
      </c>
      <c r="F38" s="8">
        <v>350</v>
      </c>
      <c r="G38" s="8" t="s">
        <v>18</v>
      </c>
      <c r="H38" s="8">
        <v>1</v>
      </c>
      <c r="I38" s="19">
        <v>0</v>
      </c>
      <c r="J38" s="8">
        <v>10</v>
      </c>
      <c r="K38" s="8" t="s">
        <v>164</v>
      </c>
      <c r="L38" s="8">
        <v>3</v>
      </c>
      <c r="M38" s="8">
        <v>1</v>
      </c>
      <c r="N38" s="10" t="s">
        <v>21</v>
      </c>
      <c r="O38" s="17" t="s">
        <v>328</v>
      </c>
      <c r="P38" s="10" t="str">
        <f t="shared" si="2"/>
        <v>ICHEC-EC-EARTH_Scaled_3_Cluster10_repl3.sqlite</v>
      </c>
      <c r="Q38" s="11">
        <f t="shared" si="3"/>
        <v>7</v>
      </c>
      <c r="R38" s="16" t="str">
        <f t="shared" si="4"/>
        <v>climate_db_ICHEC-EC-EARTH_historical_v4.sqlite</v>
      </c>
      <c r="S38" s="16" t="str">
        <f t="shared" si="5"/>
        <v>log/ICHEC-EC-EARTH_Scaled_3_Cluster10_repl3.txt</v>
      </c>
      <c r="T38" s="16" t="str">
        <f t="shared" si="6"/>
        <v>init/env_file_CLUSTER10_REPL3_ICHEC-EC-EARTH_historical.csv</v>
      </c>
      <c r="U38" s="16" t="str">
        <f t="shared" si="7"/>
        <v>init/env_grid_CLUSTER10_REPL3.asc</v>
      </c>
      <c r="V38" s="16" t="str">
        <f t="shared" si="8"/>
        <v>init/env_grid_CLUSTER10_REPL3.asc</v>
      </c>
      <c r="W38" s="16" t="str">
        <f t="shared" si="9"/>
        <v>trees_CLUSTER10.csv</v>
      </c>
      <c r="X38" s="16" t="str">
        <f t="shared" si="10"/>
        <v>saplings_CLUSTER10.csv</v>
      </c>
      <c r="Y38" s="16">
        <f t="shared" si="11"/>
        <v>350</v>
      </c>
      <c r="Z38" s="16" t="str">
        <f t="shared" si="12"/>
        <v>abe/no_mgmt.csv</v>
      </c>
      <c r="AA38" s="16" t="str">
        <f t="shared" si="13"/>
        <v>gis/WindModifier_cl10.asc</v>
      </c>
      <c r="AB38" s="16">
        <f t="shared" si="17"/>
        <v>0</v>
      </c>
      <c r="AC38" s="16" t="str">
        <f t="shared" si="22"/>
        <v>ICHEC-EC-EARTH_historical_point38183</v>
      </c>
      <c r="AD38" s="16" t="str">
        <f t="shared" si="23"/>
        <v>wind_Events/Scaled_cl10_repl3.txt</v>
      </c>
      <c r="AE38" s="16" t="str">
        <f t="shared" si="24"/>
        <v>ICHEC-EC-EARTH_Scaled_3_Cluster10_repl3</v>
      </c>
      <c r="AF38" s="16" t="s">
        <v>262</v>
      </c>
      <c r="AG38" s="20" t="s">
        <v>331</v>
      </c>
    </row>
    <row r="39" spans="1:33" ht="13.8" hidden="1">
      <c r="A39" s="7" t="str">
        <f t="shared" si="25"/>
        <v>MPI-M-MPI-ESM-LR_Scaled_3_Cluster10_repl3</v>
      </c>
      <c r="B39" s="8" t="s">
        <v>16</v>
      </c>
      <c r="C39" s="8" t="s">
        <v>54</v>
      </c>
      <c r="D39" s="9" t="s">
        <v>17</v>
      </c>
      <c r="E39" s="9" t="str">
        <f t="shared" si="1"/>
        <v>historical</v>
      </c>
      <c r="F39" s="8">
        <v>350</v>
      </c>
      <c r="G39" s="8" t="s">
        <v>63</v>
      </c>
      <c r="H39" s="8">
        <v>2</v>
      </c>
      <c r="I39" s="19">
        <v>0</v>
      </c>
      <c r="J39" s="8">
        <v>10</v>
      </c>
      <c r="K39" s="8" t="s">
        <v>172</v>
      </c>
      <c r="L39" s="8">
        <v>3</v>
      </c>
      <c r="M39" s="8">
        <v>1</v>
      </c>
      <c r="N39" s="10" t="s">
        <v>21</v>
      </c>
      <c r="O39" s="17" t="s">
        <v>328</v>
      </c>
      <c r="P39" s="10" t="str">
        <f t="shared" si="2"/>
        <v>MPI-M-MPI-ESM-LR_Scaled_3_Cluster10_repl3.sqlite</v>
      </c>
      <c r="Q39" s="11">
        <f t="shared" si="3"/>
        <v>8</v>
      </c>
      <c r="R39" s="16" t="str">
        <f t="shared" si="4"/>
        <v>climate_db_MPI-M-MPI-ESM-LR_historical_v4.sqlite</v>
      </c>
      <c r="S39" s="16" t="str">
        <f t="shared" si="5"/>
        <v>log/MPI-M-MPI-ESM-LR_Scaled_3_Cluster10_repl3.txt</v>
      </c>
      <c r="T39" s="16" t="str">
        <f t="shared" si="6"/>
        <v>init/env_file_CLUSTER10_REPL3_MPI-M-MPI-ESM-LR_historical.csv</v>
      </c>
      <c r="U39" s="16" t="str">
        <f t="shared" si="7"/>
        <v>init/env_grid_CLUSTER10_REPL3.asc</v>
      </c>
      <c r="V39" s="16" t="str">
        <f t="shared" si="8"/>
        <v>init/env_grid_CLUSTER10_REPL3.asc</v>
      </c>
      <c r="W39" s="16" t="str">
        <f t="shared" si="9"/>
        <v>trees_CLUSTER10.csv</v>
      </c>
      <c r="X39" s="16" t="str">
        <f t="shared" si="10"/>
        <v>saplings_CLUSTER10.csv</v>
      </c>
      <c r="Y39" s="16">
        <f t="shared" si="11"/>
        <v>350</v>
      </c>
      <c r="Z39" s="16" t="str">
        <f t="shared" si="12"/>
        <v>abe/no_mgmt.csv</v>
      </c>
      <c r="AA39" s="16" t="str">
        <f t="shared" si="13"/>
        <v>gis/WindModifier_cl10.asc</v>
      </c>
      <c r="AB39" s="16">
        <f t="shared" si="17"/>
        <v>0</v>
      </c>
      <c r="AC39" s="16" t="str">
        <f t="shared" si="22"/>
        <v>MPI-M-MPI-ESM-LR_historical_point37861</v>
      </c>
      <c r="AD39" s="16" t="str">
        <f t="shared" si="23"/>
        <v>wind_Events/Scaled_cl10_repl3.txt</v>
      </c>
      <c r="AE39" s="16" t="str">
        <f t="shared" si="24"/>
        <v>MPI-M-MPI-ESM-LR_Scaled_3_Cluster10_repl3</v>
      </c>
      <c r="AF39" s="16" t="s">
        <v>264</v>
      </c>
      <c r="AG39" s="16" t="s">
        <v>265</v>
      </c>
    </row>
    <row r="40" spans="1:33" ht="13.8" hidden="1">
      <c r="A40" s="7" t="str">
        <f t="shared" si="25"/>
        <v>NCC-NorESM1-M_Scaled_3_Cluster10_repl3</v>
      </c>
      <c r="B40" s="8" t="s">
        <v>16</v>
      </c>
      <c r="C40" s="8" t="s">
        <v>54</v>
      </c>
      <c r="D40" s="9" t="s">
        <v>17</v>
      </c>
      <c r="E40" s="9" t="str">
        <f t="shared" si="1"/>
        <v>historical</v>
      </c>
      <c r="F40" s="8">
        <v>350</v>
      </c>
      <c r="G40" s="8" t="s">
        <v>60</v>
      </c>
      <c r="H40" s="8">
        <v>3</v>
      </c>
      <c r="I40" s="19">
        <v>0</v>
      </c>
      <c r="J40" s="8">
        <v>10</v>
      </c>
      <c r="K40" s="8" t="s">
        <v>172</v>
      </c>
      <c r="L40" s="8">
        <v>3</v>
      </c>
      <c r="M40" s="8">
        <v>1</v>
      </c>
      <c r="N40" s="10" t="s">
        <v>21</v>
      </c>
      <c r="O40" s="17" t="s">
        <v>328</v>
      </c>
      <c r="P40" s="10" t="str">
        <f t="shared" si="2"/>
        <v>NCC-NorESM1-M_Scaled_3_Cluster10_repl3.sqlite</v>
      </c>
      <c r="Q40" s="11">
        <f t="shared" si="3"/>
        <v>9</v>
      </c>
      <c r="R40" s="16" t="str">
        <f t="shared" si="4"/>
        <v>climate_db_NCC-NorESM1-M_historical_v4.sqlite</v>
      </c>
      <c r="S40" s="16" t="str">
        <f t="shared" si="5"/>
        <v>log/NCC-NorESM1-M_Scaled_3_Cluster10_repl3.txt</v>
      </c>
      <c r="T40" s="16" t="str">
        <f t="shared" si="6"/>
        <v>init/env_file_CLUSTER10_REPL3_NCC-NorESM1-M_historical.csv</v>
      </c>
      <c r="U40" s="16" t="str">
        <f t="shared" si="7"/>
        <v>init/env_grid_CLUSTER10_REPL3.asc</v>
      </c>
      <c r="V40" s="16" t="str">
        <f t="shared" si="8"/>
        <v>init/env_grid_CLUSTER10_REPL3.asc</v>
      </c>
      <c r="W40" s="16" t="str">
        <f t="shared" si="9"/>
        <v>trees_CLUSTER10.csv</v>
      </c>
      <c r="X40" s="16" t="str">
        <f t="shared" si="10"/>
        <v>saplings_CLUSTER10.csv</v>
      </c>
      <c r="Y40" s="16">
        <f t="shared" si="11"/>
        <v>350</v>
      </c>
      <c r="Z40" s="16" t="str">
        <f t="shared" si="12"/>
        <v>abe/no_mgmt.csv</v>
      </c>
      <c r="AA40" s="16" t="str">
        <f t="shared" si="13"/>
        <v>gis/WindModifier_cl10.asc</v>
      </c>
      <c r="AB40" s="16">
        <f t="shared" si="17"/>
        <v>0</v>
      </c>
      <c r="AC40" s="16" t="str">
        <f t="shared" si="22"/>
        <v>NCC-NorESM1-M_historical_point37861</v>
      </c>
      <c r="AD40" s="16" t="str">
        <f t="shared" si="23"/>
        <v>wind_Events/Scaled_cl10_repl3.txt</v>
      </c>
      <c r="AE40" s="16" t="str">
        <f t="shared" si="24"/>
        <v>NCC-NorESM1-M_Scaled_3_Cluster10_repl3</v>
      </c>
      <c r="AF40" s="16" t="s">
        <v>266</v>
      </c>
      <c r="AG40" s="16" t="s">
        <v>267</v>
      </c>
    </row>
    <row r="41" spans="1:33" ht="13.8" hidden="1">
      <c r="A41" s="7" t="str">
        <f t="shared" si="25"/>
        <v>ICHEC-EC-EARTH_Scaled_3_Cluster10_repl4</v>
      </c>
      <c r="B41" s="8" t="s">
        <v>16</v>
      </c>
      <c r="C41" s="8" t="s">
        <v>54</v>
      </c>
      <c r="D41" s="9" t="s">
        <v>17</v>
      </c>
      <c r="E41" s="9" t="str">
        <f t="shared" si="1"/>
        <v>historical</v>
      </c>
      <c r="F41" s="8">
        <v>350</v>
      </c>
      <c r="G41" s="8" t="s">
        <v>18</v>
      </c>
      <c r="H41" s="8">
        <v>1</v>
      </c>
      <c r="I41" s="19">
        <v>0</v>
      </c>
      <c r="J41" s="8">
        <v>10</v>
      </c>
      <c r="K41" s="8" t="s">
        <v>164</v>
      </c>
      <c r="L41" s="8">
        <v>4</v>
      </c>
      <c r="M41" s="8">
        <v>1</v>
      </c>
      <c r="N41" s="10" t="s">
        <v>21</v>
      </c>
      <c r="O41" s="17" t="s">
        <v>328</v>
      </c>
      <c r="P41" s="10" t="str">
        <f t="shared" si="2"/>
        <v>ICHEC-EC-EARTH_Scaled_3_Cluster10_repl4.sqlite</v>
      </c>
      <c r="Q41" s="11">
        <f t="shared" si="3"/>
        <v>10</v>
      </c>
      <c r="R41" s="16" t="str">
        <f t="shared" si="4"/>
        <v>climate_db_ICHEC-EC-EARTH_historical_v4.sqlite</v>
      </c>
      <c r="S41" s="16" t="str">
        <f t="shared" si="5"/>
        <v>log/ICHEC-EC-EARTH_Scaled_3_Cluster10_repl4.txt</v>
      </c>
      <c r="T41" s="16" t="str">
        <f t="shared" si="6"/>
        <v>init/env_file_CLUSTER10_REPL4_ICHEC-EC-EARTH_historical.csv</v>
      </c>
      <c r="U41" s="16" t="str">
        <f t="shared" si="7"/>
        <v>init/env_grid_CLUSTER10_REPL4.asc</v>
      </c>
      <c r="V41" s="16" t="str">
        <f t="shared" si="8"/>
        <v>init/env_grid_CLUSTER10_REPL4.asc</v>
      </c>
      <c r="W41" s="16" t="str">
        <f t="shared" si="9"/>
        <v>trees_CLUSTER10.csv</v>
      </c>
      <c r="X41" s="16" t="str">
        <f t="shared" si="10"/>
        <v>saplings_CLUSTER10.csv</v>
      </c>
      <c r="Y41" s="16">
        <f t="shared" si="11"/>
        <v>350</v>
      </c>
      <c r="Z41" s="16" t="str">
        <f t="shared" si="12"/>
        <v>abe/no_mgmt.csv</v>
      </c>
      <c r="AA41" s="16" t="str">
        <f t="shared" si="13"/>
        <v>gis/WindModifier_cl10.asc</v>
      </c>
      <c r="AB41" s="16">
        <f t="shared" si="17"/>
        <v>0</v>
      </c>
      <c r="AC41" s="16" t="str">
        <f t="shared" si="22"/>
        <v>ICHEC-EC-EARTH_historical_point38183</v>
      </c>
      <c r="AD41" s="16" t="str">
        <f t="shared" si="23"/>
        <v>wind_Events/Scaled_cl10_repl4.txt</v>
      </c>
      <c r="AE41" s="16" t="str">
        <f t="shared" si="24"/>
        <v>ICHEC-EC-EARTH_Scaled_3_Cluster10_repl4</v>
      </c>
      <c r="AF41" s="16" t="s">
        <v>268</v>
      </c>
      <c r="AG41" s="16" t="s">
        <v>269</v>
      </c>
    </row>
    <row r="42" spans="1:33" ht="13.8" hidden="1">
      <c r="A42" s="7" t="str">
        <f t="shared" si="25"/>
        <v>MPI-M-MPI-ESM-LR_Scaled_3_Cluster10_repl4</v>
      </c>
      <c r="B42" s="8" t="s">
        <v>16</v>
      </c>
      <c r="C42" s="8" t="s">
        <v>54</v>
      </c>
      <c r="D42" s="9" t="s">
        <v>17</v>
      </c>
      <c r="E42" s="9" t="str">
        <f t="shared" si="1"/>
        <v>historical</v>
      </c>
      <c r="F42" s="8">
        <v>350</v>
      </c>
      <c r="G42" s="8" t="s">
        <v>63</v>
      </c>
      <c r="H42" s="8">
        <v>2</v>
      </c>
      <c r="I42" s="19">
        <v>0</v>
      </c>
      <c r="J42" s="8">
        <v>10</v>
      </c>
      <c r="K42" s="8" t="s">
        <v>172</v>
      </c>
      <c r="L42" s="8">
        <v>4</v>
      </c>
      <c r="M42" s="8">
        <v>1</v>
      </c>
      <c r="N42" s="10" t="s">
        <v>21</v>
      </c>
      <c r="O42" s="17" t="s">
        <v>328</v>
      </c>
      <c r="P42" s="10" t="str">
        <f t="shared" si="2"/>
        <v>MPI-M-MPI-ESM-LR_Scaled_3_Cluster10_repl4.sqlite</v>
      </c>
      <c r="Q42" s="11">
        <f t="shared" si="3"/>
        <v>11</v>
      </c>
      <c r="R42" s="16" t="str">
        <f t="shared" si="4"/>
        <v>climate_db_MPI-M-MPI-ESM-LR_historical_v4.sqlite</v>
      </c>
      <c r="S42" s="16" t="str">
        <f t="shared" si="5"/>
        <v>log/MPI-M-MPI-ESM-LR_Scaled_3_Cluster10_repl4.txt</v>
      </c>
      <c r="T42" s="16" t="str">
        <f t="shared" si="6"/>
        <v>init/env_file_CLUSTER10_REPL4_MPI-M-MPI-ESM-LR_historical.csv</v>
      </c>
      <c r="U42" s="16" t="str">
        <f t="shared" si="7"/>
        <v>init/env_grid_CLUSTER10_REPL4.asc</v>
      </c>
      <c r="V42" s="16" t="str">
        <f t="shared" si="8"/>
        <v>init/env_grid_CLUSTER10_REPL4.asc</v>
      </c>
      <c r="W42" s="16" t="str">
        <f t="shared" si="9"/>
        <v>trees_CLUSTER10.csv</v>
      </c>
      <c r="X42" s="16" t="str">
        <f t="shared" si="10"/>
        <v>saplings_CLUSTER10.csv</v>
      </c>
      <c r="Y42" s="16">
        <f t="shared" si="11"/>
        <v>350</v>
      </c>
      <c r="Z42" s="16" t="str">
        <f t="shared" si="12"/>
        <v>abe/no_mgmt.csv</v>
      </c>
      <c r="AA42" s="16" t="str">
        <f t="shared" si="13"/>
        <v>gis/WindModifier_cl10.asc</v>
      </c>
      <c r="AB42" s="16">
        <f t="shared" si="17"/>
        <v>0</v>
      </c>
      <c r="AC42" s="16" t="str">
        <f t="shared" si="22"/>
        <v>MPI-M-MPI-ESM-LR_historical_point37861</v>
      </c>
      <c r="AD42" s="16" t="str">
        <f t="shared" si="23"/>
        <v>wind_Events/Scaled_cl10_repl4.txt</v>
      </c>
      <c r="AE42" s="16" t="str">
        <f t="shared" si="24"/>
        <v>MPI-M-MPI-ESM-LR_Scaled_3_Cluster10_repl4</v>
      </c>
      <c r="AF42" s="16" t="s">
        <v>270</v>
      </c>
      <c r="AG42" s="16" t="s">
        <v>271</v>
      </c>
    </row>
    <row r="43" spans="1:33" ht="13.8" hidden="1">
      <c r="A43" s="7" t="str">
        <f t="shared" si="25"/>
        <v>NCC-NorESM1-M_Scaled_3_Cluster10_repl4</v>
      </c>
      <c r="B43" s="8" t="s">
        <v>16</v>
      </c>
      <c r="C43" s="8" t="s">
        <v>54</v>
      </c>
      <c r="D43" s="9" t="s">
        <v>17</v>
      </c>
      <c r="E43" s="9" t="str">
        <f t="shared" si="1"/>
        <v>historical</v>
      </c>
      <c r="F43" s="8">
        <v>350</v>
      </c>
      <c r="G43" s="8" t="s">
        <v>60</v>
      </c>
      <c r="H43" s="8">
        <v>3</v>
      </c>
      <c r="I43" s="19">
        <v>0</v>
      </c>
      <c r="J43" s="8">
        <v>10</v>
      </c>
      <c r="K43" s="8" t="s">
        <v>172</v>
      </c>
      <c r="L43" s="8">
        <v>4</v>
      </c>
      <c r="M43" s="8">
        <v>1</v>
      </c>
      <c r="N43" s="10" t="s">
        <v>21</v>
      </c>
      <c r="O43" s="17" t="s">
        <v>328</v>
      </c>
      <c r="P43" s="10" t="str">
        <f t="shared" si="2"/>
        <v>NCC-NorESM1-M_Scaled_3_Cluster10_repl4.sqlite</v>
      </c>
      <c r="Q43" s="11">
        <f t="shared" si="3"/>
        <v>12</v>
      </c>
      <c r="R43" s="16" t="str">
        <f t="shared" si="4"/>
        <v>climate_db_NCC-NorESM1-M_historical_v4.sqlite</v>
      </c>
      <c r="S43" s="16" t="str">
        <f t="shared" si="5"/>
        <v>log/NCC-NorESM1-M_Scaled_3_Cluster10_repl4.txt</v>
      </c>
      <c r="T43" s="16" t="str">
        <f t="shared" si="6"/>
        <v>init/env_file_CLUSTER10_REPL4_NCC-NorESM1-M_historical.csv</v>
      </c>
      <c r="U43" s="16" t="str">
        <f t="shared" si="7"/>
        <v>init/env_grid_CLUSTER10_REPL4.asc</v>
      </c>
      <c r="V43" s="16" t="str">
        <f t="shared" si="8"/>
        <v>init/env_grid_CLUSTER10_REPL4.asc</v>
      </c>
      <c r="W43" s="16" t="str">
        <f t="shared" si="9"/>
        <v>trees_CLUSTER10.csv</v>
      </c>
      <c r="X43" s="16" t="str">
        <f t="shared" si="10"/>
        <v>saplings_CLUSTER10.csv</v>
      </c>
      <c r="Y43" s="16">
        <f t="shared" si="11"/>
        <v>350</v>
      </c>
      <c r="Z43" s="16" t="str">
        <f t="shared" si="12"/>
        <v>abe/no_mgmt.csv</v>
      </c>
      <c r="AA43" s="16" t="str">
        <f t="shared" si="13"/>
        <v>gis/WindModifier_cl10.asc</v>
      </c>
      <c r="AB43" s="16">
        <f t="shared" si="17"/>
        <v>0</v>
      </c>
      <c r="AC43" s="16" t="str">
        <f t="shared" si="22"/>
        <v>NCC-NorESM1-M_historical_point37861</v>
      </c>
      <c r="AD43" s="16" t="str">
        <f t="shared" si="23"/>
        <v>wind_Events/Scaled_cl10_repl4.txt</v>
      </c>
      <c r="AE43" s="16" t="str">
        <f t="shared" si="24"/>
        <v>NCC-NorESM1-M_Scaled_3_Cluster10_repl4</v>
      </c>
      <c r="AF43" s="16" t="s">
        <v>272</v>
      </c>
      <c r="AG43" s="16" t="s">
        <v>273</v>
      </c>
    </row>
    <row r="44" spans="1:33" ht="13.8" hidden="1">
      <c r="A44" s="7" t="str">
        <f t="shared" si="25"/>
        <v>ICHEC-EC-EARTH_Scaled_3_Cluster10_repl5</v>
      </c>
      <c r="B44" s="8" t="s">
        <v>16</v>
      </c>
      <c r="C44" s="8" t="s">
        <v>54</v>
      </c>
      <c r="D44" s="9" t="s">
        <v>17</v>
      </c>
      <c r="E44" s="9" t="str">
        <f t="shared" si="1"/>
        <v>historical</v>
      </c>
      <c r="F44" s="8">
        <v>350</v>
      </c>
      <c r="G44" s="8" t="s">
        <v>18</v>
      </c>
      <c r="H44" s="8">
        <v>1</v>
      </c>
      <c r="I44" s="19">
        <v>0</v>
      </c>
      <c r="J44" s="8">
        <v>10</v>
      </c>
      <c r="K44" s="8" t="s">
        <v>164</v>
      </c>
      <c r="L44" s="8">
        <v>5</v>
      </c>
      <c r="M44" s="8">
        <v>1</v>
      </c>
      <c r="N44" s="10" t="s">
        <v>21</v>
      </c>
      <c r="O44" s="17" t="s">
        <v>328</v>
      </c>
      <c r="P44" s="10" t="str">
        <f t="shared" si="2"/>
        <v>ICHEC-EC-EARTH_Scaled_3_Cluster10_repl5.sqlite</v>
      </c>
      <c r="Q44" s="11">
        <f t="shared" si="3"/>
        <v>13</v>
      </c>
      <c r="R44" s="16" t="str">
        <f t="shared" si="4"/>
        <v>climate_db_ICHEC-EC-EARTH_historical_v4.sqlite</v>
      </c>
      <c r="S44" s="16" t="str">
        <f t="shared" si="5"/>
        <v>log/ICHEC-EC-EARTH_Scaled_3_Cluster10_repl5.txt</v>
      </c>
      <c r="T44" s="16" t="str">
        <f t="shared" si="6"/>
        <v>init/env_file_CLUSTER10_REPL5_ICHEC-EC-EARTH_historical.csv</v>
      </c>
      <c r="U44" s="16" t="str">
        <f t="shared" si="7"/>
        <v>init/env_grid_CLUSTER10_REPL5.asc</v>
      </c>
      <c r="V44" s="16" t="str">
        <f t="shared" si="8"/>
        <v>init/env_grid_CLUSTER10_REPL5.asc</v>
      </c>
      <c r="W44" s="16" t="str">
        <f t="shared" si="9"/>
        <v>trees_CLUSTER10.csv</v>
      </c>
      <c r="X44" s="16" t="str">
        <f t="shared" si="10"/>
        <v>saplings_CLUSTER10.csv</v>
      </c>
      <c r="Y44" s="16">
        <f t="shared" si="11"/>
        <v>350</v>
      </c>
      <c r="Z44" s="16" t="str">
        <f t="shared" si="12"/>
        <v>abe/no_mgmt.csv</v>
      </c>
      <c r="AA44" s="16" t="str">
        <f t="shared" si="13"/>
        <v>gis/WindModifier_cl10.asc</v>
      </c>
      <c r="AB44" s="16">
        <f t="shared" si="17"/>
        <v>0</v>
      </c>
      <c r="AC44" s="16" t="str">
        <f t="shared" si="22"/>
        <v>ICHEC-EC-EARTH_historical_point38183</v>
      </c>
      <c r="AD44" s="16" t="str">
        <f t="shared" si="23"/>
        <v>wind_Events/Scaled_cl10_repl5.txt</v>
      </c>
      <c r="AE44" s="16" t="str">
        <f t="shared" si="24"/>
        <v>ICHEC-EC-EARTH_Scaled_3_Cluster10_repl5</v>
      </c>
      <c r="AF44" s="16" t="s">
        <v>274</v>
      </c>
      <c r="AG44" s="16" t="s">
        <v>275</v>
      </c>
    </row>
    <row r="45" spans="1:33" ht="13.8" hidden="1">
      <c r="A45" s="7" t="str">
        <f t="shared" si="25"/>
        <v>MPI-M-MPI-ESM-LR_Scaled_3_Cluster10_repl5</v>
      </c>
      <c r="B45" s="8" t="s">
        <v>16</v>
      </c>
      <c r="C45" s="8" t="s">
        <v>54</v>
      </c>
      <c r="D45" s="9" t="s">
        <v>17</v>
      </c>
      <c r="E45" s="9" t="str">
        <f t="shared" si="1"/>
        <v>historical</v>
      </c>
      <c r="F45" s="8">
        <v>350</v>
      </c>
      <c r="G45" s="8" t="s">
        <v>63</v>
      </c>
      <c r="H45" s="8">
        <v>2</v>
      </c>
      <c r="I45" s="19">
        <v>0</v>
      </c>
      <c r="J45" s="8">
        <v>10</v>
      </c>
      <c r="K45" s="8" t="s">
        <v>172</v>
      </c>
      <c r="L45" s="8">
        <v>5</v>
      </c>
      <c r="M45" s="8">
        <v>1</v>
      </c>
      <c r="N45" s="10" t="s">
        <v>21</v>
      </c>
      <c r="O45" s="17" t="s">
        <v>328</v>
      </c>
      <c r="P45" s="10" t="str">
        <f t="shared" si="2"/>
        <v>MPI-M-MPI-ESM-LR_Scaled_3_Cluster10_repl5.sqlite</v>
      </c>
      <c r="Q45" s="11">
        <f t="shared" si="3"/>
        <v>14</v>
      </c>
      <c r="R45" s="16" t="str">
        <f t="shared" si="4"/>
        <v>climate_db_MPI-M-MPI-ESM-LR_historical_v4.sqlite</v>
      </c>
      <c r="S45" s="16" t="str">
        <f t="shared" si="5"/>
        <v>log/MPI-M-MPI-ESM-LR_Scaled_3_Cluster10_repl5.txt</v>
      </c>
      <c r="T45" s="16" t="str">
        <f t="shared" si="6"/>
        <v>init/env_file_CLUSTER10_REPL5_MPI-M-MPI-ESM-LR_historical.csv</v>
      </c>
      <c r="U45" s="16" t="str">
        <f t="shared" si="7"/>
        <v>init/env_grid_CLUSTER10_REPL5.asc</v>
      </c>
      <c r="V45" s="16" t="str">
        <f t="shared" si="8"/>
        <v>init/env_grid_CLUSTER10_REPL5.asc</v>
      </c>
      <c r="W45" s="16" t="str">
        <f t="shared" si="9"/>
        <v>trees_CLUSTER10.csv</v>
      </c>
      <c r="X45" s="16" t="str">
        <f t="shared" si="10"/>
        <v>saplings_CLUSTER10.csv</v>
      </c>
      <c r="Y45" s="16">
        <f t="shared" si="11"/>
        <v>350</v>
      </c>
      <c r="Z45" s="16" t="str">
        <f t="shared" si="12"/>
        <v>abe/no_mgmt.csv</v>
      </c>
      <c r="AA45" s="16" t="str">
        <f t="shared" si="13"/>
        <v>gis/WindModifier_cl10.asc</v>
      </c>
      <c r="AB45" s="16">
        <f t="shared" si="17"/>
        <v>0</v>
      </c>
      <c r="AC45" s="16" t="str">
        <f t="shared" si="22"/>
        <v>MPI-M-MPI-ESM-LR_historical_point37861</v>
      </c>
      <c r="AD45" s="16" t="str">
        <f t="shared" si="23"/>
        <v>wind_Events/Scaled_cl10_repl5.txt</v>
      </c>
      <c r="AE45" s="16" t="str">
        <f t="shared" si="24"/>
        <v>MPI-M-MPI-ESM-LR_Scaled_3_Cluster10_repl5</v>
      </c>
      <c r="AF45" s="16" t="s">
        <v>276</v>
      </c>
      <c r="AG45" s="16" t="s">
        <v>277</v>
      </c>
    </row>
    <row r="46" spans="1:33" ht="13.8" hidden="1">
      <c r="A46" s="7" t="str">
        <f t="shared" si="25"/>
        <v>NCC-NorESM1-M_Scaled_3_Cluster10_repl5</v>
      </c>
      <c r="B46" s="8" t="s">
        <v>16</v>
      </c>
      <c r="C46" s="8" t="s">
        <v>54</v>
      </c>
      <c r="D46" s="9" t="s">
        <v>17</v>
      </c>
      <c r="E46" s="9" t="str">
        <f t="shared" si="1"/>
        <v>historical</v>
      </c>
      <c r="F46" s="8">
        <v>350</v>
      </c>
      <c r="G46" s="8" t="s">
        <v>60</v>
      </c>
      <c r="H46" s="8">
        <v>3</v>
      </c>
      <c r="I46" s="19">
        <v>0</v>
      </c>
      <c r="J46" s="8">
        <v>10</v>
      </c>
      <c r="K46" s="8" t="s">
        <v>172</v>
      </c>
      <c r="L46" s="8">
        <v>5</v>
      </c>
      <c r="M46" s="8">
        <v>1</v>
      </c>
      <c r="N46" s="10" t="s">
        <v>21</v>
      </c>
      <c r="O46" s="17" t="s">
        <v>328</v>
      </c>
      <c r="P46" s="10" t="str">
        <f t="shared" si="2"/>
        <v>NCC-NorESM1-M_Scaled_3_Cluster10_repl5.sqlite</v>
      </c>
      <c r="Q46" s="11">
        <f t="shared" si="3"/>
        <v>15</v>
      </c>
      <c r="R46" s="16" t="str">
        <f t="shared" si="4"/>
        <v>climate_db_NCC-NorESM1-M_historical_v4.sqlite</v>
      </c>
      <c r="S46" s="16" t="str">
        <f t="shared" si="5"/>
        <v>log/NCC-NorESM1-M_Scaled_3_Cluster10_repl5.txt</v>
      </c>
      <c r="T46" s="16" t="str">
        <f t="shared" si="6"/>
        <v>init/env_file_CLUSTER10_REPL5_NCC-NorESM1-M_historical.csv</v>
      </c>
      <c r="U46" s="16" t="str">
        <f t="shared" si="7"/>
        <v>init/env_grid_CLUSTER10_REPL5.asc</v>
      </c>
      <c r="V46" s="16" t="str">
        <f t="shared" si="8"/>
        <v>init/env_grid_CLUSTER10_REPL5.asc</v>
      </c>
      <c r="W46" s="16" t="str">
        <f t="shared" si="9"/>
        <v>trees_CLUSTER10.csv</v>
      </c>
      <c r="X46" s="16" t="str">
        <f t="shared" si="10"/>
        <v>saplings_CLUSTER10.csv</v>
      </c>
      <c r="Y46" s="16">
        <f t="shared" si="11"/>
        <v>350</v>
      </c>
      <c r="Z46" s="16" t="str">
        <f t="shared" si="12"/>
        <v>abe/no_mgmt.csv</v>
      </c>
      <c r="AA46" s="16" t="str">
        <f t="shared" si="13"/>
        <v>gis/WindModifier_cl10.asc</v>
      </c>
      <c r="AB46" s="16">
        <f t="shared" si="17"/>
        <v>0</v>
      </c>
      <c r="AC46" s="16" t="str">
        <f t="shared" si="22"/>
        <v>NCC-NorESM1-M_historical_point37861</v>
      </c>
      <c r="AD46" s="16" t="str">
        <f t="shared" si="23"/>
        <v>wind_Events/Scaled_cl10_repl5.txt</v>
      </c>
      <c r="AE46" s="16" t="str">
        <f t="shared" si="24"/>
        <v>NCC-NorESM1-M_Scaled_3_Cluster10_repl5</v>
      </c>
      <c r="AF46" s="16" t="s">
        <v>278</v>
      </c>
      <c r="AG46" s="16" t="s">
        <v>279</v>
      </c>
    </row>
  </sheetData>
  <autoFilter ref="A1:AA46" xr:uid="{00000000-0009-0000-0000-000000000000}">
    <filterColumn colId="11">
      <filters>
        <filter val="1"/>
      </filters>
    </filterColumn>
    <sortState ref="A2:AA16">
      <sortCondition ref="J1:J16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A66-6EA0-437F-9CFD-C0BD87D2F38B}">
  <sheetPr>
    <outlinePr summaryBelow="0" summaryRight="0"/>
  </sheetPr>
  <dimension ref="A1:AG181"/>
  <sheetViews>
    <sheetView zoomScale="90" zoomScaleNormal="90" workbookViewId="0">
      <selection activeCell="AF177" sqref="AF177:AG181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4" width="17.44140625" style="13" customWidth="1"/>
    <col min="5" max="5" width="17.88671875" style="13" customWidth="1"/>
    <col min="6" max="6" width="19.88671875" style="13" customWidth="1"/>
    <col min="7" max="7" width="22.109375" style="13" customWidth="1"/>
    <col min="8" max="8" width="22.21875" style="13" customWidth="1"/>
    <col min="9" max="12" width="22.109375" style="13" customWidth="1"/>
    <col min="13" max="13" width="13.88671875" style="13" customWidth="1"/>
    <col min="14" max="14" width="13.44140625" style="13" customWidth="1"/>
    <col min="15" max="15" width="12.44140625" style="13" customWidth="1"/>
    <col min="16" max="16" width="48.33203125" style="13" customWidth="1"/>
    <col min="17" max="17" width="10" style="13" customWidth="1"/>
    <col min="18" max="18" width="45.5546875" style="13" customWidth="1"/>
    <col min="19" max="19" width="48.6640625" style="13" customWidth="1"/>
    <col min="20" max="20" width="54" style="13" customWidth="1"/>
    <col min="21" max="21" width="31.21875" style="13" customWidth="1"/>
    <col min="22" max="22" width="34.21875" style="13" customWidth="1"/>
    <col min="23" max="23" width="24.109375" style="13" customWidth="1"/>
    <col min="24" max="24" width="31.33203125" style="13" customWidth="1"/>
    <col min="25" max="25" width="30.6640625" style="13" customWidth="1"/>
    <col min="26" max="26" width="36" style="13" customWidth="1"/>
    <col min="27" max="27" width="29.109375" style="13" customWidth="1"/>
    <col min="28" max="28" width="49.5546875" style="13" customWidth="1"/>
    <col min="29" max="29" width="45.44140625" style="13" customWidth="1"/>
    <col min="30" max="30" width="28.33203125" style="13" bestFit="1" customWidth="1"/>
    <col min="31" max="31" width="42.33203125" style="13" bestFit="1" customWidth="1"/>
    <col min="32" max="32" width="53.33203125" style="13" customWidth="1"/>
    <col min="33" max="33" width="62.44140625" style="13" customWidth="1"/>
    <col min="34" max="16384" width="13.88671875" style="13"/>
  </cols>
  <sheetData>
    <row r="1" spans="1:33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61</v>
      </c>
      <c r="I1" s="2" t="s">
        <v>56</v>
      </c>
      <c r="J1" s="2" t="s">
        <v>38</v>
      </c>
      <c r="K1" s="2" t="s">
        <v>62</v>
      </c>
      <c r="L1" s="2" t="s">
        <v>39</v>
      </c>
      <c r="M1" s="2" t="s">
        <v>6</v>
      </c>
      <c r="N1" s="1" t="s">
        <v>7</v>
      </c>
      <c r="O1" s="1" t="s">
        <v>8</v>
      </c>
      <c r="P1" s="1" t="s">
        <v>9</v>
      </c>
      <c r="Q1" s="3" t="s">
        <v>10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51</v>
      </c>
      <c r="AB1" s="15" t="s">
        <v>55</v>
      </c>
      <c r="AC1" s="15" t="s">
        <v>42</v>
      </c>
      <c r="AD1" s="15" t="s">
        <v>37</v>
      </c>
      <c r="AE1" s="15" t="s">
        <v>52</v>
      </c>
      <c r="AF1" s="15" t="s">
        <v>329</v>
      </c>
      <c r="AG1" s="15" t="s">
        <v>330</v>
      </c>
    </row>
    <row r="2" spans="1:33" ht="13.8">
      <c r="A2" s="7" t="str">
        <f t="shared" ref="A2:A33" si="0" xml:space="preserve"> G2 &amp; "_" &amp; C2 &amp;"Cluster" &amp; J2 &amp; "_repl" &amp; L2</f>
        <v>ICHEC-EC-EARTH_Scaled_Cluster2_repl1</v>
      </c>
      <c r="B2" s="8" t="s">
        <v>16</v>
      </c>
      <c r="C2" s="8" t="s">
        <v>54</v>
      </c>
      <c r="D2" s="9" t="s">
        <v>17</v>
      </c>
      <c r="E2" s="9" t="str">
        <f t="shared" ref="E2:E33" si="1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</v>
      </c>
      <c r="I2" s="19">
        <v>6.2493566238876597E-6</v>
      </c>
      <c r="J2" s="8">
        <v>2</v>
      </c>
      <c r="K2" s="8" t="s">
        <v>157</v>
      </c>
      <c r="L2" s="8">
        <v>1</v>
      </c>
      <c r="M2" s="8">
        <v>1</v>
      </c>
      <c r="N2" s="10" t="s">
        <v>21</v>
      </c>
      <c r="O2" s="17" t="s">
        <v>328</v>
      </c>
      <c r="P2" s="10" t="str">
        <f t="shared" ref="P2:P33" si="2">A2  &amp; ".sqlite"</f>
        <v>ICHEC-EC-EARTH_Scaled_Cluster2_repl1.sqlite</v>
      </c>
      <c r="Q2" s="11">
        <f t="shared" ref="Q2:Q33" si="3">(L2-1)*3+H2</f>
        <v>1</v>
      </c>
      <c r="R2" s="16" t="str">
        <f t="shared" ref="R2:R33" si="4">"climate_db_" &amp; G2&amp; "_" &amp;  E2&amp; "_v4.sqlite"</f>
        <v>climate_db_ICHEC-EC-EARTH_historical_v4.sqlite</v>
      </c>
      <c r="S2" s="16" t="str">
        <f t="shared" ref="S2:S33" si="5">"log/" &amp;A2  &amp; ".txt"</f>
        <v>log/ICHEC-EC-EARTH_Scaled_Cluster2_repl1.txt</v>
      </c>
      <c r="T2" s="16" t="str">
        <f t="shared" ref="T2:T33" si="6">"init/env_file_CLUSTER" &amp; TEXT(J2, "00") &amp; "_REPL" &amp; L2 &amp; "_" &amp; G2 &amp; "_" &amp; E2 &amp; ".csv"</f>
        <v>init/env_file_CLUSTER02_REPL1_ICHEC-EC-EARTH_historical.csv</v>
      </c>
      <c r="U2" s="16" t="str">
        <f t="shared" ref="U2:U33" si="7">"init/env_grid_CLUSTER" &amp; TEXT(J2, "00") &amp; "_REPL" &amp; L2 &amp; ".asc"</f>
        <v>init/env_grid_CLUSTER02_REPL1.asc</v>
      </c>
      <c r="V2" s="16" t="str">
        <f t="shared" ref="V2:V33" si="8">U2</f>
        <v>init/env_grid_CLUSTER02_REPL1.asc</v>
      </c>
      <c r="W2" s="16" t="str">
        <f t="shared" ref="W2:W33" si="9">"trees_CLUSTER" &amp; TEXT(J2, "00")  &amp; ".csv"</f>
        <v>trees_CLUSTER02.csv</v>
      </c>
      <c r="X2" s="16" t="str">
        <f t="shared" ref="X2:X33" si="10">"saplings_CLUSTER" &amp; TEXT(J2, "00")  &amp; ".csv"</f>
        <v>saplings_CLUSTER02.csv</v>
      </c>
      <c r="Y2" s="16">
        <f t="shared" ref="Y2:Y33" si="11">F2</f>
        <v>350</v>
      </c>
      <c r="Z2" s="16" t="str">
        <f t="shared" ref="Z2:Z33" si="12">"abe/no_mgmt.csv"</f>
        <v>abe/no_mgmt.csv</v>
      </c>
      <c r="AA2" s="16" t="str">
        <f t="shared" ref="AA2:AA33" si="13">"gis/WindModifier_cl" &amp; J2 &amp; ".asc"</f>
        <v>gis/WindModifier_cl2.asc</v>
      </c>
      <c r="AB2" s="16">
        <f t="shared" ref="AB2:AB33" si="14">IF(C2="Scaled_", I2+0.0000000001,  0.000685)</f>
        <v>6.24945662388766E-6</v>
      </c>
      <c r="AC2" s="16" t="str">
        <f t="shared" ref="AC2:AC33" si="15">G2 &amp; "_" &amp; E2 &amp; "_point" &amp; K2</f>
        <v>ICHEC-EC-EARTH_historical_point38526</v>
      </c>
      <c r="AD2" s="16" t="str">
        <f t="shared" ref="AD2:AD33" si="16">"wind_Events/" &amp; C2 &amp; "cl" &amp; J2 &amp; "_repl" &amp; L2 &amp; ".txt"</f>
        <v>wind_Events/Scaled_cl2_repl1.txt</v>
      </c>
      <c r="AE2" s="16" t="str">
        <f t="shared" ref="AE2:AE33" si="17">A2</f>
        <v>ICHEC-EC-EARTH_Scaled_Cluster2_repl1</v>
      </c>
      <c r="AF2" s="16" t="s">
        <v>332</v>
      </c>
      <c r="AG2" s="16" t="s">
        <v>333</v>
      </c>
    </row>
    <row r="3" spans="1:33" ht="13.8">
      <c r="A3" s="7" t="str">
        <f t="shared" si="0"/>
        <v>ICHEC-EC-EARTH_Scaled_Cluster2_repl2</v>
      </c>
      <c r="B3" s="8" t="s">
        <v>16</v>
      </c>
      <c r="C3" s="8" t="s">
        <v>54</v>
      </c>
      <c r="D3" s="9" t="s">
        <v>17</v>
      </c>
      <c r="E3" s="9" t="str">
        <f t="shared" si="1"/>
        <v>historical</v>
      </c>
      <c r="F3" s="8">
        <v>350</v>
      </c>
      <c r="G3" s="8" t="s">
        <v>18</v>
      </c>
      <c r="H3" s="8">
        <v>1</v>
      </c>
      <c r="I3" s="19">
        <v>6.2493566238876597E-6</v>
      </c>
      <c r="J3" s="8">
        <v>2</v>
      </c>
      <c r="K3" s="8" t="s">
        <v>157</v>
      </c>
      <c r="L3" s="8">
        <v>2</v>
      </c>
      <c r="M3" s="8">
        <v>1</v>
      </c>
      <c r="N3" s="10" t="s">
        <v>21</v>
      </c>
      <c r="O3" s="17" t="s">
        <v>328</v>
      </c>
      <c r="P3" s="10" t="str">
        <f t="shared" si="2"/>
        <v>ICHEC-EC-EARTH_Scaled_Cluster2_repl2.sqlite</v>
      </c>
      <c r="Q3" s="11">
        <f t="shared" si="3"/>
        <v>4</v>
      </c>
      <c r="R3" s="16" t="str">
        <f t="shared" si="4"/>
        <v>climate_db_ICHEC-EC-EARTH_historical_v4.sqlite</v>
      </c>
      <c r="S3" s="16" t="str">
        <f t="shared" si="5"/>
        <v>log/ICHEC-EC-EARTH_Scaled_Cluster2_repl2.txt</v>
      </c>
      <c r="T3" s="16" t="str">
        <f t="shared" si="6"/>
        <v>init/env_file_CLUSTER02_REPL2_ICHEC-EC-EARTH_historical.csv</v>
      </c>
      <c r="U3" s="16" t="str">
        <f t="shared" si="7"/>
        <v>init/env_grid_CLUSTER02_REPL2.asc</v>
      </c>
      <c r="V3" s="16" t="str">
        <f t="shared" si="8"/>
        <v>init/env_grid_CLUSTER02_REPL2.asc</v>
      </c>
      <c r="W3" s="16" t="str">
        <f t="shared" si="9"/>
        <v>trees_CLUSTER02.csv</v>
      </c>
      <c r="X3" s="16" t="str">
        <f t="shared" si="10"/>
        <v>saplings_CLUSTER02.csv</v>
      </c>
      <c r="Y3" s="16">
        <f t="shared" si="11"/>
        <v>350</v>
      </c>
      <c r="Z3" s="16" t="str">
        <f t="shared" si="12"/>
        <v>abe/no_mgmt.csv</v>
      </c>
      <c r="AA3" s="16" t="str">
        <f t="shared" si="13"/>
        <v>gis/WindModifier_cl2.asc</v>
      </c>
      <c r="AB3" s="16">
        <f t="shared" si="14"/>
        <v>6.24945662388766E-6</v>
      </c>
      <c r="AC3" s="16" t="str">
        <f t="shared" si="15"/>
        <v>ICHEC-EC-EARTH_historical_point38526</v>
      </c>
      <c r="AD3" s="16" t="str">
        <f t="shared" si="16"/>
        <v>wind_Events/Scaled_cl2_repl2.txt</v>
      </c>
      <c r="AE3" s="16" t="str">
        <f t="shared" si="17"/>
        <v>ICHEC-EC-EARTH_Scaled_Cluster2_repl2</v>
      </c>
      <c r="AF3" s="16" t="s">
        <v>430</v>
      </c>
      <c r="AG3" s="16" t="s">
        <v>431</v>
      </c>
    </row>
    <row r="4" spans="1:33" ht="13.8">
      <c r="A4" s="7" t="str">
        <f t="shared" si="0"/>
        <v>ICHEC-EC-EARTH_Scaled_Cluster2_repl3</v>
      </c>
      <c r="B4" s="8" t="s">
        <v>16</v>
      </c>
      <c r="C4" s="8" t="s">
        <v>54</v>
      </c>
      <c r="D4" s="9" t="s">
        <v>17</v>
      </c>
      <c r="E4" s="9" t="str">
        <f t="shared" si="1"/>
        <v>historical</v>
      </c>
      <c r="F4" s="8">
        <v>350</v>
      </c>
      <c r="G4" s="8" t="s">
        <v>18</v>
      </c>
      <c r="H4" s="8">
        <v>1</v>
      </c>
      <c r="I4" s="19">
        <v>6.2493566238876597E-6</v>
      </c>
      <c r="J4" s="8">
        <v>2</v>
      </c>
      <c r="K4" s="8" t="s">
        <v>157</v>
      </c>
      <c r="L4" s="8">
        <v>3</v>
      </c>
      <c r="M4" s="8">
        <v>1</v>
      </c>
      <c r="N4" s="10" t="s">
        <v>21</v>
      </c>
      <c r="O4" s="17" t="s">
        <v>328</v>
      </c>
      <c r="P4" s="10" t="str">
        <f t="shared" si="2"/>
        <v>ICHEC-EC-EARTH_Scaled_Cluster2_repl3.sqlite</v>
      </c>
      <c r="Q4" s="11">
        <f t="shared" si="3"/>
        <v>7</v>
      </c>
      <c r="R4" s="16" t="str">
        <f t="shared" si="4"/>
        <v>climate_db_ICHEC-EC-EARTH_historical_v4.sqlite</v>
      </c>
      <c r="S4" s="16" t="str">
        <f t="shared" si="5"/>
        <v>log/ICHEC-EC-EARTH_Scaled_Cluster2_repl3.txt</v>
      </c>
      <c r="T4" s="16" t="str">
        <f t="shared" si="6"/>
        <v>init/env_file_CLUSTER02_REPL3_ICHEC-EC-EARTH_historical.csv</v>
      </c>
      <c r="U4" s="16" t="str">
        <f t="shared" si="7"/>
        <v>init/env_grid_CLUSTER02_REPL3.asc</v>
      </c>
      <c r="V4" s="16" t="str">
        <f t="shared" si="8"/>
        <v>init/env_grid_CLUSTER02_REPL3.asc</v>
      </c>
      <c r="W4" s="16" t="str">
        <f t="shared" si="9"/>
        <v>trees_CLUSTER02.csv</v>
      </c>
      <c r="X4" s="16" t="str">
        <f t="shared" si="10"/>
        <v>saplings_CLUSTER02.csv</v>
      </c>
      <c r="Y4" s="16">
        <f t="shared" si="11"/>
        <v>350</v>
      </c>
      <c r="Z4" s="16" t="str">
        <f t="shared" si="12"/>
        <v>abe/no_mgmt.csv</v>
      </c>
      <c r="AA4" s="16" t="str">
        <f t="shared" si="13"/>
        <v>gis/WindModifier_cl2.asc</v>
      </c>
      <c r="AB4" s="16">
        <f t="shared" si="14"/>
        <v>6.24945662388766E-6</v>
      </c>
      <c r="AC4" s="16" t="str">
        <f t="shared" si="15"/>
        <v>ICHEC-EC-EARTH_historical_point38526</v>
      </c>
      <c r="AD4" s="16" t="str">
        <f t="shared" si="16"/>
        <v>wind_Events/Scaled_cl2_repl3.txt</v>
      </c>
      <c r="AE4" s="16" t="str">
        <f t="shared" si="17"/>
        <v>ICHEC-EC-EARTH_Scaled_Cluster2_repl3</v>
      </c>
      <c r="AF4" s="16" t="s">
        <v>432</v>
      </c>
      <c r="AG4" s="16" t="s">
        <v>433</v>
      </c>
    </row>
    <row r="5" spans="1:33" ht="13.8">
      <c r="A5" s="7" t="str">
        <f t="shared" si="0"/>
        <v>ICHEC-EC-EARTH_Scaled_Cluster2_repl4</v>
      </c>
      <c r="B5" s="8" t="s">
        <v>16</v>
      </c>
      <c r="C5" s="8" t="s">
        <v>54</v>
      </c>
      <c r="D5" s="9" t="s">
        <v>17</v>
      </c>
      <c r="E5" s="9" t="str">
        <f t="shared" si="1"/>
        <v>historical</v>
      </c>
      <c r="F5" s="8">
        <v>350</v>
      </c>
      <c r="G5" s="8" t="s">
        <v>18</v>
      </c>
      <c r="H5" s="8">
        <v>1</v>
      </c>
      <c r="I5" s="19">
        <v>6.2493566238876597E-6</v>
      </c>
      <c r="J5" s="8">
        <v>2</v>
      </c>
      <c r="K5" s="8" t="s">
        <v>157</v>
      </c>
      <c r="L5" s="8">
        <v>4</v>
      </c>
      <c r="M5" s="8">
        <v>1</v>
      </c>
      <c r="N5" s="10" t="s">
        <v>21</v>
      </c>
      <c r="O5" s="17" t="s">
        <v>328</v>
      </c>
      <c r="P5" s="10" t="str">
        <f t="shared" si="2"/>
        <v>ICHEC-EC-EARTH_Scaled_Cluster2_repl4.sqlite</v>
      </c>
      <c r="Q5" s="11">
        <f t="shared" si="3"/>
        <v>10</v>
      </c>
      <c r="R5" s="16" t="str">
        <f t="shared" si="4"/>
        <v>climate_db_ICHEC-EC-EARTH_historical_v4.sqlite</v>
      </c>
      <c r="S5" s="16" t="str">
        <f t="shared" si="5"/>
        <v>log/ICHEC-EC-EARTH_Scaled_Cluster2_repl4.txt</v>
      </c>
      <c r="T5" s="16" t="str">
        <f t="shared" si="6"/>
        <v>init/env_file_CLUSTER02_REPL4_ICHEC-EC-EARTH_historical.csv</v>
      </c>
      <c r="U5" s="16" t="str">
        <f t="shared" si="7"/>
        <v>init/env_grid_CLUSTER02_REPL4.asc</v>
      </c>
      <c r="V5" s="16" t="str">
        <f t="shared" si="8"/>
        <v>init/env_grid_CLUSTER02_REPL4.asc</v>
      </c>
      <c r="W5" s="16" t="str">
        <f t="shared" si="9"/>
        <v>trees_CLUSTER02.csv</v>
      </c>
      <c r="X5" s="16" t="str">
        <f t="shared" si="10"/>
        <v>saplings_CLUSTER02.csv</v>
      </c>
      <c r="Y5" s="16">
        <f t="shared" si="11"/>
        <v>350</v>
      </c>
      <c r="Z5" s="16" t="str">
        <f t="shared" si="12"/>
        <v>abe/no_mgmt.csv</v>
      </c>
      <c r="AA5" s="16" t="str">
        <f t="shared" si="13"/>
        <v>gis/WindModifier_cl2.asc</v>
      </c>
      <c r="AB5" s="16">
        <f t="shared" si="14"/>
        <v>6.24945662388766E-6</v>
      </c>
      <c r="AC5" s="16" t="str">
        <f t="shared" si="15"/>
        <v>ICHEC-EC-EARTH_historical_point38526</v>
      </c>
      <c r="AD5" s="16" t="str">
        <f t="shared" si="16"/>
        <v>wind_Events/Scaled_cl2_repl4.txt</v>
      </c>
      <c r="AE5" s="16" t="str">
        <f t="shared" si="17"/>
        <v>ICHEC-EC-EARTH_Scaled_Cluster2_repl4</v>
      </c>
      <c r="AF5" s="16" t="s">
        <v>434</v>
      </c>
      <c r="AG5" s="16" t="s">
        <v>435</v>
      </c>
    </row>
    <row r="6" spans="1:33" ht="13.8">
      <c r="A6" s="7" t="str">
        <f t="shared" si="0"/>
        <v>ICHEC-EC-EARTH_Scaled_Cluster2_repl5</v>
      </c>
      <c r="B6" s="8" t="s">
        <v>16</v>
      </c>
      <c r="C6" s="8" t="s">
        <v>54</v>
      </c>
      <c r="D6" s="9" t="s">
        <v>17</v>
      </c>
      <c r="E6" s="9" t="str">
        <f t="shared" si="1"/>
        <v>historical</v>
      </c>
      <c r="F6" s="8">
        <v>350</v>
      </c>
      <c r="G6" s="8" t="s">
        <v>18</v>
      </c>
      <c r="H6" s="8">
        <v>1</v>
      </c>
      <c r="I6" s="19">
        <v>6.2493566238876597E-6</v>
      </c>
      <c r="J6" s="8">
        <v>2</v>
      </c>
      <c r="K6" s="8" t="s">
        <v>157</v>
      </c>
      <c r="L6" s="8">
        <v>5</v>
      </c>
      <c r="M6" s="8">
        <v>1</v>
      </c>
      <c r="N6" s="10" t="s">
        <v>21</v>
      </c>
      <c r="O6" s="17" t="s">
        <v>328</v>
      </c>
      <c r="P6" s="10" t="str">
        <f t="shared" si="2"/>
        <v>ICHEC-EC-EARTH_Scaled_Cluster2_repl5.sqlite</v>
      </c>
      <c r="Q6" s="11">
        <f t="shared" si="3"/>
        <v>13</v>
      </c>
      <c r="R6" s="16" t="str">
        <f t="shared" si="4"/>
        <v>climate_db_ICHEC-EC-EARTH_historical_v4.sqlite</v>
      </c>
      <c r="S6" s="16" t="str">
        <f t="shared" si="5"/>
        <v>log/ICHEC-EC-EARTH_Scaled_Cluster2_repl5.txt</v>
      </c>
      <c r="T6" s="16" t="str">
        <f t="shared" si="6"/>
        <v>init/env_file_CLUSTER02_REPL5_ICHEC-EC-EARTH_historical.csv</v>
      </c>
      <c r="U6" s="16" t="str">
        <f t="shared" si="7"/>
        <v>init/env_grid_CLUSTER02_REPL5.asc</v>
      </c>
      <c r="V6" s="16" t="str">
        <f t="shared" si="8"/>
        <v>init/env_grid_CLUSTER02_REPL5.asc</v>
      </c>
      <c r="W6" s="16" t="str">
        <f t="shared" si="9"/>
        <v>trees_CLUSTER02.csv</v>
      </c>
      <c r="X6" s="16" t="str">
        <f t="shared" si="10"/>
        <v>saplings_CLUSTER02.csv</v>
      </c>
      <c r="Y6" s="16">
        <f t="shared" si="11"/>
        <v>350</v>
      </c>
      <c r="Z6" s="16" t="str">
        <f t="shared" si="12"/>
        <v>abe/no_mgmt.csv</v>
      </c>
      <c r="AA6" s="16" t="str">
        <f t="shared" si="13"/>
        <v>gis/WindModifier_cl2.asc</v>
      </c>
      <c r="AB6" s="16">
        <f t="shared" si="14"/>
        <v>6.24945662388766E-6</v>
      </c>
      <c r="AC6" s="16" t="str">
        <f t="shared" si="15"/>
        <v>ICHEC-EC-EARTH_historical_point38526</v>
      </c>
      <c r="AD6" s="16" t="str">
        <f t="shared" si="16"/>
        <v>wind_Events/Scaled_cl2_repl5.txt</v>
      </c>
      <c r="AE6" s="16" t="str">
        <f t="shared" si="17"/>
        <v>ICHEC-EC-EARTH_Scaled_Cluster2_repl5</v>
      </c>
      <c r="AF6" s="16" t="s">
        <v>436</v>
      </c>
      <c r="AG6" s="16" t="s">
        <v>437</v>
      </c>
    </row>
    <row r="7" spans="1:33" ht="13.8">
      <c r="A7" s="7" t="str">
        <f t="shared" si="0"/>
        <v>ICHEC-EC-EARTH_Scaled_Cluster3_repl1</v>
      </c>
      <c r="B7" s="8" t="s">
        <v>16</v>
      </c>
      <c r="C7" s="8" t="s">
        <v>54</v>
      </c>
      <c r="D7" s="9" t="s">
        <v>17</v>
      </c>
      <c r="E7" s="9" t="str">
        <f t="shared" si="1"/>
        <v>historical</v>
      </c>
      <c r="F7" s="8">
        <v>350</v>
      </c>
      <c r="G7" s="8" t="s">
        <v>18</v>
      </c>
      <c r="H7" s="8">
        <v>1</v>
      </c>
      <c r="I7" s="19">
        <v>7.5959355299492701E-9</v>
      </c>
      <c r="J7" s="8">
        <v>3</v>
      </c>
      <c r="K7" s="8" t="s">
        <v>158</v>
      </c>
      <c r="L7" s="8">
        <v>1</v>
      </c>
      <c r="M7" s="8">
        <v>1</v>
      </c>
      <c r="N7" s="10" t="s">
        <v>21</v>
      </c>
      <c r="O7" s="17" t="s">
        <v>328</v>
      </c>
      <c r="P7" s="10" t="str">
        <f t="shared" si="2"/>
        <v>ICHEC-EC-EARTH_Scaled_Cluster3_repl1.sqlite</v>
      </c>
      <c r="Q7" s="11">
        <f t="shared" si="3"/>
        <v>1</v>
      </c>
      <c r="R7" s="16" t="str">
        <f t="shared" si="4"/>
        <v>climate_db_ICHEC-EC-EARTH_historical_v4.sqlite</v>
      </c>
      <c r="S7" s="16" t="str">
        <f t="shared" si="5"/>
        <v>log/ICHEC-EC-EARTH_Scaled_Cluster3_repl1.txt</v>
      </c>
      <c r="T7" s="16" t="str">
        <f t="shared" si="6"/>
        <v>init/env_file_CLUSTER03_REPL1_ICHEC-EC-EARTH_historical.csv</v>
      </c>
      <c r="U7" s="16" t="str">
        <f t="shared" si="7"/>
        <v>init/env_grid_CLUSTER03_REPL1.asc</v>
      </c>
      <c r="V7" s="16" t="str">
        <f t="shared" si="8"/>
        <v>init/env_grid_CLUSTER03_REPL1.asc</v>
      </c>
      <c r="W7" s="16" t="str">
        <f t="shared" si="9"/>
        <v>trees_CLUSTER03.csv</v>
      </c>
      <c r="X7" s="16" t="str">
        <f t="shared" si="10"/>
        <v>saplings_CLUSTER03.csv</v>
      </c>
      <c r="Y7" s="16">
        <f t="shared" si="11"/>
        <v>350</v>
      </c>
      <c r="Z7" s="16" t="str">
        <f t="shared" si="12"/>
        <v>abe/no_mgmt.csv</v>
      </c>
      <c r="AA7" s="16" t="str">
        <f t="shared" si="13"/>
        <v>gis/WindModifier_cl3.asc</v>
      </c>
      <c r="AB7" s="16">
        <f t="shared" si="14"/>
        <v>7.6959355299492694E-9</v>
      </c>
      <c r="AC7" s="16" t="str">
        <f t="shared" si="15"/>
        <v>ICHEC-EC-EARTH_historical_point31016</v>
      </c>
      <c r="AD7" s="16" t="str">
        <f t="shared" si="16"/>
        <v>wind_Events/Scaled_cl3_repl1.txt</v>
      </c>
      <c r="AE7" s="16" t="str">
        <f t="shared" si="17"/>
        <v>ICHEC-EC-EARTH_Scaled_Cluster3_repl1</v>
      </c>
      <c r="AF7" s="16" t="s">
        <v>334</v>
      </c>
      <c r="AG7" s="16" t="s">
        <v>335</v>
      </c>
    </row>
    <row r="8" spans="1:33" ht="13.8">
      <c r="A8" s="7" t="str">
        <f t="shared" si="0"/>
        <v>ICHEC-EC-EARTH_Scaled_Cluster3_repl2</v>
      </c>
      <c r="B8" s="8" t="s">
        <v>16</v>
      </c>
      <c r="C8" s="8" t="s">
        <v>54</v>
      </c>
      <c r="D8" s="9" t="s">
        <v>17</v>
      </c>
      <c r="E8" s="9" t="str">
        <f t="shared" si="1"/>
        <v>historical</v>
      </c>
      <c r="F8" s="8">
        <v>350</v>
      </c>
      <c r="G8" s="8" t="s">
        <v>18</v>
      </c>
      <c r="H8" s="8">
        <v>1</v>
      </c>
      <c r="I8" s="19">
        <v>7.5959355299492701E-9</v>
      </c>
      <c r="J8" s="8">
        <v>3</v>
      </c>
      <c r="K8" s="8" t="s">
        <v>158</v>
      </c>
      <c r="L8" s="8">
        <v>2</v>
      </c>
      <c r="M8" s="8">
        <v>1</v>
      </c>
      <c r="N8" s="10" t="s">
        <v>21</v>
      </c>
      <c r="O8" s="17" t="s">
        <v>328</v>
      </c>
      <c r="P8" s="10" t="str">
        <f t="shared" si="2"/>
        <v>ICHEC-EC-EARTH_Scaled_Cluster3_repl2.sqlite</v>
      </c>
      <c r="Q8" s="11">
        <f t="shared" si="3"/>
        <v>4</v>
      </c>
      <c r="R8" s="16" t="str">
        <f t="shared" si="4"/>
        <v>climate_db_ICHEC-EC-EARTH_historical_v4.sqlite</v>
      </c>
      <c r="S8" s="16" t="str">
        <f t="shared" si="5"/>
        <v>log/ICHEC-EC-EARTH_Scaled_Cluster3_repl2.txt</v>
      </c>
      <c r="T8" s="16" t="str">
        <f t="shared" si="6"/>
        <v>init/env_file_CLUSTER03_REPL2_ICHEC-EC-EARTH_historical.csv</v>
      </c>
      <c r="U8" s="16" t="str">
        <f t="shared" si="7"/>
        <v>init/env_grid_CLUSTER03_REPL2.asc</v>
      </c>
      <c r="V8" s="16" t="str">
        <f t="shared" si="8"/>
        <v>init/env_grid_CLUSTER03_REPL2.asc</v>
      </c>
      <c r="W8" s="16" t="str">
        <f t="shared" si="9"/>
        <v>trees_CLUSTER03.csv</v>
      </c>
      <c r="X8" s="16" t="str">
        <f t="shared" si="10"/>
        <v>saplings_CLUSTER03.csv</v>
      </c>
      <c r="Y8" s="16">
        <f t="shared" si="11"/>
        <v>350</v>
      </c>
      <c r="Z8" s="16" t="str">
        <f t="shared" si="12"/>
        <v>abe/no_mgmt.csv</v>
      </c>
      <c r="AA8" s="16" t="str">
        <f t="shared" si="13"/>
        <v>gis/WindModifier_cl3.asc</v>
      </c>
      <c r="AB8" s="16">
        <f t="shared" si="14"/>
        <v>7.6959355299492694E-9</v>
      </c>
      <c r="AC8" s="16" t="str">
        <f t="shared" si="15"/>
        <v>ICHEC-EC-EARTH_historical_point31016</v>
      </c>
      <c r="AD8" s="16" t="str">
        <f t="shared" si="16"/>
        <v>wind_Events/Scaled_cl3_repl2.txt</v>
      </c>
      <c r="AE8" s="16" t="str">
        <f t="shared" si="17"/>
        <v>ICHEC-EC-EARTH_Scaled_Cluster3_repl2</v>
      </c>
      <c r="AF8" s="16" t="s">
        <v>438</v>
      </c>
      <c r="AG8" s="16" t="s">
        <v>439</v>
      </c>
    </row>
    <row r="9" spans="1:33" ht="13.8">
      <c r="A9" s="7" t="str">
        <f t="shared" si="0"/>
        <v>ICHEC-EC-EARTH_Scaled_Cluster3_repl3</v>
      </c>
      <c r="B9" s="8" t="s">
        <v>16</v>
      </c>
      <c r="C9" s="8" t="s">
        <v>54</v>
      </c>
      <c r="D9" s="9" t="s">
        <v>17</v>
      </c>
      <c r="E9" s="9" t="str">
        <f t="shared" si="1"/>
        <v>historical</v>
      </c>
      <c r="F9" s="8">
        <v>350</v>
      </c>
      <c r="G9" s="8" t="s">
        <v>18</v>
      </c>
      <c r="H9" s="8">
        <v>1</v>
      </c>
      <c r="I9" s="19">
        <v>7.5959355299492701E-9</v>
      </c>
      <c r="J9" s="8">
        <v>3</v>
      </c>
      <c r="K9" s="8" t="s">
        <v>158</v>
      </c>
      <c r="L9" s="8">
        <v>3</v>
      </c>
      <c r="M9" s="8">
        <v>1</v>
      </c>
      <c r="N9" s="10" t="s">
        <v>21</v>
      </c>
      <c r="O9" s="17" t="s">
        <v>328</v>
      </c>
      <c r="P9" s="10" t="str">
        <f t="shared" si="2"/>
        <v>ICHEC-EC-EARTH_Scaled_Cluster3_repl3.sqlite</v>
      </c>
      <c r="Q9" s="11">
        <f t="shared" si="3"/>
        <v>7</v>
      </c>
      <c r="R9" s="16" t="str">
        <f t="shared" si="4"/>
        <v>climate_db_ICHEC-EC-EARTH_historical_v4.sqlite</v>
      </c>
      <c r="S9" s="16" t="str">
        <f t="shared" si="5"/>
        <v>log/ICHEC-EC-EARTH_Scaled_Cluster3_repl3.txt</v>
      </c>
      <c r="T9" s="16" t="str">
        <f t="shared" si="6"/>
        <v>init/env_file_CLUSTER03_REPL3_ICHEC-EC-EARTH_historical.csv</v>
      </c>
      <c r="U9" s="16" t="str">
        <f t="shared" si="7"/>
        <v>init/env_grid_CLUSTER03_REPL3.asc</v>
      </c>
      <c r="V9" s="16" t="str">
        <f t="shared" si="8"/>
        <v>init/env_grid_CLUSTER03_REPL3.asc</v>
      </c>
      <c r="W9" s="16" t="str">
        <f t="shared" si="9"/>
        <v>trees_CLUSTER03.csv</v>
      </c>
      <c r="X9" s="16" t="str">
        <f t="shared" si="10"/>
        <v>saplings_CLUSTER03.csv</v>
      </c>
      <c r="Y9" s="16">
        <f t="shared" si="11"/>
        <v>350</v>
      </c>
      <c r="Z9" s="16" t="str">
        <f t="shared" si="12"/>
        <v>abe/no_mgmt.csv</v>
      </c>
      <c r="AA9" s="16" t="str">
        <f t="shared" si="13"/>
        <v>gis/WindModifier_cl3.asc</v>
      </c>
      <c r="AB9" s="16">
        <f t="shared" si="14"/>
        <v>7.6959355299492694E-9</v>
      </c>
      <c r="AC9" s="16" t="str">
        <f t="shared" si="15"/>
        <v>ICHEC-EC-EARTH_historical_point31016</v>
      </c>
      <c r="AD9" s="16" t="str">
        <f t="shared" si="16"/>
        <v>wind_Events/Scaled_cl3_repl3.txt</v>
      </c>
      <c r="AE9" s="16" t="str">
        <f t="shared" si="17"/>
        <v>ICHEC-EC-EARTH_Scaled_Cluster3_repl3</v>
      </c>
      <c r="AF9" s="16" t="s">
        <v>440</v>
      </c>
      <c r="AG9" s="16" t="s">
        <v>441</v>
      </c>
    </row>
    <row r="10" spans="1:33" ht="13.8">
      <c r="A10" s="7" t="str">
        <f t="shared" si="0"/>
        <v>ICHEC-EC-EARTH_Scaled_Cluster3_repl4</v>
      </c>
      <c r="B10" s="8" t="s">
        <v>16</v>
      </c>
      <c r="C10" s="8" t="s">
        <v>54</v>
      </c>
      <c r="D10" s="9" t="s">
        <v>17</v>
      </c>
      <c r="E10" s="9" t="str">
        <f t="shared" si="1"/>
        <v>historical</v>
      </c>
      <c r="F10" s="8">
        <v>350</v>
      </c>
      <c r="G10" s="8" t="s">
        <v>18</v>
      </c>
      <c r="H10" s="8">
        <v>1</v>
      </c>
      <c r="I10" s="19">
        <v>7.5959355299492701E-9</v>
      </c>
      <c r="J10" s="8">
        <v>3</v>
      </c>
      <c r="K10" s="8" t="s">
        <v>158</v>
      </c>
      <c r="L10" s="8">
        <v>4</v>
      </c>
      <c r="M10" s="8">
        <v>1</v>
      </c>
      <c r="N10" s="10" t="s">
        <v>21</v>
      </c>
      <c r="O10" s="17" t="s">
        <v>328</v>
      </c>
      <c r="P10" s="10" t="str">
        <f t="shared" si="2"/>
        <v>ICHEC-EC-EARTH_Scaled_Cluster3_repl4.sqlite</v>
      </c>
      <c r="Q10" s="11">
        <f t="shared" si="3"/>
        <v>10</v>
      </c>
      <c r="R10" s="16" t="str">
        <f t="shared" si="4"/>
        <v>climate_db_ICHEC-EC-EARTH_historical_v4.sqlite</v>
      </c>
      <c r="S10" s="16" t="str">
        <f t="shared" si="5"/>
        <v>log/ICHEC-EC-EARTH_Scaled_Cluster3_repl4.txt</v>
      </c>
      <c r="T10" s="16" t="str">
        <f t="shared" si="6"/>
        <v>init/env_file_CLUSTER03_REPL4_ICHEC-EC-EARTH_historical.csv</v>
      </c>
      <c r="U10" s="16" t="str">
        <f t="shared" si="7"/>
        <v>init/env_grid_CLUSTER03_REPL4.asc</v>
      </c>
      <c r="V10" s="16" t="str">
        <f t="shared" si="8"/>
        <v>init/env_grid_CLUSTER03_REPL4.asc</v>
      </c>
      <c r="W10" s="16" t="str">
        <f t="shared" si="9"/>
        <v>trees_CLUSTER03.csv</v>
      </c>
      <c r="X10" s="16" t="str">
        <f t="shared" si="10"/>
        <v>saplings_CLUSTER03.csv</v>
      </c>
      <c r="Y10" s="16">
        <f t="shared" si="11"/>
        <v>350</v>
      </c>
      <c r="Z10" s="16" t="str">
        <f t="shared" si="12"/>
        <v>abe/no_mgmt.csv</v>
      </c>
      <c r="AA10" s="16" t="str">
        <f t="shared" si="13"/>
        <v>gis/WindModifier_cl3.asc</v>
      </c>
      <c r="AB10" s="16">
        <f t="shared" si="14"/>
        <v>7.6959355299492694E-9</v>
      </c>
      <c r="AC10" s="16" t="str">
        <f t="shared" si="15"/>
        <v>ICHEC-EC-EARTH_historical_point31016</v>
      </c>
      <c r="AD10" s="16" t="str">
        <f t="shared" si="16"/>
        <v>wind_Events/Scaled_cl3_repl4.txt</v>
      </c>
      <c r="AE10" s="16" t="str">
        <f t="shared" si="17"/>
        <v>ICHEC-EC-EARTH_Scaled_Cluster3_repl4</v>
      </c>
      <c r="AF10" s="16" t="s">
        <v>442</v>
      </c>
      <c r="AG10" s="16" t="s">
        <v>443</v>
      </c>
    </row>
    <row r="11" spans="1:33" ht="13.8">
      <c r="A11" s="7" t="str">
        <f t="shared" si="0"/>
        <v>ICHEC-EC-EARTH_Scaled_Cluster3_repl5</v>
      </c>
      <c r="B11" s="8" t="s">
        <v>16</v>
      </c>
      <c r="C11" s="8" t="s">
        <v>54</v>
      </c>
      <c r="D11" s="9" t="s">
        <v>17</v>
      </c>
      <c r="E11" s="9" t="str">
        <f t="shared" si="1"/>
        <v>historical</v>
      </c>
      <c r="F11" s="8">
        <v>350</v>
      </c>
      <c r="G11" s="8" t="s">
        <v>18</v>
      </c>
      <c r="H11" s="8">
        <v>1</v>
      </c>
      <c r="I11" s="19">
        <v>7.5959355299492701E-9</v>
      </c>
      <c r="J11" s="8">
        <v>3</v>
      </c>
      <c r="K11" s="8" t="s">
        <v>158</v>
      </c>
      <c r="L11" s="8">
        <v>5</v>
      </c>
      <c r="M11" s="8">
        <v>1</v>
      </c>
      <c r="N11" s="10" t="s">
        <v>21</v>
      </c>
      <c r="O11" s="17" t="s">
        <v>328</v>
      </c>
      <c r="P11" s="10" t="str">
        <f t="shared" si="2"/>
        <v>ICHEC-EC-EARTH_Scaled_Cluster3_repl5.sqlite</v>
      </c>
      <c r="Q11" s="11">
        <f t="shared" si="3"/>
        <v>13</v>
      </c>
      <c r="R11" s="16" t="str">
        <f t="shared" si="4"/>
        <v>climate_db_ICHEC-EC-EARTH_historical_v4.sqlite</v>
      </c>
      <c r="S11" s="16" t="str">
        <f t="shared" si="5"/>
        <v>log/ICHEC-EC-EARTH_Scaled_Cluster3_repl5.txt</v>
      </c>
      <c r="T11" s="16" t="str">
        <f t="shared" si="6"/>
        <v>init/env_file_CLUSTER03_REPL5_ICHEC-EC-EARTH_historical.csv</v>
      </c>
      <c r="U11" s="16" t="str">
        <f t="shared" si="7"/>
        <v>init/env_grid_CLUSTER03_REPL5.asc</v>
      </c>
      <c r="V11" s="16" t="str">
        <f t="shared" si="8"/>
        <v>init/env_grid_CLUSTER03_REPL5.asc</v>
      </c>
      <c r="W11" s="16" t="str">
        <f t="shared" si="9"/>
        <v>trees_CLUSTER03.csv</v>
      </c>
      <c r="X11" s="16" t="str">
        <f t="shared" si="10"/>
        <v>saplings_CLUSTER03.csv</v>
      </c>
      <c r="Y11" s="16">
        <f t="shared" si="11"/>
        <v>350</v>
      </c>
      <c r="Z11" s="16" t="str">
        <f t="shared" si="12"/>
        <v>abe/no_mgmt.csv</v>
      </c>
      <c r="AA11" s="16" t="str">
        <f t="shared" si="13"/>
        <v>gis/WindModifier_cl3.asc</v>
      </c>
      <c r="AB11" s="16">
        <f t="shared" si="14"/>
        <v>7.6959355299492694E-9</v>
      </c>
      <c r="AC11" s="16" t="str">
        <f t="shared" si="15"/>
        <v>ICHEC-EC-EARTH_historical_point31016</v>
      </c>
      <c r="AD11" s="16" t="str">
        <f t="shared" si="16"/>
        <v>wind_Events/Scaled_cl3_repl5.txt</v>
      </c>
      <c r="AE11" s="16" t="str">
        <f t="shared" si="17"/>
        <v>ICHEC-EC-EARTH_Scaled_Cluster3_repl5</v>
      </c>
      <c r="AF11" s="16" t="s">
        <v>444</v>
      </c>
      <c r="AG11" s="16" t="s">
        <v>445</v>
      </c>
    </row>
    <row r="12" spans="1:33" ht="13.8">
      <c r="A12" s="7" t="str">
        <f t="shared" si="0"/>
        <v>ICHEC-EC-EARTH_Scaled_Cluster4_repl1</v>
      </c>
      <c r="B12" s="8" t="s">
        <v>16</v>
      </c>
      <c r="C12" s="8" t="s">
        <v>54</v>
      </c>
      <c r="D12" s="9" t="s">
        <v>17</v>
      </c>
      <c r="E12" s="9" t="str">
        <f t="shared" si="1"/>
        <v>historical</v>
      </c>
      <c r="F12" s="8">
        <v>350</v>
      </c>
      <c r="G12" s="8" t="s">
        <v>18</v>
      </c>
      <c r="H12" s="8">
        <v>1</v>
      </c>
      <c r="I12" s="19">
        <v>5.0254403465713305E-7</v>
      </c>
      <c r="J12" s="8">
        <v>4</v>
      </c>
      <c r="K12" s="8" t="s">
        <v>159</v>
      </c>
      <c r="L12" s="8">
        <v>1</v>
      </c>
      <c r="M12" s="8">
        <v>1</v>
      </c>
      <c r="N12" s="10" t="s">
        <v>21</v>
      </c>
      <c r="O12" s="17" t="s">
        <v>328</v>
      </c>
      <c r="P12" s="10" t="str">
        <f t="shared" si="2"/>
        <v>ICHEC-EC-EARTH_Scaled_Cluster4_repl1.sqlite</v>
      </c>
      <c r="Q12" s="11">
        <f t="shared" si="3"/>
        <v>1</v>
      </c>
      <c r="R12" s="16" t="str">
        <f t="shared" si="4"/>
        <v>climate_db_ICHEC-EC-EARTH_historical_v4.sqlite</v>
      </c>
      <c r="S12" s="16" t="str">
        <f t="shared" si="5"/>
        <v>log/ICHEC-EC-EARTH_Scaled_Cluster4_repl1.txt</v>
      </c>
      <c r="T12" s="16" t="str">
        <f t="shared" si="6"/>
        <v>init/env_file_CLUSTER04_REPL1_ICHEC-EC-EARTH_historical.csv</v>
      </c>
      <c r="U12" s="16" t="str">
        <f t="shared" si="7"/>
        <v>init/env_grid_CLUSTER04_REPL1.asc</v>
      </c>
      <c r="V12" s="16" t="str">
        <f t="shared" si="8"/>
        <v>init/env_grid_CLUSTER04_REPL1.asc</v>
      </c>
      <c r="W12" s="16" t="str">
        <f t="shared" si="9"/>
        <v>trees_CLUSTER04.csv</v>
      </c>
      <c r="X12" s="16" t="str">
        <f t="shared" si="10"/>
        <v>saplings_CLUSTER04.csv</v>
      </c>
      <c r="Y12" s="16">
        <f t="shared" si="11"/>
        <v>350</v>
      </c>
      <c r="Z12" s="16" t="str">
        <f t="shared" si="12"/>
        <v>abe/no_mgmt.csv</v>
      </c>
      <c r="AA12" s="16" t="str">
        <f t="shared" si="13"/>
        <v>gis/WindModifier_cl4.asc</v>
      </c>
      <c r="AB12" s="16">
        <f t="shared" si="14"/>
        <v>5.0264403465713306E-7</v>
      </c>
      <c r="AC12" s="16" t="str">
        <f t="shared" si="15"/>
        <v>ICHEC-EC-EARTH_historical_point26511</v>
      </c>
      <c r="AD12" s="16" t="str">
        <f t="shared" si="16"/>
        <v>wind_Events/Scaled_cl4_repl1.txt</v>
      </c>
      <c r="AE12" s="16" t="str">
        <f t="shared" si="17"/>
        <v>ICHEC-EC-EARTH_Scaled_Cluster4_repl1</v>
      </c>
      <c r="AF12" s="16" t="s">
        <v>336</v>
      </c>
      <c r="AG12" s="16" t="s">
        <v>107</v>
      </c>
    </row>
    <row r="13" spans="1:33" ht="13.8">
      <c r="A13" s="7" t="str">
        <f t="shared" si="0"/>
        <v>ICHEC-EC-EARTH_Scaled_Cluster4_repl2</v>
      </c>
      <c r="B13" s="8" t="s">
        <v>16</v>
      </c>
      <c r="C13" s="8" t="s">
        <v>54</v>
      </c>
      <c r="D13" s="9" t="s">
        <v>17</v>
      </c>
      <c r="E13" s="9" t="str">
        <f t="shared" si="1"/>
        <v>historical</v>
      </c>
      <c r="F13" s="8">
        <v>350</v>
      </c>
      <c r="G13" s="8" t="s">
        <v>18</v>
      </c>
      <c r="H13" s="8">
        <v>1</v>
      </c>
      <c r="I13" s="19">
        <v>5.0254403465713305E-7</v>
      </c>
      <c r="J13" s="8">
        <v>4</v>
      </c>
      <c r="K13" s="8" t="s">
        <v>159</v>
      </c>
      <c r="L13" s="8">
        <v>2</v>
      </c>
      <c r="M13" s="8">
        <v>1</v>
      </c>
      <c r="N13" s="10" t="s">
        <v>21</v>
      </c>
      <c r="O13" s="17" t="s">
        <v>328</v>
      </c>
      <c r="P13" s="10" t="str">
        <f t="shared" si="2"/>
        <v>ICHEC-EC-EARTH_Scaled_Cluster4_repl2.sqlite</v>
      </c>
      <c r="Q13" s="11">
        <f t="shared" si="3"/>
        <v>4</v>
      </c>
      <c r="R13" s="16" t="str">
        <f t="shared" si="4"/>
        <v>climate_db_ICHEC-EC-EARTH_historical_v4.sqlite</v>
      </c>
      <c r="S13" s="16" t="str">
        <f t="shared" si="5"/>
        <v>log/ICHEC-EC-EARTH_Scaled_Cluster4_repl2.txt</v>
      </c>
      <c r="T13" s="16" t="str">
        <f t="shared" si="6"/>
        <v>init/env_file_CLUSTER04_REPL2_ICHEC-EC-EARTH_historical.csv</v>
      </c>
      <c r="U13" s="16" t="str">
        <f t="shared" si="7"/>
        <v>init/env_grid_CLUSTER04_REPL2.asc</v>
      </c>
      <c r="V13" s="16" t="str">
        <f t="shared" si="8"/>
        <v>init/env_grid_CLUSTER04_REPL2.asc</v>
      </c>
      <c r="W13" s="16" t="str">
        <f t="shared" si="9"/>
        <v>trees_CLUSTER04.csv</v>
      </c>
      <c r="X13" s="16" t="str">
        <f t="shared" si="10"/>
        <v>saplings_CLUSTER04.csv</v>
      </c>
      <c r="Y13" s="16">
        <f t="shared" si="11"/>
        <v>350</v>
      </c>
      <c r="Z13" s="16" t="str">
        <f t="shared" si="12"/>
        <v>abe/no_mgmt.csv</v>
      </c>
      <c r="AA13" s="16" t="str">
        <f t="shared" si="13"/>
        <v>gis/WindModifier_cl4.asc</v>
      </c>
      <c r="AB13" s="16">
        <f t="shared" si="14"/>
        <v>5.0264403465713306E-7</v>
      </c>
      <c r="AC13" s="16" t="str">
        <f t="shared" si="15"/>
        <v>ICHEC-EC-EARTH_historical_point26511</v>
      </c>
      <c r="AD13" s="16" t="str">
        <f t="shared" si="16"/>
        <v>wind_Events/Scaled_cl4_repl2.txt</v>
      </c>
      <c r="AE13" s="16" t="str">
        <f t="shared" si="17"/>
        <v>ICHEC-EC-EARTH_Scaled_Cluster4_repl2</v>
      </c>
      <c r="AF13" s="16" t="s">
        <v>446</v>
      </c>
      <c r="AG13" s="16" t="s">
        <v>447</v>
      </c>
    </row>
    <row r="14" spans="1:33" ht="13.8">
      <c r="A14" s="7" t="str">
        <f t="shared" si="0"/>
        <v>ICHEC-EC-EARTH_Scaled_Cluster4_repl3</v>
      </c>
      <c r="B14" s="8" t="s">
        <v>16</v>
      </c>
      <c r="C14" s="8" t="s">
        <v>54</v>
      </c>
      <c r="D14" s="9" t="s">
        <v>17</v>
      </c>
      <c r="E14" s="9" t="str">
        <f t="shared" si="1"/>
        <v>historical</v>
      </c>
      <c r="F14" s="8">
        <v>350</v>
      </c>
      <c r="G14" s="8" t="s">
        <v>18</v>
      </c>
      <c r="H14" s="8">
        <v>1</v>
      </c>
      <c r="I14" s="19">
        <v>5.0254403465713305E-7</v>
      </c>
      <c r="J14" s="8">
        <v>4</v>
      </c>
      <c r="K14" s="8" t="s">
        <v>159</v>
      </c>
      <c r="L14" s="8">
        <v>3</v>
      </c>
      <c r="M14" s="8">
        <v>1</v>
      </c>
      <c r="N14" s="10" t="s">
        <v>21</v>
      </c>
      <c r="O14" s="17" t="s">
        <v>328</v>
      </c>
      <c r="P14" s="10" t="str">
        <f t="shared" si="2"/>
        <v>ICHEC-EC-EARTH_Scaled_Cluster4_repl3.sqlite</v>
      </c>
      <c r="Q14" s="11">
        <f t="shared" si="3"/>
        <v>7</v>
      </c>
      <c r="R14" s="16" t="str">
        <f t="shared" si="4"/>
        <v>climate_db_ICHEC-EC-EARTH_historical_v4.sqlite</v>
      </c>
      <c r="S14" s="16" t="str">
        <f t="shared" si="5"/>
        <v>log/ICHEC-EC-EARTH_Scaled_Cluster4_repl3.txt</v>
      </c>
      <c r="T14" s="16" t="str">
        <f t="shared" si="6"/>
        <v>init/env_file_CLUSTER04_REPL3_ICHEC-EC-EARTH_historical.csv</v>
      </c>
      <c r="U14" s="16" t="str">
        <f t="shared" si="7"/>
        <v>init/env_grid_CLUSTER04_REPL3.asc</v>
      </c>
      <c r="V14" s="16" t="str">
        <f t="shared" si="8"/>
        <v>init/env_grid_CLUSTER04_REPL3.asc</v>
      </c>
      <c r="W14" s="16" t="str">
        <f t="shared" si="9"/>
        <v>trees_CLUSTER04.csv</v>
      </c>
      <c r="X14" s="16" t="str">
        <f t="shared" si="10"/>
        <v>saplings_CLUSTER04.csv</v>
      </c>
      <c r="Y14" s="16">
        <f t="shared" si="11"/>
        <v>350</v>
      </c>
      <c r="Z14" s="16" t="str">
        <f t="shared" si="12"/>
        <v>abe/no_mgmt.csv</v>
      </c>
      <c r="AA14" s="16" t="str">
        <f t="shared" si="13"/>
        <v>gis/WindModifier_cl4.asc</v>
      </c>
      <c r="AB14" s="16">
        <f t="shared" si="14"/>
        <v>5.0264403465713306E-7</v>
      </c>
      <c r="AC14" s="16" t="str">
        <f t="shared" si="15"/>
        <v>ICHEC-EC-EARTH_historical_point26511</v>
      </c>
      <c r="AD14" s="16" t="str">
        <f t="shared" si="16"/>
        <v>wind_Events/Scaled_cl4_repl3.txt</v>
      </c>
      <c r="AE14" s="16" t="str">
        <f t="shared" si="17"/>
        <v>ICHEC-EC-EARTH_Scaled_Cluster4_repl3</v>
      </c>
      <c r="AF14" s="16" t="s">
        <v>448</v>
      </c>
      <c r="AG14" s="16" t="s">
        <v>449</v>
      </c>
    </row>
    <row r="15" spans="1:33" ht="13.8">
      <c r="A15" s="7" t="str">
        <f t="shared" si="0"/>
        <v>ICHEC-EC-EARTH_Scaled_Cluster4_repl4</v>
      </c>
      <c r="B15" s="8" t="s">
        <v>16</v>
      </c>
      <c r="C15" s="8" t="s">
        <v>54</v>
      </c>
      <c r="D15" s="9" t="s">
        <v>17</v>
      </c>
      <c r="E15" s="9" t="str">
        <f t="shared" si="1"/>
        <v>historical</v>
      </c>
      <c r="F15" s="8">
        <v>350</v>
      </c>
      <c r="G15" s="8" t="s">
        <v>18</v>
      </c>
      <c r="H15" s="8">
        <v>1</v>
      </c>
      <c r="I15" s="19">
        <v>5.0254403465713305E-7</v>
      </c>
      <c r="J15" s="8">
        <v>4</v>
      </c>
      <c r="K15" s="8" t="s">
        <v>159</v>
      </c>
      <c r="L15" s="8">
        <v>4</v>
      </c>
      <c r="M15" s="8">
        <v>1</v>
      </c>
      <c r="N15" s="10" t="s">
        <v>21</v>
      </c>
      <c r="O15" s="17" t="s">
        <v>328</v>
      </c>
      <c r="P15" s="10" t="str">
        <f t="shared" si="2"/>
        <v>ICHEC-EC-EARTH_Scaled_Cluster4_repl4.sqlite</v>
      </c>
      <c r="Q15" s="11">
        <f t="shared" si="3"/>
        <v>10</v>
      </c>
      <c r="R15" s="16" t="str">
        <f t="shared" si="4"/>
        <v>climate_db_ICHEC-EC-EARTH_historical_v4.sqlite</v>
      </c>
      <c r="S15" s="16" t="str">
        <f t="shared" si="5"/>
        <v>log/ICHEC-EC-EARTH_Scaled_Cluster4_repl4.txt</v>
      </c>
      <c r="T15" s="16" t="str">
        <f t="shared" si="6"/>
        <v>init/env_file_CLUSTER04_REPL4_ICHEC-EC-EARTH_historical.csv</v>
      </c>
      <c r="U15" s="16" t="str">
        <f t="shared" si="7"/>
        <v>init/env_grid_CLUSTER04_REPL4.asc</v>
      </c>
      <c r="V15" s="16" t="str">
        <f t="shared" si="8"/>
        <v>init/env_grid_CLUSTER04_REPL4.asc</v>
      </c>
      <c r="W15" s="16" t="str">
        <f t="shared" si="9"/>
        <v>trees_CLUSTER04.csv</v>
      </c>
      <c r="X15" s="16" t="str">
        <f t="shared" si="10"/>
        <v>saplings_CLUSTER04.csv</v>
      </c>
      <c r="Y15" s="16">
        <f t="shared" si="11"/>
        <v>350</v>
      </c>
      <c r="Z15" s="16" t="str">
        <f t="shared" si="12"/>
        <v>abe/no_mgmt.csv</v>
      </c>
      <c r="AA15" s="16" t="str">
        <f t="shared" si="13"/>
        <v>gis/WindModifier_cl4.asc</v>
      </c>
      <c r="AB15" s="16">
        <f t="shared" si="14"/>
        <v>5.0264403465713306E-7</v>
      </c>
      <c r="AC15" s="16" t="str">
        <f t="shared" si="15"/>
        <v>ICHEC-EC-EARTH_historical_point26511</v>
      </c>
      <c r="AD15" s="16" t="str">
        <f t="shared" si="16"/>
        <v>wind_Events/Scaled_cl4_repl4.txt</v>
      </c>
      <c r="AE15" s="16" t="str">
        <f t="shared" si="17"/>
        <v>ICHEC-EC-EARTH_Scaled_Cluster4_repl4</v>
      </c>
      <c r="AF15" s="16" t="s">
        <v>450</v>
      </c>
      <c r="AG15" s="16" t="s">
        <v>451</v>
      </c>
    </row>
    <row r="16" spans="1:33" ht="13.8">
      <c r="A16" s="7" t="str">
        <f t="shared" si="0"/>
        <v>ICHEC-EC-EARTH_Scaled_Cluster4_repl5</v>
      </c>
      <c r="B16" s="8" t="s">
        <v>16</v>
      </c>
      <c r="C16" s="8" t="s">
        <v>54</v>
      </c>
      <c r="D16" s="9" t="s">
        <v>17</v>
      </c>
      <c r="E16" s="9" t="str">
        <f t="shared" si="1"/>
        <v>historical</v>
      </c>
      <c r="F16" s="8">
        <v>350</v>
      </c>
      <c r="G16" s="8" t="s">
        <v>18</v>
      </c>
      <c r="H16" s="8">
        <v>1</v>
      </c>
      <c r="I16" s="19">
        <v>5.0254403465713305E-7</v>
      </c>
      <c r="J16" s="8">
        <v>4</v>
      </c>
      <c r="K16" s="8" t="s">
        <v>159</v>
      </c>
      <c r="L16" s="8">
        <v>5</v>
      </c>
      <c r="M16" s="8">
        <v>1</v>
      </c>
      <c r="N16" s="10" t="s">
        <v>21</v>
      </c>
      <c r="O16" s="17" t="s">
        <v>328</v>
      </c>
      <c r="P16" s="10" t="str">
        <f t="shared" si="2"/>
        <v>ICHEC-EC-EARTH_Scaled_Cluster4_repl5.sqlite</v>
      </c>
      <c r="Q16" s="11">
        <f t="shared" si="3"/>
        <v>13</v>
      </c>
      <c r="R16" s="16" t="str">
        <f t="shared" si="4"/>
        <v>climate_db_ICHEC-EC-EARTH_historical_v4.sqlite</v>
      </c>
      <c r="S16" s="16" t="str">
        <f t="shared" si="5"/>
        <v>log/ICHEC-EC-EARTH_Scaled_Cluster4_repl5.txt</v>
      </c>
      <c r="T16" s="16" t="str">
        <f t="shared" si="6"/>
        <v>init/env_file_CLUSTER04_REPL5_ICHEC-EC-EARTH_historical.csv</v>
      </c>
      <c r="U16" s="16" t="str">
        <f t="shared" si="7"/>
        <v>init/env_grid_CLUSTER04_REPL5.asc</v>
      </c>
      <c r="V16" s="16" t="str">
        <f t="shared" si="8"/>
        <v>init/env_grid_CLUSTER04_REPL5.asc</v>
      </c>
      <c r="W16" s="16" t="str">
        <f t="shared" si="9"/>
        <v>trees_CLUSTER04.csv</v>
      </c>
      <c r="X16" s="16" t="str">
        <f t="shared" si="10"/>
        <v>saplings_CLUSTER04.csv</v>
      </c>
      <c r="Y16" s="16">
        <f t="shared" si="11"/>
        <v>350</v>
      </c>
      <c r="Z16" s="16" t="str">
        <f t="shared" si="12"/>
        <v>abe/no_mgmt.csv</v>
      </c>
      <c r="AA16" s="16" t="str">
        <f t="shared" si="13"/>
        <v>gis/WindModifier_cl4.asc</v>
      </c>
      <c r="AB16" s="16">
        <f t="shared" si="14"/>
        <v>5.0264403465713306E-7</v>
      </c>
      <c r="AC16" s="16" t="str">
        <f t="shared" si="15"/>
        <v>ICHEC-EC-EARTH_historical_point26511</v>
      </c>
      <c r="AD16" s="16" t="str">
        <f t="shared" si="16"/>
        <v>wind_Events/Scaled_cl4_repl5.txt</v>
      </c>
      <c r="AE16" s="16" t="str">
        <f t="shared" si="17"/>
        <v>ICHEC-EC-EARTH_Scaled_Cluster4_repl5</v>
      </c>
      <c r="AF16" s="16" t="s">
        <v>452</v>
      </c>
      <c r="AG16" s="16" t="s">
        <v>453</v>
      </c>
    </row>
    <row r="17" spans="1:33" ht="13.8">
      <c r="A17" s="7" t="str">
        <f t="shared" si="0"/>
        <v>ICHEC-EC-EARTH_Scaled_Cluster5_repl1</v>
      </c>
      <c r="B17" s="8" t="s">
        <v>16</v>
      </c>
      <c r="C17" s="8" t="s">
        <v>54</v>
      </c>
      <c r="D17" s="9" t="s">
        <v>17</v>
      </c>
      <c r="E17" s="9" t="str">
        <f t="shared" si="1"/>
        <v>historical</v>
      </c>
      <c r="F17" s="8">
        <v>350</v>
      </c>
      <c r="G17" s="8" t="s">
        <v>18</v>
      </c>
      <c r="H17" s="8">
        <v>1</v>
      </c>
      <c r="I17" s="19">
        <v>9.9999999999999995E-8</v>
      </c>
      <c r="J17" s="8">
        <v>5</v>
      </c>
      <c r="K17" s="8" t="s">
        <v>160</v>
      </c>
      <c r="L17" s="8">
        <v>1</v>
      </c>
      <c r="M17" s="8">
        <v>1</v>
      </c>
      <c r="N17" s="10" t="s">
        <v>21</v>
      </c>
      <c r="O17" s="17" t="s">
        <v>328</v>
      </c>
      <c r="P17" s="10" t="str">
        <f t="shared" si="2"/>
        <v>ICHEC-EC-EARTH_Scaled_Cluster5_repl1.sqlite</v>
      </c>
      <c r="Q17" s="11">
        <f t="shared" si="3"/>
        <v>1</v>
      </c>
      <c r="R17" s="16" t="str">
        <f t="shared" si="4"/>
        <v>climate_db_ICHEC-EC-EARTH_historical_v4.sqlite</v>
      </c>
      <c r="S17" s="16" t="str">
        <f t="shared" si="5"/>
        <v>log/ICHEC-EC-EARTH_Scaled_Cluster5_repl1.txt</v>
      </c>
      <c r="T17" s="16" t="str">
        <f t="shared" si="6"/>
        <v>init/env_file_CLUSTER05_REPL1_ICHEC-EC-EARTH_historical.csv</v>
      </c>
      <c r="U17" s="16" t="str">
        <f t="shared" si="7"/>
        <v>init/env_grid_CLUSTER05_REPL1.asc</v>
      </c>
      <c r="V17" s="16" t="str">
        <f t="shared" si="8"/>
        <v>init/env_grid_CLUSTER05_REPL1.asc</v>
      </c>
      <c r="W17" s="16" t="str">
        <f t="shared" si="9"/>
        <v>trees_CLUSTER05.csv</v>
      </c>
      <c r="X17" s="16" t="str">
        <f t="shared" si="10"/>
        <v>saplings_CLUSTER05.csv</v>
      </c>
      <c r="Y17" s="16">
        <f t="shared" si="11"/>
        <v>350</v>
      </c>
      <c r="Z17" s="16" t="str">
        <f t="shared" si="12"/>
        <v>abe/no_mgmt.csv</v>
      </c>
      <c r="AA17" s="16" t="str">
        <f t="shared" si="13"/>
        <v>gis/WindModifier_cl5.asc</v>
      </c>
      <c r="AB17" s="16">
        <f t="shared" si="14"/>
        <v>1.0009999999999999E-7</v>
      </c>
      <c r="AC17" s="16" t="str">
        <f t="shared" si="15"/>
        <v>ICHEC-EC-EARTH_historical_point31053</v>
      </c>
      <c r="AD17" s="16" t="str">
        <f t="shared" si="16"/>
        <v>wind_Events/Scaled_cl5_repl1.txt</v>
      </c>
      <c r="AE17" s="16" t="str">
        <f t="shared" si="17"/>
        <v>ICHEC-EC-EARTH_Scaled_Cluster5_repl1</v>
      </c>
      <c r="AF17" s="16" t="s">
        <v>337</v>
      </c>
      <c r="AG17" s="16" t="s">
        <v>109</v>
      </c>
    </row>
    <row r="18" spans="1:33" ht="13.8">
      <c r="A18" s="7" t="str">
        <f t="shared" si="0"/>
        <v>ICHEC-EC-EARTH_Scaled_Cluster5_repl2</v>
      </c>
      <c r="B18" s="8" t="s">
        <v>16</v>
      </c>
      <c r="C18" s="8" t="s">
        <v>54</v>
      </c>
      <c r="D18" s="9" t="s">
        <v>17</v>
      </c>
      <c r="E18" s="9" t="str">
        <f t="shared" si="1"/>
        <v>historical</v>
      </c>
      <c r="F18" s="8">
        <v>350</v>
      </c>
      <c r="G18" s="8" t="s">
        <v>18</v>
      </c>
      <c r="H18" s="8">
        <v>1</v>
      </c>
      <c r="I18" s="19">
        <v>9.9999999999999995E-8</v>
      </c>
      <c r="J18" s="8">
        <v>5</v>
      </c>
      <c r="K18" s="8" t="s">
        <v>160</v>
      </c>
      <c r="L18" s="8">
        <v>2</v>
      </c>
      <c r="M18" s="8">
        <v>1</v>
      </c>
      <c r="N18" s="10" t="s">
        <v>21</v>
      </c>
      <c r="O18" s="17" t="s">
        <v>328</v>
      </c>
      <c r="P18" s="10" t="str">
        <f t="shared" si="2"/>
        <v>ICHEC-EC-EARTH_Scaled_Cluster5_repl2.sqlite</v>
      </c>
      <c r="Q18" s="11">
        <f t="shared" si="3"/>
        <v>4</v>
      </c>
      <c r="R18" s="16" t="str">
        <f t="shared" si="4"/>
        <v>climate_db_ICHEC-EC-EARTH_historical_v4.sqlite</v>
      </c>
      <c r="S18" s="16" t="str">
        <f t="shared" si="5"/>
        <v>log/ICHEC-EC-EARTH_Scaled_Cluster5_repl2.txt</v>
      </c>
      <c r="T18" s="16" t="str">
        <f t="shared" si="6"/>
        <v>init/env_file_CLUSTER05_REPL2_ICHEC-EC-EARTH_historical.csv</v>
      </c>
      <c r="U18" s="16" t="str">
        <f t="shared" si="7"/>
        <v>init/env_grid_CLUSTER05_REPL2.asc</v>
      </c>
      <c r="V18" s="16" t="str">
        <f t="shared" si="8"/>
        <v>init/env_grid_CLUSTER05_REPL2.asc</v>
      </c>
      <c r="W18" s="16" t="str">
        <f t="shared" si="9"/>
        <v>trees_CLUSTER05.csv</v>
      </c>
      <c r="X18" s="16" t="str">
        <f t="shared" si="10"/>
        <v>saplings_CLUSTER05.csv</v>
      </c>
      <c r="Y18" s="16">
        <f t="shared" si="11"/>
        <v>350</v>
      </c>
      <c r="Z18" s="16" t="str">
        <f t="shared" si="12"/>
        <v>abe/no_mgmt.csv</v>
      </c>
      <c r="AA18" s="16" t="str">
        <f t="shared" si="13"/>
        <v>gis/WindModifier_cl5.asc</v>
      </c>
      <c r="AB18" s="16">
        <f t="shared" si="14"/>
        <v>1.0009999999999999E-7</v>
      </c>
      <c r="AC18" s="16" t="str">
        <f t="shared" si="15"/>
        <v>ICHEC-EC-EARTH_historical_point31053</v>
      </c>
      <c r="AD18" s="16" t="str">
        <f t="shared" si="16"/>
        <v>wind_Events/Scaled_cl5_repl2.txt</v>
      </c>
      <c r="AE18" s="16" t="str">
        <f t="shared" si="17"/>
        <v>ICHEC-EC-EARTH_Scaled_Cluster5_repl2</v>
      </c>
      <c r="AF18" s="16" t="s">
        <v>454</v>
      </c>
      <c r="AG18" s="16" t="s">
        <v>455</v>
      </c>
    </row>
    <row r="19" spans="1:33" ht="13.8">
      <c r="A19" s="7" t="str">
        <f t="shared" si="0"/>
        <v>ICHEC-EC-EARTH_Scaled_Cluster5_repl3</v>
      </c>
      <c r="B19" s="8" t="s">
        <v>16</v>
      </c>
      <c r="C19" s="8" t="s">
        <v>54</v>
      </c>
      <c r="D19" s="9" t="s">
        <v>17</v>
      </c>
      <c r="E19" s="9" t="str">
        <f t="shared" si="1"/>
        <v>historical</v>
      </c>
      <c r="F19" s="8">
        <v>350</v>
      </c>
      <c r="G19" s="8" t="s">
        <v>18</v>
      </c>
      <c r="H19" s="8">
        <v>1</v>
      </c>
      <c r="I19" s="19">
        <v>9.9999999999999995E-8</v>
      </c>
      <c r="J19" s="8">
        <v>5</v>
      </c>
      <c r="K19" s="8" t="s">
        <v>160</v>
      </c>
      <c r="L19" s="8">
        <v>3</v>
      </c>
      <c r="M19" s="8">
        <v>1</v>
      </c>
      <c r="N19" s="10" t="s">
        <v>21</v>
      </c>
      <c r="O19" s="17" t="s">
        <v>328</v>
      </c>
      <c r="P19" s="10" t="str">
        <f t="shared" si="2"/>
        <v>ICHEC-EC-EARTH_Scaled_Cluster5_repl3.sqlite</v>
      </c>
      <c r="Q19" s="11">
        <f t="shared" si="3"/>
        <v>7</v>
      </c>
      <c r="R19" s="16" t="str">
        <f t="shared" si="4"/>
        <v>climate_db_ICHEC-EC-EARTH_historical_v4.sqlite</v>
      </c>
      <c r="S19" s="16" t="str">
        <f t="shared" si="5"/>
        <v>log/ICHEC-EC-EARTH_Scaled_Cluster5_repl3.txt</v>
      </c>
      <c r="T19" s="16" t="str">
        <f t="shared" si="6"/>
        <v>init/env_file_CLUSTER05_REPL3_ICHEC-EC-EARTH_historical.csv</v>
      </c>
      <c r="U19" s="16" t="str">
        <f t="shared" si="7"/>
        <v>init/env_grid_CLUSTER05_REPL3.asc</v>
      </c>
      <c r="V19" s="16" t="str">
        <f t="shared" si="8"/>
        <v>init/env_grid_CLUSTER05_REPL3.asc</v>
      </c>
      <c r="W19" s="16" t="str">
        <f t="shared" si="9"/>
        <v>trees_CLUSTER05.csv</v>
      </c>
      <c r="X19" s="16" t="str">
        <f t="shared" si="10"/>
        <v>saplings_CLUSTER05.csv</v>
      </c>
      <c r="Y19" s="16">
        <f t="shared" si="11"/>
        <v>350</v>
      </c>
      <c r="Z19" s="16" t="str">
        <f t="shared" si="12"/>
        <v>abe/no_mgmt.csv</v>
      </c>
      <c r="AA19" s="16" t="str">
        <f t="shared" si="13"/>
        <v>gis/WindModifier_cl5.asc</v>
      </c>
      <c r="AB19" s="16">
        <f t="shared" si="14"/>
        <v>1.0009999999999999E-7</v>
      </c>
      <c r="AC19" s="16" t="str">
        <f t="shared" si="15"/>
        <v>ICHEC-EC-EARTH_historical_point31053</v>
      </c>
      <c r="AD19" s="16" t="str">
        <f t="shared" si="16"/>
        <v>wind_Events/Scaled_cl5_repl3.txt</v>
      </c>
      <c r="AE19" s="16" t="str">
        <f t="shared" si="17"/>
        <v>ICHEC-EC-EARTH_Scaled_Cluster5_repl3</v>
      </c>
      <c r="AF19" s="16" t="s">
        <v>456</v>
      </c>
      <c r="AG19" s="16" t="s">
        <v>457</v>
      </c>
    </row>
    <row r="20" spans="1:33" ht="13.8">
      <c r="A20" s="7" t="str">
        <f t="shared" si="0"/>
        <v>ICHEC-EC-EARTH_Scaled_Cluster5_repl4</v>
      </c>
      <c r="B20" s="8" t="s">
        <v>16</v>
      </c>
      <c r="C20" s="8" t="s">
        <v>54</v>
      </c>
      <c r="D20" s="9" t="s">
        <v>17</v>
      </c>
      <c r="E20" s="9" t="str">
        <f t="shared" si="1"/>
        <v>historical</v>
      </c>
      <c r="F20" s="8">
        <v>350</v>
      </c>
      <c r="G20" s="8" t="s">
        <v>18</v>
      </c>
      <c r="H20" s="8">
        <v>1</v>
      </c>
      <c r="I20" s="19">
        <v>9.9999999999999995E-8</v>
      </c>
      <c r="J20" s="8">
        <v>5</v>
      </c>
      <c r="K20" s="8" t="s">
        <v>160</v>
      </c>
      <c r="L20" s="8">
        <v>4</v>
      </c>
      <c r="M20" s="8">
        <v>1</v>
      </c>
      <c r="N20" s="10" t="s">
        <v>21</v>
      </c>
      <c r="O20" s="17" t="s">
        <v>328</v>
      </c>
      <c r="P20" s="10" t="str">
        <f t="shared" si="2"/>
        <v>ICHEC-EC-EARTH_Scaled_Cluster5_repl4.sqlite</v>
      </c>
      <c r="Q20" s="11">
        <f t="shared" si="3"/>
        <v>10</v>
      </c>
      <c r="R20" s="16" t="str">
        <f t="shared" si="4"/>
        <v>climate_db_ICHEC-EC-EARTH_historical_v4.sqlite</v>
      </c>
      <c r="S20" s="16" t="str">
        <f t="shared" si="5"/>
        <v>log/ICHEC-EC-EARTH_Scaled_Cluster5_repl4.txt</v>
      </c>
      <c r="T20" s="16" t="str">
        <f t="shared" si="6"/>
        <v>init/env_file_CLUSTER05_REPL4_ICHEC-EC-EARTH_historical.csv</v>
      </c>
      <c r="U20" s="16" t="str">
        <f t="shared" si="7"/>
        <v>init/env_grid_CLUSTER05_REPL4.asc</v>
      </c>
      <c r="V20" s="16" t="str">
        <f t="shared" si="8"/>
        <v>init/env_grid_CLUSTER05_REPL4.asc</v>
      </c>
      <c r="W20" s="16" t="str">
        <f t="shared" si="9"/>
        <v>trees_CLUSTER05.csv</v>
      </c>
      <c r="X20" s="16" t="str">
        <f t="shared" si="10"/>
        <v>saplings_CLUSTER05.csv</v>
      </c>
      <c r="Y20" s="16">
        <f t="shared" si="11"/>
        <v>350</v>
      </c>
      <c r="Z20" s="16" t="str">
        <f t="shared" si="12"/>
        <v>abe/no_mgmt.csv</v>
      </c>
      <c r="AA20" s="16" t="str">
        <f t="shared" si="13"/>
        <v>gis/WindModifier_cl5.asc</v>
      </c>
      <c r="AB20" s="16">
        <f t="shared" si="14"/>
        <v>1.0009999999999999E-7</v>
      </c>
      <c r="AC20" s="16" t="str">
        <f t="shared" si="15"/>
        <v>ICHEC-EC-EARTH_historical_point31053</v>
      </c>
      <c r="AD20" s="16" t="str">
        <f t="shared" si="16"/>
        <v>wind_Events/Scaled_cl5_repl4.txt</v>
      </c>
      <c r="AE20" s="16" t="str">
        <f t="shared" si="17"/>
        <v>ICHEC-EC-EARTH_Scaled_Cluster5_repl4</v>
      </c>
      <c r="AF20" s="16" t="s">
        <v>458</v>
      </c>
      <c r="AG20" s="16" t="s">
        <v>459</v>
      </c>
    </row>
    <row r="21" spans="1:33" ht="13.8">
      <c r="A21" s="7" t="str">
        <f t="shared" si="0"/>
        <v>ICHEC-EC-EARTH_Scaled_Cluster5_repl5</v>
      </c>
      <c r="B21" s="8" t="s">
        <v>16</v>
      </c>
      <c r="C21" s="8" t="s">
        <v>54</v>
      </c>
      <c r="D21" s="9" t="s">
        <v>17</v>
      </c>
      <c r="E21" s="9" t="str">
        <f t="shared" si="1"/>
        <v>historical</v>
      </c>
      <c r="F21" s="8">
        <v>350</v>
      </c>
      <c r="G21" s="8" t="s">
        <v>18</v>
      </c>
      <c r="H21" s="8">
        <v>1</v>
      </c>
      <c r="I21" s="19">
        <v>9.9999999999999995E-8</v>
      </c>
      <c r="J21" s="8">
        <v>5</v>
      </c>
      <c r="K21" s="8" t="s">
        <v>160</v>
      </c>
      <c r="L21" s="8">
        <v>5</v>
      </c>
      <c r="M21" s="8">
        <v>1</v>
      </c>
      <c r="N21" s="10" t="s">
        <v>21</v>
      </c>
      <c r="O21" s="17" t="s">
        <v>328</v>
      </c>
      <c r="P21" s="10" t="str">
        <f t="shared" si="2"/>
        <v>ICHEC-EC-EARTH_Scaled_Cluster5_repl5.sqlite</v>
      </c>
      <c r="Q21" s="11">
        <f t="shared" si="3"/>
        <v>13</v>
      </c>
      <c r="R21" s="16" t="str">
        <f t="shared" si="4"/>
        <v>climate_db_ICHEC-EC-EARTH_historical_v4.sqlite</v>
      </c>
      <c r="S21" s="16" t="str">
        <f t="shared" si="5"/>
        <v>log/ICHEC-EC-EARTH_Scaled_Cluster5_repl5.txt</v>
      </c>
      <c r="T21" s="16" t="str">
        <f t="shared" si="6"/>
        <v>init/env_file_CLUSTER05_REPL5_ICHEC-EC-EARTH_historical.csv</v>
      </c>
      <c r="U21" s="16" t="str">
        <f t="shared" si="7"/>
        <v>init/env_grid_CLUSTER05_REPL5.asc</v>
      </c>
      <c r="V21" s="16" t="str">
        <f t="shared" si="8"/>
        <v>init/env_grid_CLUSTER05_REPL5.asc</v>
      </c>
      <c r="W21" s="16" t="str">
        <f t="shared" si="9"/>
        <v>trees_CLUSTER05.csv</v>
      </c>
      <c r="X21" s="16" t="str">
        <f t="shared" si="10"/>
        <v>saplings_CLUSTER05.csv</v>
      </c>
      <c r="Y21" s="16">
        <f t="shared" si="11"/>
        <v>350</v>
      </c>
      <c r="Z21" s="16" t="str">
        <f t="shared" si="12"/>
        <v>abe/no_mgmt.csv</v>
      </c>
      <c r="AA21" s="16" t="str">
        <f t="shared" si="13"/>
        <v>gis/WindModifier_cl5.asc</v>
      </c>
      <c r="AB21" s="16">
        <f t="shared" si="14"/>
        <v>1.0009999999999999E-7</v>
      </c>
      <c r="AC21" s="16" t="str">
        <f t="shared" si="15"/>
        <v>ICHEC-EC-EARTH_historical_point31053</v>
      </c>
      <c r="AD21" s="16" t="str">
        <f t="shared" si="16"/>
        <v>wind_Events/Scaled_cl5_repl5.txt</v>
      </c>
      <c r="AE21" s="16" t="str">
        <f t="shared" si="17"/>
        <v>ICHEC-EC-EARTH_Scaled_Cluster5_repl5</v>
      </c>
      <c r="AF21" s="16" t="s">
        <v>460</v>
      </c>
      <c r="AG21" s="16" t="s">
        <v>461</v>
      </c>
    </row>
    <row r="22" spans="1:33" ht="13.8">
      <c r="A22" s="7" t="str">
        <f t="shared" si="0"/>
        <v>ICHEC-EC-EARTH_Scaled_Cluster6_repl1</v>
      </c>
      <c r="B22" s="8" t="s">
        <v>16</v>
      </c>
      <c r="C22" s="8" t="s">
        <v>54</v>
      </c>
      <c r="D22" s="9" t="s">
        <v>17</v>
      </c>
      <c r="E22" s="9" t="str">
        <f t="shared" si="1"/>
        <v>historical</v>
      </c>
      <c r="F22" s="8">
        <v>350</v>
      </c>
      <c r="G22" s="8" t="s">
        <v>18</v>
      </c>
      <c r="H22" s="8">
        <v>1</v>
      </c>
      <c r="I22" s="19">
        <v>1.2364860585627399E-7</v>
      </c>
      <c r="J22" s="8">
        <v>6</v>
      </c>
      <c r="K22" s="8" t="s">
        <v>161</v>
      </c>
      <c r="L22" s="8">
        <v>1</v>
      </c>
      <c r="M22" s="8">
        <v>1</v>
      </c>
      <c r="N22" s="10" t="s">
        <v>21</v>
      </c>
      <c r="O22" s="17" t="s">
        <v>328</v>
      </c>
      <c r="P22" s="10" t="str">
        <f t="shared" si="2"/>
        <v>ICHEC-EC-EARTH_Scaled_Cluster6_repl1.sqlite</v>
      </c>
      <c r="Q22" s="11">
        <f t="shared" si="3"/>
        <v>1</v>
      </c>
      <c r="R22" s="16" t="str">
        <f t="shared" si="4"/>
        <v>climate_db_ICHEC-EC-EARTH_historical_v4.sqlite</v>
      </c>
      <c r="S22" s="16" t="str">
        <f t="shared" si="5"/>
        <v>log/ICHEC-EC-EARTH_Scaled_Cluster6_repl1.txt</v>
      </c>
      <c r="T22" s="16" t="str">
        <f t="shared" si="6"/>
        <v>init/env_file_CLUSTER06_REPL1_ICHEC-EC-EARTH_historical.csv</v>
      </c>
      <c r="U22" s="16" t="str">
        <f t="shared" si="7"/>
        <v>init/env_grid_CLUSTER06_REPL1.asc</v>
      </c>
      <c r="V22" s="16" t="str">
        <f t="shared" si="8"/>
        <v>init/env_grid_CLUSTER06_REPL1.asc</v>
      </c>
      <c r="W22" s="16" t="str">
        <f t="shared" si="9"/>
        <v>trees_CLUSTER06.csv</v>
      </c>
      <c r="X22" s="16" t="str">
        <f t="shared" si="10"/>
        <v>saplings_CLUSTER06.csv</v>
      </c>
      <c r="Y22" s="16">
        <f t="shared" si="11"/>
        <v>350</v>
      </c>
      <c r="Z22" s="16" t="str">
        <f t="shared" si="12"/>
        <v>abe/no_mgmt.csv</v>
      </c>
      <c r="AA22" s="16" t="str">
        <f t="shared" si="13"/>
        <v>gis/WindModifier_cl6.asc</v>
      </c>
      <c r="AB22" s="16">
        <f t="shared" si="14"/>
        <v>1.23748605856274E-7</v>
      </c>
      <c r="AC22" s="16" t="str">
        <f t="shared" si="15"/>
        <v>ICHEC-EC-EARTH_historical_point29731</v>
      </c>
      <c r="AD22" s="16" t="str">
        <f t="shared" si="16"/>
        <v>wind_Events/Scaled_cl6_repl1.txt</v>
      </c>
      <c r="AE22" s="16" t="str">
        <f t="shared" si="17"/>
        <v>ICHEC-EC-EARTH_Scaled_Cluster6_repl1</v>
      </c>
      <c r="AF22" s="16" t="s">
        <v>338</v>
      </c>
      <c r="AG22" s="16" t="s">
        <v>339</v>
      </c>
    </row>
    <row r="23" spans="1:33" ht="13.8">
      <c r="A23" s="7" t="str">
        <f t="shared" si="0"/>
        <v>ICHEC-EC-EARTH_Scaled_Cluster6_repl2</v>
      </c>
      <c r="B23" s="8" t="s">
        <v>16</v>
      </c>
      <c r="C23" s="8" t="s">
        <v>54</v>
      </c>
      <c r="D23" s="9" t="s">
        <v>17</v>
      </c>
      <c r="E23" s="9" t="str">
        <f t="shared" si="1"/>
        <v>historical</v>
      </c>
      <c r="F23" s="8">
        <v>350</v>
      </c>
      <c r="G23" s="8" t="s">
        <v>18</v>
      </c>
      <c r="H23" s="8">
        <v>1</v>
      </c>
      <c r="I23" s="19">
        <v>1.2364860585627399E-7</v>
      </c>
      <c r="J23" s="8">
        <v>6</v>
      </c>
      <c r="K23" s="8" t="s">
        <v>161</v>
      </c>
      <c r="L23" s="8">
        <v>2</v>
      </c>
      <c r="M23" s="8">
        <v>1</v>
      </c>
      <c r="N23" s="10" t="s">
        <v>21</v>
      </c>
      <c r="O23" s="17" t="s">
        <v>328</v>
      </c>
      <c r="P23" s="10" t="str">
        <f t="shared" si="2"/>
        <v>ICHEC-EC-EARTH_Scaled_Cluster6_repl2.sqlite</v>
      </c>
      <c r="Q23" s="11">
        <f t="shared" si="3"/>
        <v>4</v>
      </c>
      <c r="R23" s="16" t="str">
        <f t="shared" si="4"/>
        <v>climate_db_ICHEC-EC-EARTH_historical_v4.sqlite</v>
      </c>
      <c r="S23" s="16" t="str">
        <f t="shared" si="5"/>
        <v>log/ICHEC-EC-EARTH_Scaled_Cluster6_repl2.txt</v>
      </c>
      <c r="T23" s="16" t="str">
        <f t="shared" si="6"/>
        <v>init/env_file_CLUSTER06_REPL2_ICHEC-EC-EARTH_historical.csv</v>
      </c>
      <c r="U23" s="16" t="str">
        <f t="shared" si="7"/>
        <v>init/env_grid_CLUSTER06_REPL2.asc</v>
      </c>
      <c r="V23" s="16" t="str">
        <f t="shared" si="8"/>
        <v>init/env_grid_CLUSTER06_REPL2.asc</v>
      </c>
      <c r="W23" s="16" t="str">
        <f t="shared" si="9"/>
        <v>trees_CLUSTER06.csv</v>
      </c>
      <c r="X23" s="16" t="str">
        <f t="shared" si="10"/>
        <v>saplings_CLUSTER06.csv</v>
      </c>
      <c r="Y23" s="16">
        <f t="shared" si="11"/>
        <v>350</v>
      </c>
      <c r="Z23" s="16" t="str">
        <f t="shared" si="12"/>
        <v>abe/no_mgmt.csv</v>
      </c>
      <c r="AA23" s="16" t="str">
        <f t="shared" si="13"/>
        <v>gis/WindModifier_cl6.asc</v>
      </c>
      <c r="AB23" s="16">
        <f t="shared" si="14"/>
        <v>1.23748605856274E-7</v>
      </c>
      <c r="AC23" s="16" t="str">
        <f t="shared" si="15"/>
        <v>ICHEC-EC-EARTH_historical_point29731</v>
      </c>
      <c r="AD23" s="16" t="str">
        <f t="shared" si="16"/>
        <v>wind_Events/Scaled_cl6_repl2.txt</v>
      </c>
      <c r="AE23" s="16" t="str">
        <f t="shared" si="17"/>
        <v>ICHEC-EC-EARTH_Scaled_Cluster6_repl2</v>
      </c>
      <c r="AF23" s="16" t="s">
        <v>462</v>
      </c>
      <c r="AG23" s="16" t="s">
        <v>463</v>
      </c>
    </row>
    <row r="24" spans="1:33" ht="13.8">
      <c r="A24" s="7" t="str">
        <f t="shared" si="0"/>
        <v>ICHEC-EC-EARTH_Scaled_Cluster6_repl3</v>
      </c>
      <c r="B24" s="8" t="s">
        <v>16</v>
      </c>
      <c r="C24" s="8" t="s">
        <v>54</v>
      </c>
      <c r="D24" s="9" t="s">
        <v>17</v>
      </c>
      <c r="E24" s="9" t="str">
        <f t="shared" si="1"/>
        <v>historical</v>
      </c>
      <c r="F24" s="8">
        <v>350</v>
      </c>
      <c r="G24" s="8" t="s">
        <v>18</v>
      </c>
      <c r="H24" s="8">
        <v>1</v>
      </c>
      <c r="I24" s="19">
        <v>1.2364860585627399E-7</v>
      </c>
      <c r="J24" s="8">
        <v>6</v>
      </c>
      <c r="K24" s="8" t="s">
        <v>161</v>
      </c>
      <c r="L24" s="8">
        <v>3</v>
      </c>
      <c r="M24" s="8">
        <v>1</v>
      </c>
      <c r="N24" s="10" t="s">
        <v>21</v>
      </c>
      <c r="O24" s="17" t="s">
        <v>328</v>
      </c>
      <c r="P24" s="10" t="str">
        <f t="shared" si="2"/>
        <v>ICHEC-EC-EARTH_Scaled_Cluster6_repl3.sqlite</v>
      </c>
      <c r="Q24" s="11">
        <f t="shared" si="3"/>
        <v>7</v>
      </c>
      <c r="R24" s="16" t="str">
        <f t="shared" si="4"/>
        <v>climate_db_ICHEC-EC-EARTH_historical_v4.sqlite</v>
      </c>
      <c r="S24" s="16" t="str">
        <f t="shared" si="5"/>
        <v>log/ICHEC-EC-EARTH_Scaled_Cluster6_repl3.txt</v>
      </c>
      <c r="T24" s="16" t="str">
        <f t="shared" si="6"/>
        <v>init/env_file_CLUSTER06_REPL3_ICHEC-EC-EARTH_historical.csv</v>
      </c>
      <c r="U24" s="16" t="str">
        <f t="shared" si="7"/>
        <v>init/env_grid_CLUSTER06_REPL3.asc</v>
      </c>
      <c r="V24" s="16" t="str">
        <f t="shared" si="8"/>
        <v>init/env_grid_CLUSTER06_REPL3.asc</v>
      </c>
      <c r="W24" s="16" t="str">
        <f t="shared" si="9"/>
        <v>trees_CLUSTER06.csv</v>
      </c>
      <c r="X24" s="16" t="str">
        <f t="shared" si="10"/>
        <v>saplings_CLUSTER06.csv</v>
      </c>
      <c r="Y24" s="16">
        <f t="shared" si="11"/>
        <v>350</v>
      </c>
      <c r="Z24" s="16" t="str">
        <f t="shared" si="12"/>
        <v>abe/no_mgmt.csv</v>
      </c>
      <c r="AA24" s="16" t="str">
        <f t="shared" si="13"/>
        <v>gis/WindModifier_cl6.asc</v>
      </c>
      <c r="AB24" s="16">
        <f t="shared" si="14"/>
        <v>1.23748605856274E-7</v>
      </c>
      <c r="AC24" s="16" t="str">
        <f t="shared" si="15"/>
        <v>ICHEC-EC-EARTH_historical_point29731</v>
      </c>
      <c r="AD24" s="16" t="str">
        <f t="shared" si="16"/>
        <v>wind_Events/Scaled_cl6_repl3.txt</v>
      </c>
      <c r="AE24" s="16" t="str">
        <f t="shared" si="17"/>
        <v>ICHEC-EC-EARTH_Scaled_Cluster6_repl3</v>
      </c>
      <c r="AF24" s="16" t="s">
        <v>464</v>
      </c>
      <c r="AG24" s="16" t="s">
        <v>465</v>
      </c>
    </row>
    <row r="25" spans="1:33" ht="13.8">
      <c r="A25" s="7" t="str">
        <f t="shared" si="0"/>
        <v>ICHEC-EC-EARTH_Scaled_Cluster6_repl4</v>
      </c>
      <c r="B25" s="8" t="s">
        <v>16</v>
      </c>
      <c r="C25" s="8" t="s">
        <v>54</v>
      </c>
      <c r="D25" s="9" t="s">
        <v>17</v>
      </c>
      <c r="E25" s="9" t="str">
        <f t="shared" si="1"/>
        <v>historical</v>
      </c>
      <c r="F25" s="8">
        <v>350</v>
      </c>
      <c r="G25" s="8" t="s">
        <v>18</v>
      </c>
      <c r="H25" s="8">
        <v>1</v>
      </c>
      <c r="I25" s="19">
        <v>1.2364860585627399E-7</v>
      </c>
      <c r="J25" s="8">
        <v>6</v>
      </c>
      <c r="K25" s="8" t="s">
        <v>161</v>
      </c>
      <c r="L25" s="8">
        <v>4</v>
      </c>
      <c r="M25" s="8">
        <v>1</v>
      </c>
      <c r="N25" s="10" t="s">
        <v>21</v>
      </c>
      <c r="O25" s="17" t="s">
        <v>328</v>
      </c>
      <c r="P25" s="10" t="str">
        <f t="shared" si="2"/>
        <v>ICHEC-EC-EARTH_Scaled_Cluster6_repl4.sqlite</v>
      </c>
      <c r="Q25" s="11">
        <f t="shared" si="3"/>
        <v>10</v>
      </c>
      <c r="R25" s="16" t="str">
        <f t="shared" si="4"/>
        <v>climate_db_ICHEC-EC-EARTH_historical_v4.sqlite</v>
      </c>
      <c r="S25" s="16" t="str">
        <f t="shared" si="5"/>
        <v>log/ICHEC-EC-EARTH_Scaled_Cluster6_repl4.txt</v>
      </c>
      <c r="T25" s="16" t="str">
        <f t="shared" si="6"/>
        <v>init/env_file_CLUSTER06_REPL4_ICHEC-EC-EARTH_historical.csv</v>
      </c>
      <c r="U25" s="16" t="str">
        <f t="shared" si="7"/>
        <v>init/env_grid_CLUSTER06_REPL4.asc</v>
      </c>
      <c r="V25" s="16" t="str">
        <f t="shared" si="8"/>
        <v>init/env_grid_CLUSTER06_REPL4.asc</v>
      </c>
      <c r="W25" s="16" t="str">
        <f t="shared" si="9"/>
        <v>trees_CLUSTER06.csv</v>
      </c>
      <c r="X25" s="16" t="str">
        <f t="shared" si="10"/>
        <v>saplings_CLUSTER06.csv</v>
      </c>
      <c r="Y25" s="16">
        <f t="shared" si="11"/>
        <v>350</v>
      </c>
      <c r="Z25" s="16" t="str">
        <f t="shared" si="12"/>
        <v>abe/no_mgmt.csv</v>
      </c>
      <c r="AA25" s="16" t="str">
        <f t="shared" si="13"/>
        <v>gis/WindModifier_cl6.asc</v>
      </c>
      <c r="AB25" s="16">
        <f t="shared" si="14"/>
        <v>1.23748605856274E-7</v>
      </c>
      <c r="AC25" s="16" t="str">
        <f t="shared" si="15"/>
        <v>ICHEC-EC-EARTH_historical_point29731</v>
      </c>
      <c r="AD25" s="16" t="str">
        <f t="shared" si="16"/>
        <v>wind_Events/Scaled_cl6_repl4.txt</v>
      </c>
      <c r="AE25" s="16" t="str">
        <f t="shared" si="17"/>
        <v>ICHEC-EC-EARTH_Scaled_Cluster6_repl4</v>
      </c>
      <c r="AF25" s="16" t="s">
        <v>466</v>
      </c>
      <c r="AG25" s="16" t="s">
        <v>467</v>
      </c>
    </row>
    <row r="26" spans="1:33" ht="13.8">
      <c r="A26" s="7" t="str">
        <f t="shared" si="0"/>
        <v>ICHEC-EC-EARTH_Scaled_Cluster6_repl5</v>
      </c>
      <c r="B26" s="8" t="s">
        <v>16</v>
      </c>
      <c r="C26" s="8" t="s">
        <v>54</v>
      </c>
      <c r="D26" s="9" t="s">
        <v>17</v>
      </c>
      <c r="E26" s="9" t="str">
        <f t="shared" si="1"/>
        <v>historical</v>
      </c>
      <c r="F26" s="8">
        <v>350</v>
      </c>
      <c r="G26" s="8" t="s">
        <v>18</v>
      </c>
      <c r="H26" s="8">
        <v>1</v>
      </c>
      <c r="I26" s="19">
        <v>1.2364860585627399E-7</v>
      </c>
      <c r="J26" s="8">
        <v>6</v>
      </c>
      <c r="K26" s="8" t="s">
        <v>161</v>
      </c>
      <c r="L26" s="8">
        <v>5</v>
      </c>
      <c r="M26" s="8">
        <v>1</v>
      </c>
      <c r="N26" s="10" t="s">
        <v>21</v>
      </c>
      <c r="O26" s="17" t="s">
        <v>328</v>
      </c>
      <c r="P26" s="10" t="str">
        <f t="shared" si="2"/>
        <v>ICHEC-EC-EARTH_Scaled_Cluster6_repl5.sqlite</v>
      </c>
      <c r="Q26" s="11">
        <f t="shared" si="3"/>
        <v>13</v>
      </c>
      <c r="R26" s="16" t="str">
        <f t="shared" si="4"/>
        <v>climate_db_ICHEC-EC-EARTH_historical_v4.sqlite</v>
      </c>
      <c r="S26" s="16" t="str">
        <f t="shared" si="5"/>
        <v>log/ICHEC-EC-EARTH_Scaled_Cluster6_repl5.txt</v>
      </c>
      <c r="T26" s="16" t="str">
        <f t="shared" si="6"/>
        <v>init/env_file_CLUSTER06_REPL5_ICHEC-EC-EARTH_historical.csv</v>
      </c>
      <c r="U26" s="16" t="str">
        <f t="shared" si="7"/>
        <v>init/env_grid_CLUSTER06_REPL5.asc</v>
      </c>
      <c r="V26" s="16" t="str">
        <f t="shared" si="8"/>
        <v>init/env_grid_CLUSTER06_REPL5.asc</v>
      </c>
      <c r="W26" s="16" t="str">
        <f t="shared" si="9"/>
        <v>trees_CLUSTER06.csv</v>
      </c>
      <c r="X26" s="16" t="str">
        <f t="shared" si="10"/>
        <v>saplings_CLUSTER06.csv</v>
      </c>
      <c r="Y26" s="16">
        <f t="shared" si="11"/>
        <v>350</v>
      </c>
      <c r="Z26" s="16" t="str">
        <f t="shared" si="12"/>
        <v>abe/no_mgmt.csv</v>
      </c>
      <c r="AA26" s="16" t="str">
        <f t="shared" si="13"/>
        <v>gis/WindModifier_cl6.asc</v>
      </c>
      <c r="AB26" s="16">
        <f t="shared" si="14"/>
        <v>1.23748605856274E-7</v>
      </c>
      <c r="AC26" s="16" t="str">
        <f t="shared" si="15"/>
        <v>ICHEC-EC-EARTH_historical_point29731</v>
      </c>
      <c r="AD26" s="16" t="str">
        <f t="shared" si="16"/>
        <v>wind_Events/Scaled_cl6_repl5.txt</v>
      </c>
      <c r="AE26" s="16" t="str">
        <f t="shared" si="17"/>
        <v>ICHEC-EC-EARTH_Scaled_Cluster6_repl5</v>
      </c>
      <c r="AF26" s="16" t="s">
        <v>468</v>
      </c>
      <c r="AG26" s="16" t="s">
        <v>469</v>
      </c>
    </row>
    <row r="27" spans="1:33" ht="13.8">
      <c r="A27" s="7" t="str">
        <f t="shared" si="0"/>
        <v>ICHEC-EC-EARTH_Scaled_Cluster7_repl1</v>
      </c>
      <c r="B27" s="8" t="s">
        <v>16</v>
      </c>
      <c r="C27" s="8" t="s">
        <v>54</v>
      </c>
      <c r="D27" s="9" t="s">
        <v>17</v>
      </c>
      <c r="E27" s="9" t="str">
        <f t="shared" si="1"/>
        <v>historical</v>
      </c>
      <c r="F27" s="8">
        <v>350</v>
      </c>
      <c r="G27" s="8" t="s">
        <v>18</v>
      </c>
      <c r="H27" s="8">
        <v>1</v>
      </c>
      <c r="I27" s="19">
        <v>4.0645289878109198E-7</v>
      </c>
      <c r="J27" s="8">
        <v>7</v>
      </c>
      <c r="K27" s="8" t="s">
        <v>162</v>
      </c>
      <c r="L27" s="8">
        <v>1</v>
      </c>
      <c r="M27" s="8">
        <v>1</v>
      </c>
      <c r="N27" s="10" t="s">
        <v>21</v>
      </c>
      <c r="O27" s="17" t="s">
        <v>328</v>
      </c>
      <c r="P27" s="10" t="str">
        <f t="shared" si="2"/>
        <v>ICHEC-EC-EARTH_Scaled_Cluster7_repl1.sqlite</v>
      </c>
      <c r="Q27" s="11">
        <f t="shared" si="3"/>
        <v>1</v>
      </c>
      <c r="R27" s="16" t="str">
        <f t="shared" si="4"/>
        <v>climate_db_ICHEC-EC-EARTH_historical_v4.sqlite</v>
      </c>
      <c r="S27" s="16" t="str">
        <f t="shared" si="5"/>
        <v>log/ICHEC-EC-EARTH_Scaled_Cluster7_repl1.txt</v>
      </c>
      <c r="T27" s="16" t="str">
        <f t="shared" si="6"/>
        <v>init/env_file_CLUSTER07_REPL1_ICHEC-EC-EARTH_historical.csv</v>
      </c>
      <c r="U27" s="16" t="str">
        <f t="shared" si="7"/>
        <v>init/env_grid_CLUSTER07_REPL1.asc</v>
      </c>
      <c r="V27" s="16" t="str">
        <f t="shared" si="8"/>
        <v>init/env_grid_CLUSTER07_REPL1.asc</v>
      </c>
      <c r="W27" s="16" t="str">
        <f t="shared" si="9"/>
        <v>trees_CLUSTER07.csv</v>
      </c>
      <c r="X27" s="16" t="str">
        <f t="shared" si="10"/>
        <v>saplings_CLUSTER07.csv</v>
      </c>
      <c r="Y27" s="16">
        <f t="shared" si="11"/>
        <v>350</v>
      </c>
      <c r="Z27" s="16" t="str">
        <f t="shared" si="12"/>
        <v>abe/no_mgmt.csv</v>
      </c>
      <c r="AA27" s="16" t="str">
        <f t="shared" si="13"/>
        <v>gis/WindModifier_cl7.asc</v>
      </c>
      <c r="AB27" s="16">
        <f t="shared" si="14"/>
        <v>4.0655289878109199E-7</v>
      </c>
      <c r="AC27" s="16" t="str">
        <f t="shared" si="15"/>
        <v>ICHEC-EC-EARTH_historical_point26530</v>
      </c>
      <c r="AD27" s="16" t="str">
        <f t="shared" si="16"/>
        <v>wind_Events/Scaled_cl7_repl1.txt</v>
      </c>
      <c r="AE27" s="16" t="str">
        <f t="shared" si="17"/>
        <v>ICHEC-EC-EARTH_Scaled_Cluster7_repl1</v>
      </c>
      <c r="AF27" s="16" t="s">
        <v>340</v>
      </c>
      <c r="AG27" s="16" t="s">
        <v>112</v>
      </c>
    </row>
    <row r="28" spans="1:33" ht="13.8">
      <c r="A28" s="7" t="str">
        <f t="shared" si="0"/>
        <v>ICHEC-EC-EARTH_Scaled_Cluster7_repl2</v>
      </c>
      <c r="B28" s="8" t="s">
        <v>16</v>
      </c>
      <c r="C28" s="8" t="s">
        <v>54</v>
      </c>
      <c r="D28" s="9" t="s">
        <v>17</v>
      </c>
      <c r="E28" s="9" t="str">
        <f t="shared" si="1"/>
        <v>historical</v>
      </c>
      <c r="F28" s="8">
        <v>350</v>
      </c>
      <c r="G28" s="8" t="s">
        <v>18</v>
      </c>
      <c r="H28" s="8">
        <v>1</v>
      </c>
      <c r="I28" s="19">
        <v>4.0645289878109198E-7</v>
      </c>
      <c r="J28" s="8">
        <v>7</v>
      </c>
      <c r="K28" s="8" t="s">
        <v>162</v>
      </c>
      <c r="L28" s="8">
        <v>2</v>
      </c>
      <c r="M28" s="8">
        <v>1</v>
      </c>
      <c r="N28" s="10" t="s">
        <v>21</v>
      </c>
      <c r="O28" s="17" t="s">
        <v>328</v>
      </c>
      <c r="P28" s="10" t="str">
        <f t="shared" si="2"/>
        <v>ICHEC-EC-EARTH_Scaled_Cluster7_repl2.sqlite</v>
      </c>
      <c r="Q28" s="11">
        <f t="shared" si="3"/>
        <v>4</v>
      </c>
      <c r="R28" s="16" t="str">
        <f t="shared" si="4"/>
        <v>climate_db_ICHEC-EC-EARTH_historical_v4.sqlite</v>
      </c>
      <c r="S28" s="16" t="str">
        <f t="shared" si="5"/>
        <v>log/ICHEC-EC-EARTH_Scaled_Cluster7_repl2.txt</v>
      </c>
      <c r="T28" s="16" t="str">
        <f t="shared" si="6"/>
        <v>init/env_file_CLUSTER07_REPL2_ICHEC-EC-EARTH_historical.csv</v>
      </c>
      <c r="U28" s="16" t="str">
        <f t="shared" si="7"/>
        <v>init/env_grid_CLUSTER07_REPL2.asc</v>
      </c>
      <c r="V28" s="16" t="str">
        <f t="shared" si="8"/>
        <v>init/env_grid_CLUSTER07_REPL2.asc</v>
      </c>
      <c r="W28" s="16" t="str">
        <f t="shared" si="9"/>
        <v>trees_CLUSTER07.csv</v>
      </c>
      <c r="X28" s="16" t="str">
        <f t="shared" si="10"/>
        <v>saplings_CLUSTER07.csv</v>
      </c>
      <c r="Y28" s="16">
        <f t="shared" si="11"/>
        <v>350</v>
      </c>
      <c r="Z28" s="16" t="str">
        <f t="shared" si="12"/>
        <v>abe/no_mgmt.csv</v>
      </c>
      <c r="AA28" s="16" t="str">
        <f t="shared" si="13"/>
        <v>gis/WindModifier_cl7.asc</v>
      </c>
      <c r="AB28" s="16">
        <f t="shared" si="14"/>
        <v>4.0655289878109199E-7</v>
      </c>
      <c r="AC28" s="16" t="str">
        <f t="shared" si="15"/>
        <v>ICHEC-EC-EARTH_historical_point26530</v>
      </c>
      <c r="AD28" s="16" t="str">
        <f t="shared" si="16"/>
        <v>wind_Events/Scaled_cl7_repl2.txt</v>
      </c>
      <c r="AE28" s="16" t="str">
        <f t="shared" si="17"/>
        <v>ICHEC-EC-EARTH_Scaled_Cluster7_repl2</v>
      </c>
      <c r="AF28" s="16" t="s">
        <v>470</v>
      </c>
      <c r="AG28" s="16" t="s">
        <v>471</v>
      </c>
    </row>
    <row r="29" spans="1:33" ht="13.8">
      <c r="A29" s="7" t="str">
        <f t="shared" si="0"/>
        <v>ICHEC-EC-EARTH_Scaled_Cluster7_repl3</v>
      </c>
      <c r="B29" s="8" t="s">
        <v>16</v>
      </c>
      <c r="C29" s="8" t="s">
        <v>54</v>
      </c>
      <c r="D29" s="9" t="s">
        <v>17</v>
      </c>
      <c r="E29" s="9" t="str">
        <f t="shared" si="1"/>
        <v>historical</v>
      </c>
      <c r="F29" s="8">
        <v>350</v>
      </c>
      <c r="G29" s="8" t="s">
        <v>18</v>
      </c>
      <c r="H29" s="8">
        <v>1</v>
      </c>
      <c r="I29" s="19">
        <v>4.0645289878109198E-7</v>
      </c>
      <c r="J29" s="8">
        <v>7</v>
      </c>
      <c r="K29" s="8" t="s">
        <v>162</v>
      </c>
      <c r="L29" s="8">
        <v>3</v>
      </c>
      <c r="M29" s="8">
        <v>1</v>
      </c>
      <c r="N29" s="10" t="s">
        <v>21</v>
      </c>
      <c r="O29" s="17" t="s">
        <v>328</v>
      </c>
      <c r="P29" s="10" t="str">
        <f t="shared" si="2"/>
        <v>ICHEC-EC-EARTH_Scaled_Cluster7_repl3.sqlite</v>
      </c>
      <c r="Q29" s="11">
        <f t="shared" si="3"/>
        <v>7</v>
      </c>
      <c r="R29" s="16" t="str">
        <f t="shared" si="4"/>
        <v>climate_db_ICHEC-EC-EARTH_historical_v4.sqlite</v>
      </c>
      <c r="S29" s="16" t="str">
        <f t="shared" si="5"/>
        <v>log/ICHEC-EC-EARTH_Scaled_Cluster7_repl3.txt</v>
      </c>
      <c r="T29" s="16" t="str">
        <f t="shared" si="6"/>
        <v>init/env_file_CLUSTER07_REPL3_ICHEC-EC-EARTH_historical.csv</v>
      </c>
      <c r="U29" s="16" t="str">
        <f t="shared" si="7"/>
        <v>init/env_grid_CLUSTER07_REPL3.asc</v>
      </c>
      <c r="V29" s="16" t="str">
        <f t="shared" si="8"/>
        <v>init/env_grid_CLUSTER07_REPL3.asc</v>
      </c>
      <c r="W29" s="16" t="str">
        <f t="shared" si="9"/>
        <v>trees_CLUSTER07.csv</v>
      </c>
      <c r="X29" s="16" t="str">
        <f t="shared" si="10"/>
        <v>saplings_CLUSTER07.csv</v>
      </c>
      <c r="Y29" s="16">
        <f t="shared" si="11"/>
        <v>350</v>
      </c>
      <c r="Z29" s="16" t="str">
        <f t="shared" si="12"/>
        <v>abe/no_mgmt.csv</v>
      </c>
      <c r="AA29" s="16" t="str">
        <f t="shared" si="13"/>
        <v>gis/WindModifier_cl7.asc</v>
      </c>
      <c r="AB29" s="16">
        <f t="shared" si="14"/>
        <v>4.0655289878109199E-7</v>
      </c>
      <c r="AC29" s="16" t="str">
        <f t="shared" si="15"/>
        <v>ICHEC-EC-EARTH_historical_point26530</v>
      </c>
      <c r="AD29" s="16" t="str">
        <f t="shared" si="16"/>
        <v>wind_Events/Scaled_cl7_repl3.txt</v>
      </c>
      <c r="AE29" s="16" t="str">
        <f t="shared" si="17"/>
        <v>ICHEC-EC-EARTH_Scaled_Cluster7_repl3</v>
      </c>
      <c r="AF29" s="16" t="s">
        <v>472</v>
      </c>
      <c r="AG29" s="16" t="s">
        <v>473</v>
      </c>
    </row>
    <row r="30" spans="1:33" ht="13.8">
      <c r="A30" s="7" t="str">
        <f t="shared" si="0"/>
        <v>ICHEC-EC-EARTH_Scaled_Cluster7_repl4</v>
      </c>
      <c r="B30" s="8" t="s">
        <v>16</v>
      </c>
      <c r="C30" s="8" t="s">
        <v>54</v>
      </c>
      <c r="D30" s="9" t="s">
        <v>17</v>
      </c>
      <c r="E30" s="9" t="str">
        <f t="shared" si="1"/>
        <v>historical</v>
      </c>
      <c r="F30" s="8">
        <v>350</v>
      </c>
      <c r="G30" s="8" t="s">
        <v>18</v>
      </c>
      <c r="H30" s="8">
        <v>1</v>
      </c>
      <c r="I30" s="19">
        <v>4.0645289878109198E-7</v>
      </c>
      <c r="J30" s="8">
        <v>7</v>
      </c>
      <c r="K30" s="8" t="s">
        <v>162</v>
      </c>
      <c r="L30" s="8">
        <v>4</v>
      </c>
      <c r="M30" s="8">
        <v>1</v>
      </c>
      <c r="N30" s="10" t="s">
        <v>21</v>
      </c>
      <c r="O30" s="17" t="s">
        <v>328</v>
      </c>
      <c r="P30" s="10" t="str">
        <f t="shared" si="2"/>
        <v>ICHEC-EC-EARTH_Scaled_Cluster7_repl4.sqlite</v>
      </c>
      <c r="Q30" s="11">
        <f t="shared" si="3"/>
        <v>10</v>
      </c>
      <c r="R30" s="16" t="str">
        <f t="shared" si="4"/>
        <v>climate_db_ICHEC-EC-EARTH_historical_v4.sqlite</v>
      </c>
      <c r="S30" s="16" t="str">
        <f t="shared" si="5"/>
        <v>log/ICHEC-EC-EARTH_Scaled_Cluster7_repl4.txt</v>
      </c>
      <c r="T30" s="16" t="str">
        <f t="shared" si="6"/>
        <v>init/env_file_CLUSTER07_REPL4_ICHEC-EC-EARTH_historical.csv</v>
      </c>
      <c r="U30" s="16" t="str">
        <f t="shared" si="7"/>
        <v>init/env_grid_CLUSTER07_REPL4.asc</v>
      </c>
      <c r="V30" s="16" t="str">
        <f t="shared" si="8"/>
        <v>init/env_grid_CLUSTER07_REPL4.asc</v>
      </c>
      <c r="W30" s="16" t="str">
        <f t="shared" si="9"/>
        <v>trees_CLUSTER07.csv</v>
      </c>
      <c r="X30" s="16" t="str">
        <f t="shared" si="10"/>
        <v>saplings_CLUSTER07.csv</v>
      </c>
      <c r="Y30" s="16">
        <f t="shared" si="11"/>
        <v>350</v>
      </c>
      <c r="Z30" s="16" t="str">
        <f t="shared" si="12"/>
        <v>abe/no_mgmt.csv</v>
      </c>
      <c r="AA30" s="16" t="str">
        <f t="shared" si="13"/>
        <v>gis/WindModifier_cl7.asc</v>
      </c>
      <c r="AB30" s="16">
        <f t="shared" si="14"/>
        <v>4.0655289878109199E-7</v>
      </c>
      <c r="AC30" s="16" t="str">
        <f t="shared" si="15"/>
        <v>ICHEC-EC-EARTH_historical_point26530</v>
      </c>
      <c r="AD30" s="16" t="str">
        <f t="shared" si="16"/>
        <v>wind_Events/Scaled_cl7_repl4.txt</v>
      </c>
      <c r="AE30" s="16" t="str">
        <f t="shared" si="17"/>
        <v>ICHEC-EC-EARTH_Scaled_Cluster7_repl4</v>
      </c>
      <c r="AF30" s="16" t="s">
        <v>474</v>
      </c>
      <c r="AG30" s="16" t="s">
        <v>475</v>
      </c>
    </row>
    <row r="31" spans="1:33" ht="13.8">
      <c r="A31" s="7" t="str">
        <f t="shared" si="0"/>
        <v>ICHEC-EC-EARTH_Scaled_Cluster7_repl5</v>
      </c>
      <c r="B31" s="8" t="s">
        <v>16</v>
      </c>
      <c r="C31" s="8" t="s">
        <v>54</v>
      </c>
      <c r="D31" s="9" t="s">
        <v>17</v>
      </c>
      <c r="E31" s="9" t="str">
        <f t="shared" si="1"/>
        <v>historical</v>
      </c>
      <c r="F31" s="8">
        <v>350</v>
      </c>
      <c r="G31" s="8" t="s">
        <v>18</v>
      </c>
      <c r="H31" s="8">
        <v>1</v>
      </c>
      <c r="I31" s="19">
        <v>4.0645289878109198E-7</v>
      </c>
      <c r="J31" s="8">
        <v>7</v>
      </c>
      <c r="K31" s="8" t="s">
        <v>162</v>
      </c>
      <c r="L31" s="8">
        <v>5</v>
      </c>
      <c r="M31" s="8">
        <v>1</v>
      </c>
      <c r="N31" s="10" t="s">
        <v>21</v>
      </c>
      <c r="O31" s="17" t="s">
        <v>328</v>
      </c>
      <c r="P31" s="10" t="str">
        <f t="shared" si="2"/>
        <v>ICHEC-EC-EARTH_Scaled_Cluster7_repl5.sqlite</v>
      </c>
      <c r="Q31" s="11">
        <f t="shared" si="3"/>
        <v>13</v>
      </c>
      <c r="R31" s="16" t="str">
        <f t="shared" si="4"/>
        <v>climate_db_ICHEC-EC-EARTH_historical_v4.sqlite</v>
      </c>
      <c r="S31" s="16" t="str">
        <f t="shared" si="5"/>
        <v>log/ICHEC-EC-EARTH_Scaled_Cluster7_repl5.txt</v>
      </c>
      <c r="T31" s="16" t="str">
        <f t="shared" si="6"/>
        <v>init/env_file_CLUSTER07_REPL5_ICHEC-EC-EARTH_historical.csv</v>
      </c>
      <c r="U31" s="16" t="str">
        <f t="shared" si="7"/>
        <v>init/env_grid_CLUSTER07_REPL5.asc</v>
      </c>
      <c r="V31" s="16" t="str">
        <f t="shared" si="8"/>
        <v>init/env_grid_CLUSTER07_REPL5.asc</v>
      </c>
      <c r="W31" s="16" t="str">
        <f t="shared" si="9"/>
        <v>trees_CLUSTER07.csv</v>
      </c>
      <c r="X31" s="16" t="str">
        <f t="shared" si="10"/>
        <v>saplings_CLUSTER07.csv</v>
      </c>
      <c r="Y31" s="16">
        <f t="shared" si="11"/>
        <v>350</v>
      </c>
      <c r="Z31" s="16" t="str">
        <f t="shared" si="12"/>
        <v>abe/no_mgmt.csv</v>
      </c>
      <c r="AA31" s="16" t="str">
        <f t="shared" si="13"/>
        <v>gis/WindModifier_cl7.asc</v>
      </c>
      <c r="AB31" s="16">
        <f t="shared" si="14"/>
        <v>4.0655289878109199E-7</v>
      </c>
      <c r="AC31" s="16" t="str">
        <f t="shared" si="15"/>
        <v>ICHEC-EC-EARTH_historical_point26530</v>
      </c>
      <c r="AD31" s="16" t="str">
        <f t="shared" si="16"/>
        <v>wind_Events/Scaled_cl7_repl5.txt</v>
      </c>
      <c r="AE31" s="16" t="str">
        <f t="shared" si="17"/>
        <v>ICHEC-EC-EARTH_Scaled_Cluster7_repl5</v>
      </c>
      <c r="AF31" s="16" t="s">
        <v>476</v>
      </c>
      <c r="AG31" s="16" t="s">
        <v>477</v>
      </c>
    </row>
    <row r="32" spans="1:33" ht="13.8">
      <c r="A32" s="7" t="str">
        <f t="shared" si="0"/>
        <v>ICHEC-EC-EARTH_Scaled_Cluster8_repl1</v>
      </c>
      <c r="B32" s="8" t="s">
        <v>16</v>
      </c>
      <c r="C32" s="8" t="s">
        <v>54</v>
      </c>
      <c r="D32" s="9" t="s">
        <v>17</v>
      </c>
      <c r="E32" s="9" t="str">
        <f t="shared" si="1"/>
        <v>historical</v>
      </c>
      <c r="F32" s="8">
        <v>350</v>
      </c>
      <c r="G32" s="8" t="s">
        <v>18</v>
      </c>
      <c r="H32" s="8">
        <v>1</v>
      </c>
      <c r="I32" s="19">
        <v>4.8133740840721197E-6</v>
      </c>
      <c r="J32" s="8">
        <v>8</v>
      </c>
      <c r="K32" s="8" t="s">
        <v>163</v>
      </c>
      <c r="L32" s="8">
        <v>1</v>
      </c>
      <c r="M32" s="8">
        <v>1</v>
      </c>
      <c r="N32" s="10" t="s">
        <v>21</v>
      </c>
      <c r="O32" s="17" t="s">
        <v>328</v>
      </c>
      <c r="P32" s="10" t="str">
        <f t="shared" si="2"/>
        <v>ICHEC-EC-EARTH_Scaled_Cluster8_repl1.sqlite</v>
      </c>
      <c r="Q32" s="11">
        <f t="shared" si="3"/>
        <v>1</v>
      </c>
      <c r="R32" s="16" t="str">
        <f t="shared" si="4"/>
        <v>climate_db_ICHEC-EC-EARTH_historical_v4.sqlite</v>
      </c>
      <c r="S32" s="16" t="str">
        <f t="shared" si="5"/>
        <v>log/ICHEC-EC-EARTH_Scaled_Cluster8_repl1.txt</v>
      </c>
      <c r="T32" s="16" t="str">
        <f t="shared" si="6"/>
        <v>init/env_file_CLUSTER08_REPL1_ICHEC-EC-EARTH_historical.csv</v>
      </c>
      <c r="U32" s="16" t="str">
        <f t="shared" si="7"/>
        <v>init/env_grid_CLUSTER08_REPL1.asc</v>
      </c>
      <c r="V32" s="16" t="str">
        <f t="shared" si="8"/>
        <v>init/env_grid_CLUSTER08_REPL1.asc</v>
      </c>
      <c r="W32" s="16" t="str">
        <f t="shared" si="9"/>
        <v>trees_CLUSTER08.csv</v>
      </c>
      <c r="X32" s="16" t="str">
        <f t="shared" si="10"/>
        <v>saplings_CLUSTER08.csv</v>
      </c>
      <c r="Y32" s="16">
        <f t="shared" si="11"/>
        <v>350</v>
      </c>
      <c r="Z32" s="16" t="str">
        <f t="shared" si="12"/>
        <v>abe/no_mgmt.csv</v>
      </c>
      <c r="AA32" s="16" t="str">
        <f t="shared" si="13"/>
        <v>gis/WindModifier_cl8.asc</v>
      </c>
      <c r="AB32" s="16">
        <f t="shared" si="14"/>
        <v>4.8134740840721199E-6</v>
      </c>
      <c r="AC32" s="16" t="str">
        <f t="shared" si="15"/>
        <v>ICHEC-EC-EARTH_historical_point34569</v>
      </c>
      <c r="AD32" s="16" t="str">
        <f t="shared" si="16"/>
        <v>wind_Events/Scaled_cl8_repl1.txt</v>
      </c>
      <c r="AE32" s="16" t="str">
        <f t="shared" si="17"/>
        <v>ICHEC-EC-EARTH_Scaled_Cluster8_repl1</v>
      </c>
      <c r="AF32" s="16" t="s">
        <v>341</v>
      </c>
      <c r="AG32" s="16" t="s">
        <v>342</v>
      </c>
    </row>
    <row r="33" spans="1:33" ht="13.8">
      <c r="A33" s="7" t="str">
        <f t="shared" si="0"/>
        <v>ICHEC-EC-EARTH_Scaled_Cluster8_repl2</v>
      </c>
      <c r="B33" s="8" t="s">
        <v>16</v>
      </c>
      <c r="C33" s="8" t="s">
        <v>54</v>
      </c>
      <c r="D33" s="9" t="s">
        <v>17</v>
      </c>
      <c r="E33" s="9" t="str">
        <f t="shared" si="1"/>
        <v>historical</v>
      </c>
      <c r="F33" s="8">
        <v>350</v>
      </c>
      <c r="G33" s="8" t="s">
        <v>18</v>
      </c>
      <c r="H33" s="8">
        <v>1</v>
      </c>
      <c r="I33" s="19">
        <v>4.8133740840721197E-6</v>
      </c>
      <c r="J33" s="8">
        <v>8</v>
      </c>
      <c r="K33" s="8" t="s">
        <v>163</v>
      </c>
      <c r="L33" s="8">
        <v>2</v>
      </c>
      <c r="M33" s="8">
        <v>1</v>
      </c>
      <c r="N33" s="10" t="s">
        <v>21</v>
      </c>
      <c r="O33" s="17" t="s">
        <v>328</v>
      </c>
      <c r="P33" s="10" t="str">
        <f t="shared" si="2"/>
        <v>ICHEC-EC-EARTH_Scaled_Cluster8_repl2.sqlite</v>
      </c>
      <c r="Q33" s="11">
        <f t="shared" si="3"/>
        <v>4</v>
      </c>
      <c r="R33" s="16" t="str">
        <f t="shared" si="4"/>
        <v>climate_db_ICHEC-EC-EARTH_historical_v4.sqlite</v>
      </c>
      <c r="S33" s="16" t="str">
        <f t="shared" si="5"/>
        <v>log/ICHEC-EC-EARTH_Scaled_Cluster8_repl2.txt</v>
      </c>
      <c r="T33" s="16" t="str">
        <f t="shared" si="6"/>
        <v>init/env_file_CLUSTER08_REPL2_ICHEC-EC-EARTH_historical.csv</v>
      </c>
      <c r="U33" s="16" t="str">
        <f t="shared" si="7"/>
        <v>init/env_grid_CLUSTER08_REPL2.asc</v>
      </c>
      <c r="V33" s="16" t="str">
        <f t="shared" si="8"/>
        <v>init/env_grid_CLUSTER08_REPL2.asc</v>
      </c>
      <c r="W33" s="16" t="str">
        <f t="shared" si="9"/>
        <v>trees_CLUSTER08.csv</v>
      </c>
      <c r="X33" s="16" t="str">
        <f t="shared" si="10"/>
        <v>saplings_CLUSTER08.csv</v>
      </c>
      <c r="Y33" s="16">
        <f t="shared" si="11"/>
        <v>350</v>
      </c>
      <c r="Z33" s="16" t="str">
        <f t="shared" si="12"/>
        <v>abe/no_mgmt.csv</v>
      </c>
      <c r="AA33" s="16" t="str">
        <f t="shared" si="13"/>
        <v>gis/WindModifier_cl8.asc</v>
      </c>
      <c r="AB33" s="16">
        <f t="shared" si="14"/>
        <v>4.8134740840721199E-6</v>
      </c>
      <c r="AC33" s="16" t="str">
        <f t="shared" si="15"/>
        <v>ICHEC-EC-EARTH_historical_point34569</v>
      </c>
      <c r="AD33" s="16" t="str">
        <f t="shared" si="16"/>
        <v>wind_Events/Scaled_cl8_repl2.txt</v>
      </c>
      <c r="AE33" s="16" t="str">
        <f t="shared" si="17"/>
        <v>ICHEC-EC-EARTH_Scaled_Cluster8_repl2</v>
      </c>
      <c r="AF33" s="16" t="s">
        <v>478</v>
      </c>
      <c r="AG33" s="16" t="s">
        <v>479</v>
      </c>
    </row>
    <row r="34" spans="1:33" ht="13.8">
      <c r="A34" s="7" t="str">
        <f t="shared" ref="A34:A65" si="18" xml:space="preserve"> G34 &amp; "_" &amp; C34 &amp;"Cluster" &amp; J34 &amp; "_repl" &amp; L34</f>
        <v>ICHEC-EC-EARTH_Scaled_Cluster8_repl3</v>
      </c>
      <c r="B34" s="8" t="s">
        <v>16</v>
      </c>
      <c r="C34" s="8" t="s">
        <v>54</v>
      </c>
      <c r="D34" s="9" t="s">
        <v>17</v>
      </c>
      <c r="E34" s="9" t="str">
        <f t="shared" ref="E34:E65" si="19">IF(D34="historical", "historical", IF(D34="RCP26", "rcp_2_6", IF(D34="RCP45", "rcp_4_5", "rcp_8_5")))</f>
        <v>historical</v>
      </c>
      <c r="F34" s="8">
        <v>350</v>
      </c>
      <c r="G34" s="8" t="s">
        <v>18</v>
      </c>
      <c r="H34" s="8">
        <v>1</v>
      </c>
      <c r="I34" s="19">
        <v>4.8133740840721197E-6</v>
      </c>
      <c r="J34" s="8">
        <v>8</v>
      </c>
      <c r="K34" s="8" t="s">
        <v>163</v>
      </c>
      <c r="L34" s="8">
        <v>3</v>
      </c>
      <c r="M34" s="8">
        <v>1</v>
      </c>
      <c r="N34" s="10" t="s">
        <v>21</v>
      </c>
      <c r="O34" s="17" t="s">
        <v>328</v>
      </c>
      <c r="P34" s="10" t="str">
        <f t="shared" ref="P34:P65" si="20">A34  &amp; ".sqlite"</f>
        <v>ICHEC-EC-EARTH_Scaled_Cluster8_repl3.sqlite</v>
      </c>
      <c r="Q34" s="11">
        <f t="shared" ref="Q34:Q65" si="21">(L34-1)*3+H34</f>
        <v>7</v>
      </c>
      <c r="R34" s="16" t="str">
        <f t="shared" ref="R34:R65" si="22">"climate_db_" &amp; G34&amp; "_" &amp;  E34&amp; "_v4.sqlite"</f>
        <v>climate_db_ICHEC-EC-EARTH_historical_v4.sqlite</v>
      </c>
      <c r="S34" s="16" t="str">
        <f t="shared" ref="S34:S65" si="23">"log/" &amp;A34  &amp; ".txt"</f>
        <v>log/ICHEC-EC-EARTH_Scaled_Cluster8_repl3.txt</v>
      </c>
      <c r="T34" s="16" t="str">
        <f t="shared" ref="T34:T65" si="24">"init/env_file_CLUSTER" &amp; TEXT(J34, "00") &amp; "_REPL" &amp; L34 &amp; "_" &amp; G34 &amp; "_" &amp; E34 &amp; ".csv"</f>
        <v>init/env_file_CLUSTER08_REPL3_ICHEC-EC-EARTH_historical.csv</v>
      </c>
      <c r="U34" s="16" t="str">
        <f t="shared" ref="U34:U65" si="25">"init/env_grid_CLUSTER" &amp; TEXT(J34, "00") &amp; "_REPL" &amp; L34 &amp; ".asc"</f>
        <v>init/env_grid_CLUSTER08_REPL3.asc</v>
      </c>
      <c r="V34" s="16" t="str">
        <f t="shared" ref="V34:V65" si="26">U34</f>
        <v>init/env_grid_CLUSTER08_REPL3.asc</v>
      </c>
      <c r="W34" s="16" t="str">
        <f t="shared" ref="W34:W65" si="27">"trees_CLUSTER" &amp; TEXT(J34, "00")  &amp; ".csv"</f>
        <v>trees_CLUSTER08.csv</v>
      </c>
      <c r="X34" s="16" t="str">
        <f t="shared" ref="X34:X65" si="28">"saplings_CLUSTER" &amp; TEXT(J34, "00")  &amp; ".csv"</f>
        <v>saplings_CLUSTER08.csv</v>
      </c>
      <c r="Y34" s="16">
        <f t="shared" ref="Y34:Y65" si="29">F34</f>
        <v>350</v>
      </c>
      <c r="Z34" s="16" t="str">
        <f t="shared" ref="Z34:Z65" si="30">"abe/no_mgmt.csv"</f>
        <v>abe/no_mgmt.csv</v>
      </c>
      <c r="AA34" s="16" t="str">
        <f t="shared" ref="AA34:AA65" si="31">"gis/WindModifier_cl" &amp; J34 &amp; ".asc"</f>
        <v>gis/WindModifier_cl8.asc</v>
      </c>
      <c r="AB34" s="16">
        <f t="shared" ref="AB34:AB65" si="32">IF(C34="Scaled_", I34+0.0000000001,  0.000685)</f>
        <v>4.8134740840721199E-6</v>
      </c>
      <c r="AC34" s="16" t="str">
        <f t="shared" ref="AC34:AC65" si="33">G34 &amp; "_" &amp; E34 &amp; "_point" &amp; K34</f>
        <v>ICHEC-EC-EARTH_historical_point34569</v>
      </c>
      <c r="AD34" s="16" t="str">
        <f t="shared" ref="AD34:AD65" si="34">"wind_Events/" &amp; C34 &amp; "cl" &amp; J34 &amp; "_repl" &amp; L34 &amp; ".txt"</f>
        <v>wind_Events/Scaled_cl8_repl3.txt</v>
      </c>
      <c r="AE34" s="16" t="str">
        <f t="shared" ref="AE34:AE65" si="35">A34</f>
        <v>ICHEC-EC-EARTH_Scaled_Cluster8_repl3</v>
      </c>
      <c r="AF34" s="16" t="s">
        <v>480</v>
      </c>
      <c r="AG34" s="16" t="s">
        <v>481</v>
      </c>
    </row>
    <row r="35" spans="1:33" ht="13.8">
      <c r="A35" s="7" t="str">
        <f t="shared" si="18"/>
        <v>ICHEC-EC-EARTH_Scaled_Cluster8_repl4</v>
      </c>
      <c r="B35" s="8" t="s">
        <v>16</v>
      </c>
      <c r="C35" s="8" t="s">
        <v>54</v>
      </c>
      <c r="D35" s="9" t="s">
        <v>17</v>
      </c>
      <c r="E35" s="9" t="str">
        <f t="shared" si="19"/>
        <v>historical</v>
      </c>
      <c r="F35" s="8">
        <v>350</v>
      </c>
      <c r="G35" s="8" t="s">
        <v>18</v>
      </c>
      <c r="H35" s="8">
        <v>1</v>
      </c>
      <c r="I35" s="19">
        <v>4.8133740840721197E-6</v>
      </c>
      <c r="J35" s="8">
        <v>8</v>
      </c>
      <c r="K35" s="8" t="s">
        <v>163</v>
      </c>
      <c r="L35" s="8">
        <v>4</v>
      </c>
      <c r="M35" s="8">
        <v>1</v>
      </c>
      <c r="N35" s="10" t="s">
        <v>21</v>
      </c>
      <c r="O35" s="17" t="s">
        <v>328</v>
      </c>
      <c r="P35" s="10" t="str">
        <f t="shared" si="20"/>
        <v>ICHEC-EC-EARTH_Scaled_Cluster8_repl4.sqlite</v>
      </c>
      <c r="Q35" s="11">
        <f t="shared" si="21"/>
        <v>10</v>
      </c>
      <c r="R35" s="16" t="str">
        <f t="shared" si="22"/>
        <v>climate_db_ICHEC-EC-EARTH_historical_v4.sqlite</v>
      </c>
      <c r="S35" s="16" t="str">
        <f t="shared" si="23"/>
        <v>log/ICHEC-EC-EARTH_Scaled_Cluster8_repl4.txt</v>
      </c>
      <c r="T35" s="16" t="str">
        <f t="shared" si="24"/>
        <v>init/env_file_CLUSTER08_REPL4_ICHEC-EC-EARTH_historical.csv</v>
      </c>
      <c r="U35" s="16" t="str">
        <f t="shared" si="25"/>
        <v>init/env_grid_CLUSTER08_REPL4.asc</v>
      </c>
      <c r="V35" s="16" t="str">
        <f t="shared" si="26"/>
        <v>init/env_grid_CLUSTER08_REPL4.asc</v>
      </c>
      <c r="W35" s="16" t="str">
        <f t="shared" si="27"/>
        <v>trees_CLUSTER08.csv</v>
      </c>
      <c r="X35" s="16" t="str">
        <f t="shared" si="28"/>
        <v>saplings_CLUSTER08.csv</v>
      </c>
      <c r="Y35" s="16">
        <f t="shared" si="29"/>
        <v>350</v>
      </c>
      <c r="Z35" s="16" t="str">
        <f t="shared" si="30"/>
        <v>abe/no_mgmt.csv</v>
      </c>
      <c r="AA35" s="16" t="str">
        <f t="shared" si="31"/>
        <v>gis/WindModifier_cl8.asc</v>
      </c>
      <c r="AB35" s="16">
        <f t="shared" si="32"/>
        <v>4.8134740840721199E-6</v>
      </c>
      <c r="AC35" s="16" t="str">
        <f t="shared" si="33"/>
        <v>ICHEC-EC-EARTH_historical_point34569</v>
      </c>
      <c r="AD35" s="16" t="str">
        <f t="shared" si="34"/>
        <v>wind_Events/Scaled_cl8_repl4.txt</v>
      </c>
      <c r="AE35" s="16" t="str">
        <f t="shared" si="35"/>
        <v>ICHEC-EC-EARTH_Scaled_Cluster8_repl4</v>
      </c>
      <c r="AF35" s="16" t="s">
        <v>482</v>
      </c>
      <c r="AG35" s="16" t="s">
        <v>483</v>
      </c>
    </row>
    <row r="36" spans="1:33" ht="13.8">
      <c r="A36" s="7" t="str">
        <f t="shared" si="18"/>
        <v>ICHEC-EC-EARTH_Scaled_Cluster8_repl5</v>
      </c>
      <c r="B36" s="8" t="s">
        <v>16</v>
      </c>
      <c r="C36" s="8" t="s">
        <v>54</v>
      </c>
      <c r="D36" s="9" t="s">
        <v>17</v>
      </c>
      <c r="E36" s="9" t="str">
        <f t="shared" si="19"/>
        <v>historical</v>
      </c>
      <c r="F36" s="8">
        <v>350</v>
      </c>
      <c r="G36" s="8" t="s">
        <v>18</v>
      </c>
      <c r="H36" s="8">
        <v>1</v>
      </c>
      <c r="I36" s="19">
        <v>4.8133740840721197E-6</v>
      </c>
      <c r="J36" s="8">
        <v>8</v>
      </c>
      <c r="K36" s="8" t="s">
        <v>163</v>
      </c>
      <c r="L36" s="8">
        <v>5</v>
      </c>
      <c r="M36" s="8">
        <v>1</v>
      </c>
      <c r="N36" s="10" t="s">
        <v>21</v>
      </c>
      <c r="O36" s="17" t="s">
        <v>328</v>
      </c>
      <c r="P36" s="10" t="str">
        <f t="shared" si="20"/>
        <v>ICHEC-EC-EARTH_Scaled_Cluster8_repl5.sqlite</v>
      </c>
      <c r="Q36" s="11">
        <f t="shared" si="21"/>
        <v>13</v>
      </c>
      <c r="R36" s="16" t="str">
        <f t="shared" si="22"/>
        <v>climate_db_ICHEC-EC-EARTH_historical_v4.sqlite</v>
      </c>
      <c r="S36" s="16" t="str">
        <f t="shared" si="23"/>
        <v>log/ICHEC-EC-EARTH_Scaled_Cluster8_repl5.txt</v>
      </c>
      <c r="T36" s="16" t="str">
        <f t="shared" si="24"/>
        <v>init/env_file_CLUSTER08_REPL5_ICHEC-EC-EARTH_historical.csv</v>
      </c>
      <c r="U36" s="16" t="str">
        <f t="shared" si="25"/>
        <v>init/env_grid_CLUSTER08_REPL5.asc</v>
      </c>
      <c r="V36" s="16" t="str">
        <f t="shared" si="26"/>
        <v>init/env_grid_CLUSTER08_REPL5.asc</v>
      </c>
      <c r="W36" s="16" t="str">
        <f t="shared" si="27"/>
        <v>trees_CLUSTER08.csv</v>
      </c>
      <c r="X36" s="16" t="str">
        <f t="shared" si="28"/>
        <v>saplings_CLUSTER08.csv</v>
      </c>
      <c r="Y36" s="16">
        <f t="shared" si="29"/>
        <v>350</v>
      </c>
      <c r="Z36" s="16" t="str">
        <f t="shared" si="30"/>
        <v>abe/no_mgmt.csv</v>
      </c>
      <c r="AA36" s="16" t="str">
        <f t="shared" si="31"/>
        <v>gis/WindModifier_cl8.asc</v>
      </c>
      <c r="AB36" s="16">
        <f t="shared" si="32"/>
        <v>4.8134740840721199E-6</v>
      </c>
      <c r="AC36" s="16" t="str">
        <f t="shared" si="33"/>
        <v>ICHEC-EC-EARTH_historical_point34569</v>
      </c>
      <c r="AD36" s="16" t="str">
        <f t="shared" si="34"/>
        <v>wind_Events/Scaled_cl8_repl5.txt</v>
      </c>
      <c r="AE36" s="16" t="str">
        <f t="shared" si="35"/>
        <v>ICHEC-EC-EARTH_Scaled_Cluster8_repl5</v>
      </c>
      <c r="AF36" s="16" t="s">
        <v>484</v>
      </c>
      <c r="AG36" s="16" t="s">
        <v>485</v>
      </c>
    </row>
    <row r="37" spans="1:33" ht="13.8">
      <c r="A37" s="7" t="str">
        <f t="shared" si="18"/>
        <v>ICHEC-EC-EARTH_Scaled_Cluster10_repl1</v>
      </c>
      <c r="B37" s="8" t="s">
        <v>16</v>
      </c>
      <c r="C37" s="8" t="s">
        <v>54</v>
      </c>
      <c r="D37" s="9" t="s">
        <v>17</v>
      </c>
      <c r="E37" s="9" t="str">
        <f t="shared" si="19"/>
        <v>historical</v>
      </c>
      <c r="F37" s="8">
        <v>350</v>
      </c>
      <c r="G37" s="8" t="s">
        <v>18</v>
      </c>
      <c r="H37" s="8">
        <v>1</v>
      </c>
      <c r="I37" s="19">
        <v>2.5405658160224899E-6</v>
      </c>
      <c r="J37" s="8">
        <v>10</v>
      </c>
      <c r="K37" s="8" t="s">
        <v>164</v>
      </c>
      <c r="L37" s="8">
        <v>1</v>
      </c>
      <c r="M37" s="8">
        <v>1</v>
      </c>
      <c r="N37" s="10" t="s">
        <v>21</v>
      </c>
      <c r="O37" s="17" t="s">
        <v>328</v>
      </c>
      <c r="P37" s="10" t="str">
        <f t="shared" si="20"/>
        <v>ICHEC-EC-EARTH_Scaled_Cluster10_repl1.sqlite</v>
      </c>
      <c r="Q37" s="11">
        <f t="shared" si="21"/>
        <v>1</v>
      </c>
      <c r="R37" s="16" t="str">
        <f t="shared" si="22"/>
        <v>climate_db_ICHEC-EC-EARTH_historical_v4.sqlite</v>
      </c>
      <c r="S37" s="16" t="str">
        <f t="shared" si="23"/>
        <v>log/ICHEC-EC-EARTH_Scaled_Cluster10_repl1.txt</v>
      </c>
      <c r="T37" s="16" t="str">
        <f t="shared" si="24"/>
        <v>init/env_file_CLUSTER10_REPL1_ICHEC-EC-EARTH_historical.csv</v>
      </c>
      <c r="U37" s="16" t="str">
        <f t="shared" si="25"/>
        <v>init/env_grid_CLUSTER10_REPL1.asc</v>
      </c>
      <c r="V37" s="16" t="str">
        <f t="shared" si="26"/>
        <v>init/env_grid_CLUSTER10_REPL1.asc</v>
      </c>
      <c r="W37" s="16" t="str">
        <f t="shared" si="27"/>
        <v>trees_CLUSTER10.csv</v>
      </c>
      <c r="X37" s="16" t="str">
        <f t="shared" si="28"/>
        <v>saplings_CLUSTER10.csv</v>
      </c>
      <c r="Y37" s="16">
        <f t="shared" si="29"/>
        <v>350</v>
      </c>
      <c r="Z37" s="16" t="str">
        <f t="shared" si="30"/>
        <v>abe/no_mgmt.csv</v>
      </c>
      <c r="AA37" s="16" t="str">
        <f t="shared" si="31"/>
        <v>gis/WindModifier_cl10.asc</v>
      </c>
      <c r="AB37" s="16">
        <f t="shared" si="32"/>
        <v>2.5406658160224897E-6</v>
      </c>
      <c r="AC37" s="16" t="str">
        <f t="shared" si="33"/>
        <v>ICHEC-EC-EARTH_historical_point38183</v>
      </c>
      <c r="AD37" s="16" t="str">
        <f t="shared" si="34"/>
        <v>wind_Events/Scaled_cl10_repl1.txt</v>
      </c>
      <c r="AE37" s="16" t="str">
        <f t="shared" si="35"/>
        <v>ICHEC-EC-EARTH_Scaled_Cluster10_repl1</v>
      </c>
      <c r="AF37" s="16" t="s">
        <v>343</v>
      </c>
      <c r="AG37" s="16" t="s">
        <v>344</v>
      </c>
    </row>
    <row r="38" spans="1:33" ht="13.8">
      <c r="A38" s="7" t="str">
        <f t="shared" si="18"/>
        <v>ICHEC-EC-EARTH_Scaled_Cluster10_repl2</v>
      </c>
      <c r="B38" s="8" t="s">
        <v>16</v>
      </c>
      <c r="C38" s="8" t="s">
        <v>54</v>
      </c>
      <c r="D38" s="9" t="s">
        <v>17</v>
      </c>
      <c r="E38" s="9" t="str">
        <f t="shared" si="19"/>
        <v>historical</v>
      </c>
      <c r="F38" s="8">
        <v>350</v>
      </c>
      <c r="G38" s="8" t="s">
        <v>18</v>
      </c>
      <c r="H38" s="8">
        <v>1</v>
      </c>
      <c r="I38" s="19">
        <v>2.5405658160224899E-6</v>
      </c>
      <c r="J38" s="8">
        <v>10</v>
      </c>
      <c r="K38" s="8" t="s">
        <v>164</v>
      </c>
      <c r="L38" s="8">
        <v>2</v>
      </c>
      <c r="M38" s="8">
        <v>1</v>
      </c>
      <c r="N38" s="10" t="s">
        <v>21</v>
      </c>
      <c r="O38" s="17" t="s">
        <v>328</v>
      </c>
      <c r="P38" s="10" t="str">
        <f t="shared" si="20"/>
        <v>ICHEC-EC-EARTH_Scaled_Cluster10_repl2.sqlite</v>
      </c>
      <c r="Q38" s="11">
        <f t="shared" si="21"/>
        <v>4</v>
      </c>
      <c r="R38" s="16" t="str">
        <f t="shared" si="22"/>
        <v>climate_db_ICHEC-EC-EARTH_historical_v4.sqlite</v>
      </c>
      <c r="S38" s="16" t="str">
        <f t="shared" si="23"/>
        <v>log/ICHEC-EC-EARTH_Scaled_Cluster10_repl2.txt</v>
      </c>
      <c r="T38" s="16" t="str">
        <f t="shared" si="24"/>
        <v>init/env_file_CLUSTER10_REPL2_ICHEC-EC-EARTH_historical.csv</v>
      </c>
      <c r="U38" s="16" t="str">
        <f t="shared" si="25"/>
        <v>init/env_grid_CLUSTER10_REPL2.asc</v>
      </c>
      <c r="V38" s="16" t="str">
        <f t="shared" si="26"/>
        <v>init/env_grid_CLUSTER10_REPL2.asc</v>
      </c>
      <c r="W38" s="16" t="str">
        <f t="shared" si="27"/>
        <v>trees_CLUSTER10.csv</v>
      </c>
      <c r="X38" s="16" t="str">
        <f t="shared" si="28"/>
        <v>saplings_CLUSTER10.csv</v>
      </c>
      <c r="Y38" s="16">
        <f t="shared" si="29"/>
        <v>350</v>
      </c>
      <c r="Z38" s="16" t="str">
        <f t="shared" si="30"/>
        <v>abe/no_mgmt.csv</v>
      </c>
      <c r="AA38" s="16" t="str">
        <f t="shared" si="31"/>
        <v>gis/WindModifier_cl10.asc</v>
      </c>
      <c r="AB38" s="16">
        <f t="shared" si="32"/>
        <v>2.5406658160224897E-6</v>
      </c>
      <c r="AC38" s="16" t="str">
        <f t="shared" si="33"/>
        <v>ICHEC-EC-EARTH_historical_point38183</v>
      </c>
      <c r="AD38" s="16" t="str">
        <f t="shared" si="34"/>
        <v>wind_Events/Scaled_cl10_repl2.txt</v>
      </c>
      <c r="AE38" s="16" t="str">
        <f t="shared" si="35"/>
        <v>ICHEC-EC-EARTH_Scaled_Cluster10_repl2</v>
      </c>
      <c r="AF38" s="16" t="s">
        <v>486</v>
      </c>
      <c r="AG38" s="16" t="s">
        <v>487</v>
      </c>
    </row>
    <row r="39" spans="1:33" ht="13.8">
      <c r="A39" s="7" t="str">
        <f t="shared" si="18"/>
        <v>ICHEC-EC-EARTH_Scaled_Cluster10_repl3</v>
      </c>
      <c r="B39" s="8" t="s">
        <v>16</v>
      </c>
      <c r="C39" s="8" t="s">
        <v>54</v>
      </c>
      <c r="D39" s="9" t="s">
        <v>17</v>
      </c>
      <c r="E39" s="9" t="str">
        <f t="shared" si="19"/>
        <v>historical</v>
      </c>
      <c r="F39" s="8">
        <v>350</v>
      </c>
      <c r="G39" s="8" t="s">
        <v>18</v>
      </c>
      <c r="H39" s="8">
        <v>1</v>
      </c>
      <c r="I39" s="19">
        <v>2.5405658160224899E-6</v>
      </c>
      <c r="J39" s="8">
        <v>10</v>
      </c>
      <c r="K39" s="8" t="s">
        <v>164</v>
      </c>
      <c r="L39" s="8">
        <v>3</v>
      </c>
      <c r="M39" s="8">
        <v>1</v>
      </c>
      <c r="N39" s="10" t="s">
        <v>21</v>
      </c>
      <c r="O39" s="17" t="s">
        <v>328</v>
      </c>
      <c r="P39" s="10" t="str">
        <f t="shared" si="20"/>
        <v>ICHEC-EC-EARTH_Scaled_Cluster10_repl3.sqlite</v>
      </c>
      <c r="Q39" s="11">
        <f t="shared" si="21"/>
        <v>7</v>
      </c>
      <c r="R39" s="16" t="str">
        <f t="shared" si="22"/>
        <v>climate_db_ICHEC-EC-EARTH_historical_v4.sqlite</v>
      </c>
      <c r="S39" s="16" t="str">
        <f t="shared" si="23"/>
        <v>log/ICHEC-EC-EARTH_Scaled_Cluster10_repl3.txt</v>
      </c>
      <c r="T39" s="16" t="str">
        <f t="shared" si="24"/>
        <v>init/env_file_CLUSTER10_REPL3_ICHEC-EC-EARTH_historical.csv</v>
      </c>
      <c r="U39" s="16" t="str">
        <f t="shared" si="25"/>
        <v>init/env_grid_CLUSTER10_REPL3.asc</v>
      </c>
      <c r="V39" s="16" t="str">
        <f t="shared" si="26"/>
        <v>init/env_grid_CLUSTER10_REPL3.asc</v>
      </c>
      <c r="W39" s="16" t="str">
        <f t="shared" si="27"/>
        <v>trees_CLUSTER10.csv</v>
      </c>
      <c r="X39" s="16" t="str">
        <f t="shared" si="28"/>
        <v>saplings_CLUSTER10.csv</v>
      </c>
      <c r="Y39" s="16">
        <f t="shared" si="29"/>
        <v>350</v>
      </c>
      <c r="Z39" s="16" t="str">
        <f t="shared" si="30"/>
        <v>abe/no_mgmt.csv</v>
      </c>
      <c r="AA39" s="16" t="str">
        <f t="shared" si="31"/>
        <v>gis/WindModifier_cl10.asc</v>
      </c>
      <c r="AB39" s="16">
        <f t="shared" si="32"/>
        <v>2.5406658160224897E-6</v>
      </c>
      <c r="AC39" s="16" t="str">
        <f t="shared" si="33"/>
        <v>ICHEC-EC-EARTH_historical_point38183</v>
      </c>
      <c r="AD39" s="16" t="str">
        <f t="shared" si="34"/>
        <v>wind_Events/Scaled_cl10_repl3.txt</v>
      </c>
      <c r="AE39" s="16" t="str">
        <f t="shared" si="35"/>
        <v>ICHEC-EC-EARTH_Scaled_Cluster10_repl3</v>
      </c>
      <c r="AF39" s="16" t="s">
        <v>488</v>
      </c>
      <c r="AG39" s="16" t="s">
        <v>489</v>
      </c>
    </row>
    <row r="40" spans="1:33" ht="13.8">
      <c r="A40" s="7" t="str">
        <f t="shared" si="18"/>
        <v>ICHEC-EC-EARTH_Scaled_Cluster10_repl4</v>
      </c>
      <c r="B40" s="8" t="s">
        <v>16</v>
      </c>
      <c r="C40" s="8" t="s">
        <v>54</v>
      </c>
      <c r="D40" s="9" t="s">
        <v>17</v>
      </c>
      <c r="E40" s="9" t="str">
        <f t="shared" si="19"/>
        <v>historical</v>
      </c>
      <c r="F40" s="8">
        <v>350</v>
      </c>
      <c r="G40" s="8" t="s">
        <v>18</v>
      </c>
      <c r="H40" s="8">
        <v>1</v>
      </c>
      <c r="I40" s="19">
        <v>2.5405658160224899E-6</v>
      </c>
      <c r="J40" s="8">
        <v>10</v>
      </c>
      <c r="K40" s="8" t="s">
        <v>164</v>
      </c>
      <c r="L40" s="8">
        <v>4</v>
      </c>
      <c r="M40" s="8">
        <v>1</v>
      </c>
      <c r="N40" s="10" t="s">
        <v>21</v>
      </c>
      <c r="O40" s="17" t="s">
        <v>328</v>
      </c>
      <c r="P40" s="10" t="str">
        <f t="shared" si="20"/>
        <v>ICHEC-EC-EARTH_Scaled_Cluster10_repl4.sqlite</v>
      </c>
      <c r="Q40" s="11">
        <f t="shared" si="21"/>
        <v>10</v>
      </c>
      <c r="R40" s="16" t="str">
        <f t="shared" si="22"/>
        <v>climate_db_ICHEC-EC-EARTH_historical_v4.sqlite</v>
      </c>
      <c r="S40" s="16" t="str">
        <f t="shared" si="23"/>
        <v>log/ICHEC-EC-EARTH_Scaled_Cluster10_repl4.txt</v>
      </c>
      <c r="T40" s="16" t="str">
        <f t="shared" si="24"/>
        <v>init/env_file_CLUSTER10_REPL4_ICHEC-EC-EARTH_historical.csv</v>
      </c>
      <c r="U40" s="16" t="str">
        <f t="shared" si="25"/>
        <v>init/env_grid_CLUSTER10_REPL4.asc</v>
      </c>
      <c r="V40" s="16" t="str">
        <f t="shared" si="26"/>
        <v>init/env_grid_CLUSTER10_REPL4.asc</v>
      </c>
      <c r="W40" s="16" t="str">
        <f t="shared" si="27"/>
        <v>trees_CLUSTER10.csv</v>
      </c>
      <c r="X40" s="16" t="str">
        <f t="shared" si="28"/>
        <v>saplings_CLUSTER10.csv</v>
      </c>
      <c r="Y40" s="16">
        <f t="shared" si="29"/>
        <v>350</v>
      </c>
      <c r="Z40" s="16" t="str">
        <f t="shared" si="30"/>
        <v>abe/no_mgmt.csv</v>
      </c>
      <c r="AA40" s="16" t="str">
        <f t="shared" si="31"/>
        <v>gis/WindModifier_cl10.asc</v>
      </c>
      <c r="AB40" s="16">
        <f t="shared" si="32"/>
        <v>2.5406658160224897E-6</v>
      </c>
      <c r="AC40" s="16" t="str">
        <f t="shared" si="33"/>
        <v>ICHEC-EC-EARTH_historical_point38183</v>
      </c>
      <c r="AD40" s="16" t="str">
        <f t="shared" si="34"/>
        <v>wind_Events/Scaled_cl10_repl4.txt</v>
      </c>
      <c r="AE40" s="16" t="str">
        <f t="shared" si="35"/>
        <v>ICHEC-EC-EARTH_Scaled_Cluster10_repl4</v>
      </c>
      <c r="AF40" s="16" t="s">
        <v>490</v>
      </c>
      <c r="AG40" s="16" t="s">
        <v>491</v>
      </c>
    </row>
    <row r="41" spans="1:33" ht="13.8">
      <c r="A41" s="7" t="str">
        <f t="shared" si="18"/>
        <v>ICHEC-EC-EARTH_Scaled_Cluster10_repl5</v>
      </c>
      <c r="B41" s="8" t="s">
        <v>16</v>
      </c>
      <c r="C41" s="8" t="s">
        <v>54</v>
      </c>
      <c r="D41" s="9" t="s">
        <v>17</v>
      </c>
      <c r="E41" s="9" t="str">
        <f t="shared" si="19"/>
        <v>historical</v>
      </c>
      <c r="F41" s="8">
        <v>350</v>
      </c>
      <c r="G41" s="8" t="s">
        <v>18</v>
      </c>
      <c r="H41" s="8">
        <v>1</v>
      </c>
      <c r="I41" s="19">
        <v>2.5405658160224899E-6</v>
      </c>
      <c r="J41" s="8">
        <v>10</v>
      </c>
      <c r="K41" s="8" t="s">
        <v>164</v>
      </c>
      <c r="L41" s="8">
        <v>5</v>
      </c>
      <c r="M41" s="8">
        <v>1</v>
      </c>
      <c r="N41" s="10" t="s">
        <v>21</v>
      </c>
      <c r="O41" s="17" t="s">
        <v>328</v>
      </c>
      <c r="P41" s="10" t="str">
        <f t="shared" si="20"/>
        <v>ICHEC-EC-EARTH_Scaled_Cluster10_repl5.sqlite</v>
      </c>
      <c r="Q41" s="11">
        <f t="shared" si="21"/>
        <v>13</v>
      </c>
      <c r="R41" s="16" t="str">
        <f t="shared" si="22"/>
        <v>climate_db_ICHEC-EC-EARTH_historical_v4.sqlite</v>
      </c>
      <c r="S41" s="16" t="str">
        <f t="shared" si="23"/>
        <v>log/ICHEC-EC-EARTH_Scaled_Cluster10_repl5.txt</v>
      </c>
      <c r="T41" s="16" t="str">
        <f t="shared" si="24"/>
        <v>init/env_file_CLUSTER10_REPL5_ICHEC-EC-EARTH_historical.csv</v>
      </c>
      <c r="U41" s="16" t="str">
        <f t="shared" si="25"/>
        <v>init/env_grid_CLUSTER10_REPL5.asc</v>
      </c>
      <c r="V41" s="16" t="str">
        <f t="shared" si="26"/>
        <v>init/env_grid_CLUSTER10_REPL5.asc</v>
      </c>
      <c r="W41" s="16" t="str">
        <f t="shared" si="27"/>
        <v>trees_CLUSTER10.csv</v>
      </c>
      <c r="X41" s="16" t="str">
        <f t="shared" si="28"/>
        <v>saplings_CLUSTER10.csv</v>
      </c>
      <c r="Y41" s="16">
        <f t="shared" si="29"/>
        <v>350</v>
      </c>
      <c r="Z41" s="16" t="str">
        <f t="shared" si="30"/>
        <v>abe/no_mgmt.csv</v>
      </c>
      <c r="AA41" s="16" t="str">
        <f t="shared" si="31"/>
        <v>gis/WindModifier_cl10.asc</v>
      </c>
      <c r="AB41" s="16">
        <f t="shared" si="32"/>
        <v>2.5406658160224897E-6</v>
      </c>
      <c r="AC41" s="16" t="str">
        <f t="shared" si="33"/>
        <v>ICHEC-EC-EARTH_historical_point38183</v>
      </c>
      <c r="AD41" s="16" t="str">
        <f t="shared" si="34"/>
        <v>wind_Events/Scaled_cl10_repl5.txt</v>
      </c>
      <c r="AE41" s="16" t="str">
        <f t="shared" si="35"/>
        <v>ICHEC-EC-EARTH_Scaled_Cluster10_repl5</v>
      </c>
      <c r="AF41" s="16" t="s">
        <v>492</v>
      </c>
      <c r="AG41" s="16" t="s">
        <v>493</v>
      </c>
    </row>
    <row r="42" spans="1:33" ht="13.8">
      <c r="A42" s="7" t="str">
        <f t="shared" si="18"/>
        <v>ICHEC-EC-EARTH_Scaled_Cluster11_repl1</v>
      </c>
      <c r="B42" s="8" t="s">
        <v>16</v>
      </c>
      <c r="C42" s="8" t="s">
        <v>54</v>
      </c>
      <c r="D42" s="9" t="s">
        <v>17</v>
      </c>
      <c r="E42" s="9" t="str">
        <f t="shared" si="19"/>
        <v>historical</v>
      </c>
      <c r="F42" s="8">
        <v>350</v>
      </c>
      <c r="G42" s="8" t="s">
        <v>18</v>
      </c>
      <c r="H42" s="8">
        <v>1</v>
      </c>
      <c r="I42" s="19">
        <v>1.2451908062161101E-5</v>
      </c>
      <c r="J42" s="8">
        <v>11</v>
      </c>
      <c r="K42" s="8" t="s">
        <v>165</v>
      </c>
      <c r="L42" s="8">
        <v>1</v>
      </c>
      <c r="M42" s="8">
        <v>1</v>
      </c>
      <c r="N42" s="10" t="s">
        <v>21</v>
      </c>
      <c r="O42" s="17" t="s">
        <v>328</v>
      </c>
      <c r="P42" s="10" t="str">
        <f t="shared" si="20"/>
        <v>ICHEC-EC-EARTH_Scaled_Cluster11_repl1.sqlite</v>
      </c>
      <c r="Q42" s="11">
        <f t="shared" si="21"/>
        <v>1</v>
      </c>
      <c r="R42" s="16" t="str">
        <f t="shared" si="22"/>
        <v>climate_db_ICHEC-EC-EARTH_historical_v4.sqlite</v>
      </c>
      <c r="S42" s="16" t="str">
        <f t="shared" si="23"/>
        <v>log/ICHEC-EC-EARTH_Scaled_Cluster11_repl1.txt</v>
      </c>
      <c r="T42" s="16" t="str">
        <f t="shared" si="24"/>
        <v>init/env_file_CLUSTER11_REPL1_ICHEC-EC-EARTH_historical.csv</v>
      </c>
      <c r="U42" s="16" t="str">
        <f t="shared" si="25"/>
        <v>init/env_grid_CLUSTER11_REPL1.asc</v>
      </c>
      <c r="V42" s="16" t="str">
        <f t="shared" si="26"/>
        <v>init/env_grid_CLUSTER11_REPL1.asc</v>
      </c>
      <c r="W42" s="16" t="str">
        <f t="shared" si="27"/>
        <v>trees_CLUSTER11.csv</v>
      </c>
      <c r="X42" s="16" t="str">
        <f t="shared" si="28"/>
        <v>saplings_CLUSTER11.csv</v>
      </c>
      <c r="Y42" s="16">
        <f t="shared" si="29"/>
        <v>350</v>
      </c>
      <c r="Z42" s="16" t="str">
        <f t="shared" si="30"/>
        <v>abe/no_mgmt.csv</v>
      </c>
      <c r="AA42" s="16" t="str">
        <f t="shared" si="31"/>
        <v>gis/WindModifier_cl11.asc</v>
      </c>
      <c r="AB42" s="16">
        <f t="shared" si="32"/>
        <v>1.2452008062161101E-5</v>
      </c>
      <c r="AC42" s="16" t="str">
        <f t="shared" si="33"/>
        <v>ICHEC-EC-EARTH_historical_point29711</v>
      </c>
      <c r="AD42" s="16" t="str">
        <f t="shared" si="34"/>
        <v>wind_Events/Scaled_cl11_repl1.txt</v>
      </c>
      <c r="AE42" s="16" t="str">
        <f t="shared" si="35"/>
        <v>ICHEC-EC-EARTH_Scaled_Cluster11_repl1</v>
      </c>
      <c r="AF42" s="16" t="s">
        <v>345</v>
      </c>
      <c r="AG42" s="16" t="s">
        <v>346</v>
      </c>
    </row>
    <row r="43" spans="1:33" ht="13.8">
      <c r="A43" s="7" t="str">
        <f t="shared" si="18"/>
        <v>ICHEC-EC-EARTH_Scaled_Cluster11_repl2</v>
      </c>
      <c r="B43" s="8" t="s">
        <v>16</v>
      </c>
      <c r="C43" s="8" t="s">
        <v>54</v>
      </c>
      <c r="D43" s="9" t="s">
        <v>17</v>
      </c>
      <c r="E43" s="9" t="str">
        <f t="shared" si="19"/>
        <v>historical</v>
      </c>
      <c r="F43" s="8">
        <v>350</v>
      </c>
      <c r="G43" s="8" t="s">
        <v>18</v>
      </c>
      <c r="H43" s="8">
        <v>1</v>
      </c>
      <c r="I43" s="19">
        <v>1.2451908062161101E-5</v>
      </c>
      <c r="J43" s="8">
        <v>11</v>
      </c>
      <c r="K43" s="8" t="s">
        <v>165</v>
      </c>
      <c r="L43" s="8">
        <v>2</v>
      </c>
      <c r="M43" s="8">
        <v>1</v>
      </c>
      <c r="N43" s="10" t="s">
        <v>21</v>
      </c>
      <c r="O43" s="17" t="s">
        <v>328</v>
      </c>
      <c r="P43" s="10" t="str">
        <f t="shared" si="20"/>
        <v>ICHEC-EC-EARTH_Scaled_Cluster11_repl2.sqlite</v>
      </c>
      <c r="Q43" s="11">
        <f t="shared" si="21"/>
        <v>4</v>
      </c>
      <c r="R43" s="16" t="str">
        <f t="shared" si="22"/>
        <v>climate_db_ICHEC-EC-EARTH_historical_v4.sqlite</v>
      </c>
      <c r="S43" s="16" t="str">
        <f t="shared" si="23"/>
        <v>log/ICHEC-EC-EARTH_Scaled_Cluster11_repl2.txt</v>
      </c>
      <c r="T43" s="16" t="str">
        <f t="shared" si="24"/>
        <v>init/env_file_CLUSTER11_REPL2_ICHEC-EC-EARTH_historical.csv</v>
      </c>
      <c r="U43" s="16" t="str">
        <f t="shared" si="25"/>
        <v>init/env_grid_CLUSTER11_REPL2.asc</v>
      </c>
      <c r="V43" s="16" t="str">
        <f t="shared" si="26"/>
        <v>init/env_grid_CLUSTER11_REPL2.asc</v>
      </c>
      <c r="W43" s="16" t="str">
        <f t="shared" si="27"/>
        <v>trees_CLUSTER11.csv</v>
      </c>
      <c r="X43" s="16" t="str">
        <f t="shared" si="28"/>
        <v>saplings_CLUSTER11.csv</v>
      </c>
      <c r="Y43" s="16">
        <f t="shared" si="29"/>
        <v>350</v>
      </c>
      <c r="Z43" s="16" t="str">
        <f t="shared" si="30"/>
        <v>abe/no_mgmt.csv</v>
      </c>
      <c r="AA43" s="16" t="str">
        <f t="shared" si="31"/>
        <v>gis/WindModifier_cl11.asc</v>
      </c>
      <c r="AB43" s="16">
        <f t="shared" si="32"/>
        <v>1.2452008062161101E-5</v>
      </c>
      <c r="AC43" s="16" t="str">
        <f t="shared" si="33"/>
        <v>ICHEC-EC-EARTH_historical_point29711</v>
      </c>
      <c r="AD43" s="16" t="str">
        <f t="shared" si="34"/>
        <v>wind_Events/Scaled_cl11_repl2.txt</v>
      </c>
      <c r="AE43" s="16" t="str">
        <f t="shared" si="35"/>
        <v>ICHEC-EC-EARTH_Scaled_Cluster11_repl2</v>
      </c>
      <c r="AF43" s="16" t="s">
        <v>494</v>
      </c>
      <c r="AG43" s="16" t="s">
        <v>495</v>
      </c>
    </row>
    <row r="44" spans="1:33" ht="13.8">
      <c r="A44" s="7" t="str">
        <f t="shared" si="18"/>
        <v>ICHEC-EC-EARTH_Scaled_Cluster11_repl3</v>
      </c>
      <c r="B44" s="8" t="s">
        <v>16</v>
      </c>
      <c r="C44" s="8" t="s">
        <v>54</v>
      </c>
      <c r="D44" s="9" t="s">
        <v>17</v>
      </c>
      <c r="E44" s="9" t="str">
        <f t="shared" si="19"/>
        <v>historical</v>
      </c>
      <c r="F44" s="8">
        <v>350</v>
      </c>
      <c r="G44" s="8" t="s">
        <v>18</v>
      </c>
      <c r="H44" s="8">
        <v>1</v>
      </c>
      <c r="I44" s="19">
        <v>1.2451908062161101E-5</v>
      </c>
      <c r="J44" s="8">
        <v>11</v>
      </c>
      <c r="K44" s="8" t="s">
        <v>165</v>
      </c>
      <c r="L44" s="8">
        <v>3</v>
      </c>
      <c r="M44" s="8">
        <v>1</v>
      </c>
      <c r="N44" s="10" t="s">
        <v>21</v>
      </c>
      <c r="O44" s="17" t="s">
        <v>328</v>
      </c>
      <c r="P44" s="10" t="str">
        <f t="shared" si="20"/>
        <v>ICHEC-EC-EARTH_Scaled_Cluster11_repl3.sqlite</v>
      </c>
      <c r="Q44" s="11">
        <f t="shared" si="21"/>
        <v>7</v>
      </c>
      <c r="R44" s="16" t="str">
        <f t="shared" si="22"/>
        <v>climate_db_ICHEC-EC-EARTH_historical_v4.sqlite</v>
      </c>
      <c r="S44" s="16" t="str">
        <f t="shared" si="23"/>
        <v>log/ICHEC-EC-EARTH_Scaled_Cluster11_repl3.txt</v>
      </c>
      <c r="T44" s="16" t="str">
        <f t="shared" si="24"/>
        <v>init/env_file_CLUSTER11_REPL3_ICHEC-EC-EARTH_historical.csv</v>
      </c>
      <c r="U44" s="16" t="str">
        <f t="shared" si="25"/>
        <v>init/env_grid_CLUSTER11_REPL3.asc</v>
      </c>
      <c r="V44" s="16" t="str">
        <f t="shared" si="26"/>
        <v>init/env_grid_CLUSTER11_REPL3.asc</v>
      </c>
      <c r="W44" s="16" t="str">
        <f t="shared" si="27"/>
        <v>trees_CLUSTER11.csv</v>
      </c>
      <c r="X44" s="16" t="str">
        <f t="shared" si="28"/>
        <v>saplings_CLUSTER11.csv</v>
      </c>
      <c r="Y44" s="16">
        <f t="shared" si="29"/>
        <v>350</v>
      </c>
      <c r="Z44" s="16" t="str">
        <f t="shared" si="30"/>
        <v>abe/no_mgmt.csv</v>
      </c>
      <c r="AA44" s="16" t="str">
        <f t="shared" si="31"/>
        <v>gis/WindModifier_cl11.asc</v>
      </c>
      <c r="AB44" s="16">
        <f t="shared" si="32"/>
        <v>1.2452008062161101E-5</v>
      </c>
      <c r="AC44" s="16" t="str">
        <f t="shared" si="33"/>
        <v>ICHEC-EC-EARTH_historical_point29711</v>
      </c>
      <c r="AD44" s="16" t="str">
        <f t="shared" si="34"/>
        <v>wind_Events/Scaled_cl11_repl3.txt</v>
      </c>
      <c r="AE44" s="16" t="str">
        <f t="shared" si="35"/>
        <v>ICHEC-EC-EARTH_Scaled_Cluster11_repl3</v>
      </c>
      <c r="AF44" s="16" t="s">
        <v>496</v>
      </c>
      <c r="AG44" s="16" t="s">
        <v>497</v>
      </c>
    </row>
    <row r="45" spans="1:33" ht="13.8">
      <c r="A45" s="7" t="str">
        <f t="shared" si="18"/>
        <v>ICHEC-EC-EARTH_Scaled_Cluster11_repl4</v>
      </c>
      <c r="B45" s="8" t="s">
        <v>16</v>
      </c>
      <c r="C45" s="8" t="s">
        <v>54</v>
      </c>
      <c r="D45" s="9" t="s">
        <v>17</v>
      </c>
      <c r="E45" s="9" t="str">
        <f t="shared" si="19"/>
        <v>historical</v>
      </c>
      <c r="F45" s="8">
        <v>350</v>
      </c>
      <c r="G45" s="8" t="s">
        <v>18</v>
      </c>
      <c r="H45" s="8">
        <v>1</v>
      </c>
      <c r="I45" s="19">
        <v>1.2451908062161101E-5</v>
      </c>
      <c r="J45" s="8">
        <v>11</v>
      </c>
      <c r="K45" s="8" t="s">
        <v>165</v>
      </c>
      <c r="L45" s="8">
        <v>4</v>
      </c>
      <c r="M45" s="8">
        <v>1</v>
      </c>
      <c r="N45" s="10" t="s">
        <v>21</v>
      </c>
      <c r="O45" s="17" t="s">
        <v>328</v>
      </c>
      <c r="P45" s="10" t="str">
        <f t="shared" si="20"/>
        <v>ICHEC-EC-EARTH_Scaled_Cluster11_repl4.sqlite</v>
      </c>
      <c r="Q45" s="11">
        <f t="shared" si="21"/>
        <v>10</v>
      </c>
      <c r="R45" s="16" t="str">
        <f t="shared" si="22"/>
        <v>climate_db_ICHEC-EC-EARTH_historical_v4.sqlite</v>
      </c>
      <c r="S45" s="16" t="str">
        <f t="shared" si="23"/>
        <v>log/ICHEC-EC-EARTH_Scaled_Cluster11_repl4.txt</v>
      </c>
      <c r="T45" s="16" t="str">
        <f t="shared" si="24"/>
        <v>init/env_file_CLUSTER11_REPL4_ICHEC-EC-EARTH_historical.csv</v>
      </c>
      <c r="U45" s="16" t="str">
        <f t="shared" si="25"/>
        <v>init/env_grid_CLUSTER11_REPL4.asc</v>
      </c>
      <c r="V45" s="16" t="str">
        <f t="shared" si="26"/>
        <v>init/env_grid_CLUSTER11_REPL4.asc</v>
      </c>
      <c r="W45" s="16" t="str">
        <f t="shared" si="27"/>
        <v>trees_CLUSTER11.csv</v>
      </c>
      <c r="X45" s="16" t="str">
        <f t="shared" si="28"/>
        <v>saplings_CLUSTER11.csv</v>
      </c>
      <c r="Y45" s="16">
        <f t="shared" si="29"/>
        <v>350</v>
      </c>
      <c r="Z45" s="16" t="str">
        <f t="shared" si="30"/>
        <v>abe/no_mgmt.csv</v>
      </c>
      <c r="AA45" s="16" t="str">
        <f t="shared" si="31"/>
        <v>gis/WindModifier_cl11.asc</v>
      </c>
      <c r="AB45" s="16">
        <f t="shared" si="32"/>
        <v>1.2452008062161101E-5</v>
      </c>
      <c r="AC45" s="16" t="str">
        <f t="shared" si="33"/>
        <v>ICHEC-EC-EARTH_historical_point29711</v>
      </c>
      <c r="AD45" s="16" t="str">
        <f t="shared" si="34"/>
        <v>wind_Events/Scaled_cl11_repl4.txt</v>
      </c>
      <c r="AE45" s="16" t="str">
        <f t="shared" si="35"/>
        <v>ICHEC-EC-EARTH_Scaled_Cluster11_repl4</v>
      </c>
      <c r="AF45" s="16" t="s">
        <v>498</v>
      </c>
      <c r="AG45" s="16" t="s">
        <v>499</v>
      </c>
    </row>
    <row r="46" spans="1:33" ht="13.8">
      <c r="A46" s="7" t="str">
        <f t="shared" si="18"/>
        <v>ICHEC-EC-EARTH_Scaled_Cluster11_repl5</v>
      </c>
      <c r="B46" s="8" t="s">
        <v>16</v>
      </c>
      <c r="C46" s="8" t="s">
        <v>54</v>
      </c>
      <c r="D46" s="9" t="s">
        <v>17</v>
      </c>
      <c r="E46" s="9" t="str">
        <f t="shared" si="19"/>
        <v>historical</v>
      </c>
      <c r="F46" s="8">
        <v>350</v>
      </c>
      <c r="G46" s="8" t="s">
        <v>18</v>
      </c>
      <c r="H46" s="8">
        <v>1</v>
      </c>
      <c r="I46" s="19">
        <v>1.2451908062161101E-5</v>
      </c>
      <c r="J46" s="8">
        <v>11</v>
      </c>
      <c r="K46" s="8" t="s">
        <v>165</v>
      </c>
      <c r="L46" s="8">
        <v>5</v>
      </c>
      <c r="M46" s="8">
        <v>1</v>
      </c>
      <c r="N46" s="10" t="s">
        <v>21</v>
      </c>
      <c r="O46" s="17" t="s">
        <v>328</v>
      </c>
      <c r="P46" s="10" t="str">
        <f t="shared" si="20"/>
        <v>ICHEC-EC-EARTH_Scaled_Cluster11_repl5.sqlite</v>
      </c>
      <c r="Q46" s="11">
        <f t="shared" si="21"/>
        <v>13</v>
      </c>
      <c r="R46" s="16" t="str">
        <f t="shared" si="22"/>
        <v>climate_db_ICHEC-EC-EARTH_historical_v4.sqlite</v>
      </c>
      <c r="S46" s="16" t="str">
        <f t="shared" si="23"/>
        <v>log/ICHEC-EC-EARTH_Scaled_Cluster11_repl5.txt</v>
      </c>
      <c r="T46" s="16" t="str">
        <f t="shared" si="24"/>
        <v>init/env_file_CLUSTER11_REPL5_ICHEC-EC-EARTH_historical.csv</v>
      </c>
      <c r="U46" s="16" t="str">
        <f t="shared" si="25"/>
        <v>init/env_grid_CLUSTER11_REPL5.asc</v>
      </c>
      <c r="V46" s="16" t="str">
        <f t="shared" si="26"/>
        <v>init/env_grid_CLUSTER11_REPL5.asc</v>
      </c>
      <c r="W46" s="16" t="str">
        <f t="shared" si="27"/>
        <v>trees_CLUSTER11.csv</v>
      </c>
      <c r="X46" s="16" t="str">
        <f t="shared" si="28"/>
        <v>saplings_CLUSTER11.csv</v>
      </c>
      <c r="Y46" s="16">
        <f t="shared" si="29"/>
        <v>350</v>
      </c>
      <c r="Z46" s="16" t="str">
        <f t="shared" si="30"/>
        <v>abe/no_mgmt.csv</v>
      </c>
      <c r="AA46" s="16" t="str">
        <f t="shared" si="31"/>
        <v>gis/WindModifier_cl11.asc</v>
      </c>
      <c r="AB46" s="16">
        <f t="shared" si="32"/>
        <v>1.2452008062161101E-5</v>
      </c>
      <c r="AC46" s="16" t="str">
        <f t="shared" si="33"/>
        <v>ICHEC-EC-EARTH_historical_point29711</v>
      </c>
      <c r="AD46" s="16" t="str">
        <f t="shared" si="34"/>
        <v>wind_Events/Scaled_cl11_repl5.txt</v>
      </c>
      <c r="AE46" s="16" t="str">
        <f t="shared" si="35"/>
        <v>ICHEC-EC-EARTH_Scaled_Cluster11_repl5</v>
      </c>
      <c r="AF46" s="16" t="s">
        <v>500</v>
      </c>
      <c r="AG46" s="16" t="s">
        <v>501</v>
      </c>
    </row>
    <row r="47" spans="1:33" ht="13.8">
      <c r="A47" s="7" t="str">
        <f t="shared" si="18"/>
        <v>ICHEC-EC-EARTH_Scaled_Cluster12_repl1</v>
      </c>
      <c r="B47" s="8" t="s">
        <v>16</v>
      </c>
      <c r="C47" s="8" t="s">
        <v>54</v>
      </c>
      <c r="D47" s="9" t="s">
        <v>17</v>
      </c>
      <c r="E47" s="9" t="str">
        <f t="shared" si="19"/>
        <v>historical</v>
      </c>
      <c r="F47" s="8">
        <v>350</v>
      </c>
      <c r="G47" s="8" t="s">
        <v>18</v>
      </c>
      <c r="H47" s="8">
        <v>1</v>
      </c>
      <c r="I47" s="19">
        <v>5.7344370827609102E-6</v>
      </c>
      <c r="J47" s="8">
        <v>12</v>
      </c>
      <c r="K47" s="8" t="s">
        <v>166</v>
      </c>
      <c r="L47" s="8">
        <v>1</v>
      </c>
      <c r="M47" s="8">
        <v>1</v>
      </c>
      <c r="N47" s="10" t="s">
        <v>21</v>
      </c>
      <c r="O47" s="17" t="s">
        <v>328</v>
      </c>
      <c r="P47" s="10" t="str">
        <f t="shared" si="20"/>
        <v>ICHEC-EC-EARTH_Scaled_Cluster12_repl1.sqlite</v>
      </c>
      <c r="Q47" s="11">
        <f t="shared" si="21"/>
        <v>1</v>
      </c>
      <c r="R47" s="16" t="str">
        <f t="shared" si="22"/>
        <v>climate_db_ICHEC-EC-EARTH_historical_v4.sqlite</v>
      </c>
      <c r="S47" s="16" t="str">
        <f t="shared" si="23"/>
        <v>log/ICHEC-EC-EARTH_Scaled_Cluster12_repl1.txt</v>
      </c>
      <c r="T47" s="16" t="str">
        <f t="shared" si="24"/>
        <v>init/env_file_CLUSTER12_REPL1_ICHEC-EC-EARTH_historical.csv</v>
      </c>
      <c r="U47" s="16" t="str">
        <f t="shared" si="25"/>
        <v>init/env_grid_CLUSTER12_REPL1.asc</v>
      </c>
      <c r="V47" s="16" t="str">
        <f t="shared" si="26"/>
        <v>init/env_grid_CLUSTER12_REPL1.asc</v>
      </c>
      <c r="W47" s="16" t="str">
        <f t="shared" si="27"/>
        <v>trees_CLUSTER12.csv</v>
      </c>
      <c r="X47" s="16" t="str">
        <f t="shared" si="28"/>
        <v>saplings_CLUSTER12.csv</v>
      </c>
      <c r="Y47" s="16">
        <f t="shared" si="29"/>
        <v>350</v>
      </c>
      <c r="Z47" s="16" t="str">
        <f t="shared" si="30"/>
        <v>abe/no_mgmt.csv</v>
      </c>
      <c r="AA47" s="16" t="str">
        <f t="shared" si="31"/>
        <v>gis/WindModifier_cl12.asc</v>
      </c>
      <c r="AB47" s="16">
        <f t="shared" si="32"/>
        <v>5.7345370827609104E-6</v>
      </c>
      <c r="AC47" s="16" t="str">
        <f t="shared" si="33"/>
        <v>ICHEC-EC-EARTH_historical_point32670</v>
      </c>
      <c r="AD47" s="16" t="str">
        <f t="shared" si="34"/>
        <v>wind_Events/Scaled_cl12_repl1.txt</v>
      </c>
      <c r="AE47" s="16" t="str">
        <f t="shared" si="35"/>
        <v>ICHEC-EC-EARTH_Scaled_Cluster12_repl1</v>
      </c>
      <c r="AF47" s="16" t="s">
        <v>347</v>
      </c>
      <c r="AG47" s="16" t="s">
        <v>348</v>
      </c>
    </row>
    <row r="48" spans="1:33" ht="13.8">
      <c r="A48" s="7" t="str">
        <f t="shared" si="18"/>
        <v>ICHEC-EC-EARTH_Scaled_Cluster12_repl2</v>
      </c>
      <c r="B48" s="8" t="s">
        <v>16</v>
      </c>
      <c r="C48" s="8" t="s">
        <v>54</v>
      </c>
      <c r="D48" s="9" t="s">
        <v>17</v>
      </c>
      <c r="E48" s="9" t="str">
        <f t="shared" si="19"/>
        <v>historical</v>
      </c>
      <c r="F48" s="8">
        <v>350</v>
      </c>
      <c r="G48" s="8" t="s">
        <v>18</v>
      </c>
      <c r="H48" s="8">
        <v>1</v>
      </c>
      <c r="I48" s="19">
        <v>5.7344370827609102E-6</v>
      </c>
      <c r="J48" s="8">
        <v>12</v>
      </c>
      <c r="K48" s="8" t="s">
        <v>166</v>
      </c>
      <c r="L48" s="8">
        <v>2</v>
      </c>
      <c r="M48" s="8">
        <v>1</v>
      </c>
      <c r="N48" s="10" t="s">
        <v>21</v>
      </c>
      <c r="O48" s="17" t="s">
        <v>328</v>
      </c>
      <c r="P48" s="10" t="str">
        <f t="shared" si="20"/>
        <v>ICHEC-EC-EARTH_Scaled_Cluster12_repl2.sqlite</v>
      </c>
      <c r="Q48" s="11">
        <f t="shared" si="21"/>
        <v>4</v>
      </c>
      <c r="R48" s="16" t="str">
        <f t="shared" si="22"/>
        <v>climate_db_ICHEC-EC-EARTH_historical_v4.sqlite</v>
      </c>
      <c r="S48" s="16" t="str">
        <f t="shared" si="23"/>
        <v>log/ICHEC-EC-EARTH_Scaled_Cluster12_repl2.txt</v>
      </c>
      <c r="T48" s="16" t="str">
        <f t="shared" si="24"/>
        <v>init/env_file_CLUSTER12_REPL2_ICHEC-EC-EARTH_historical.csv</v>
      </c>
      <c r="U48" s="16" t="str">
        <f t="shared" si="25"/>
        <v>init/env_grid_CLUSTER12_REPL2.asc</v>
      </c>
      <c r="V48" s="16" t="str">
        <f t="shared" si="26"/>
        <v>init/env_grid_CLUSTER12_REPL2.asc</v>
      </c>
      <c r="W48" s="16" t="str">
        <f t="shared" si="27"/>
        <v>trees_CLUSTER12.csv</v>
      </c>
      <c r="X48" s="16" t="str">
        <f t="shared" si="28"/>
        <v>saplings_CLUSTER12.csv</v>
      </c>
      <c r="Y48" s="16">
        <f t="shared" si="29"/>
        <v>350</v>
      </c>
      <c r="Z48" s="16" t="str">
        <f t="shared" si="30"/>
        <v>abe/no_mgmt.csv</v>
      </c>
      <c r="AA48" s="16" t="str">
        <f t="shared" si="31"/>
        <v>gis/WindModifier_cl12.asc</v>
      </c>
      <c r="AB48" s="16">
        <f t="shared" si="32"/>
        <v>5.7345370827609104E-6</v>
      </c>
      <c r="AC48" s="16" t="str">
        <f t="shared" si="33"/>
        <v>ICHEC-EC-EARTH_historical_point32670</v>
      </c>
      <c r="AD48" s="16" t="str">
        <f t="shared" si="34"/>
        <v>wind_Events/Scaled_cl12_repl2.txt</v>
      </c>
      <c r="AE48" s="16" t="str">
        <f t="shared" si="35"/>
        <v>ICHEC-EC-EARTH_Scaled_Cluster12_repl2</v>
      </c>
      <c r="AF48" s="16" t="s">
        <v>502</v>
      </c>
      <c r="AG48" s="16" t="s">
        <v>503</v>
      </c>
    </row>
    <row r="49" spans="1:33" ht="13.8">
      <c r="A49" s="7" t="str">
        <f t="shared" si="18"/>
        <v>ICHEC-EC-EARTH_Scaled_Cluster12_repl3</v>
      </c>
      <c r="B49" s="8" t="s">
        <v>16</v>
      </c>
      <c r="C49" s="8" t="s">
        <v>54</v>
      </c>
      <c r="D49" s="9" t="s">
        <v>17</v>
      </c>
      <c r="E49" s="9" t="str">
        <f t="shared" si="19"/>
        <v>historical</v>
      </c>
      <c r="F49" s="8">
        <v>350</v>
      </c>
      <c r="G49" s="8" t="s">
        <v>18</v>
      </c>
      <c r="H49" s="8">
        <v>1</v>
      </c>
      <c r="I49" s="19">
        <v>5.7344370827609102E-6</v>
      </c>
      <c r="J49" s="8">
        <v>12</v>
      </c>
      <c r="K49" s="8" t="s">
        <v>166</v>
      </c>
      <c r="L49" s="8">
        <v>3</v>
      </c>
      <c r="M49" s="8">
        <v>1</v>
      </c>
      <c r="N49" s="10" t="s">
        <v>21</v>
      </c>
      <c r="O49" s="17" t="s">
        <v>328</v>
      </c>
      <c r="P49" s="10" t="str">
        <f t="shared" si="20"/>
        <v>ICHEC-EC-EARTH_Scaled_Cluster12_repl3.sqlite</v>
      </c>
      <c r="Q49" s="11">
        <f t="shared" si="21"/>
        <v>7</v>
      </c>
      <c r="R49" s="16" t="str">
        <f t="shared" si="22"/>
        <v>climate_db_ICHEC-EC-EARTH_historical_v4.sqlite</v>
      </c>
      <c r="S49" s="16" t="str">
        <f t="shared" si="23"/>
        <v>log/ICHEC-EC-EARTH_Scaled_Cluster12_repl3.txt</v>
      </c>
      <c r="T49" s="16" t="str">
        <f t="shared" si="24"/>
        <v>init/env_file_CLUSTER12_REPL3_ICHEC-EC-EARTH_historical.csv</v>
      </c>
      <c r="U49" s="16" t="str">
        <f t="shared" si="25"/>
        <v>init/env_grid_CLUSTER12_REPL3.asc</v>
      </c>
      <c r="V49" s="16" t="str">
        <f t="shared" si="26"/>
        <v>init/env_grid_CLUSTER12_REPL3.asc</v>
      </c>
      <c r="W49" s="16" t="str">
        <f t="shared" si="27"/>
        <v>trees_CLUSTER12.csv</v>
      </c>
      <c r="X49" s="16" t="str">
        <f t="shared" si="28"/>
        <v>saplings_CLUSTER12.csv</v>
      </c>
      <c r="Y49" s="16">
        <f t="shared" si="29"/>
        <v>350</v>
      </c>
      <c r="Z49" s="16" t="str">
        <f t="shared" si="30"/>
        <v>abe/no_mgmt.csv</v>
      </c>
      <c r="AA49" s="16" t="str">
        <f t="shared" si="31"/>
        <v>gis/WindModifier_cl12.asc</v>
      </c>
      <c r="AB49" s="16">
        <f t="shared" si="32"/>
        <v>5.7345370827609104E-6</v>
      </c>
      <c r="AC49" s="16" t="str">
        <f t="shared" si="33"/>
        <v>ICHEC-EC-EARTH_historical_point32670</v>
      </c>
      <c r="AD49" s="16" t="str">
        <f t="shared" si="34"/>
        <v>wind_Events/Scaled_cl12_repl3.txt</v>
      </c>
      <c r="AE49" s="16" t="str">
        <f t="shared" si="35"/>
        <v>ICHEC-EC-EARTH_Scaled_Cluster12_repl3</v>
      </c>
      <c r="AF49" s="16" t="s">
        <v>504</v>
      </c>
      <c r="AG49" s="16" t="s">
        <v>505</v>
      </c>
    </row>
    <row r="50" spans="1:33" ht="13.8">
      <c r="A50" s="7" t="str">
        <f t="shared" si="18"/>
        <v>ICHEC-EC-EARTH_Scaled_Cluster12_repl4</v>
      </c>
      <c r="B50" s="8" t="s">
        <v>16</v>
      </c>
      <c r="C50" s="8" t="s">
        <v>54</v>
      </c>
      <c r="D50" s="9" t="s">
        <v>17</v>
      </c>
      <c r="E50" s="9" t="str">
        <f t="shared" si="19"/>
        <v>historical</v>
      </c>
      <c r="F50" s="8">
        <v>350</v>
      </c>
      <c r="G50" s="8" t="s">
        <v>18</v>
      </c>
      <c r="H50" s="8">
        <v>1</v>
      </c>
      <c r="I50" s="19">
        <v>5.7344370827609102E-6</v>
      </c>
      <c r="J50" s="8">
        <v>12</v>
      </c>
      <c r="K50" s="8" t="s">
        <v>166</v>
      </c>
      <c r="L50" s="8">
        <v>4</v>
      </c>
      <c r="M50" s="8">
        <v>1</v>
      </c>
      <c r="N50" s="10" t="s">
        <v>21</v>
      </c>
      <c r="O50" s="17" t="s">
        <v>328</v>
      </c>
      <c r="P50" s="10" t="str">
        <f t="shared" si="20"/>
        <v>ICHEC-EC-EARTH_Scaled_Cluster12_repl4.sqlite</v>
      </c>
      <c r="Q50" s="11">
        <f t="shared" si="21"/>
        <v>10</v>
      </c>
      <c r="R50" s="16" t="str">
        <f t="shared" si="22"/>
        <v>climate_db_ICHEC-EC-EARTH_historical_v4.sqlite</v>
      </c>
      <c r="S50" s="16" t="str">
        <f t="shared" si="23"/>
        <v>log/ICHEC-EC-EARTH_Scaled_Cluster12_repl4.txt</v>
      </c>
      <c r="T50" s="16" t="str">
        <f t="shared" si="24"/>
        <v>init/env_file_CLUSTER12_REPL4_ICHEC-EC-EARTH_historical.csv</v>
      </c>
      <c r="U50" s="16" t="str">
        <f t="shared" si="25"/>
        <v>init/env_grid_CLUSTER12_REPL4.asc</v>
      </c>
      <c r="V50" s="16" t="str">
        <f t="shared" si="26"/>
        <v>init/env_grid_CLUSTER12_REPL4.asc</v>
      </c>
      <c r="W50" s="16" t="str">
        <f t="shared" si="27"/>
        <v>trees_CLUSTER12.csv</v>
      </c>
      <c r="X50" s="16" t="str">
        <f t="shared" si="28"/>
        <v>saplings_CLUSTER12.csv</v>
      </c>
      <c r="Y50" s="16">
        <f t="shared" si="29"/>
        <v>350</v>
      </c>
      <c r="Z50" s="16" t="str">
        <f t="shared" si="30"/>
        <v>abe/no_mgmt.csv</v>
      </c>
      <c r="AA50" s="16" t="str">
        <f t="shared" si="31"/>
        <v>gis/WindModifier_cl12.asc</v>
      </c>
      <c r="AB50" s="16">
        <f t="shared" si="32"/>
        <v>5.7345370827609104E-6</v>
      </c>
      <c r="AC50" s="16" t="str">
        <f t="shared" si="33"/>
        <v>ICHEC-EC-EARTH_historical_point32670</v>
      </c>
      <c r="AD50" s="16" t="str">
        <f t="shared" si="34"/>
        <v>wind_Events/Scaled_cl12_repl4.txt</v>
      </c>
      <c r="AE50" s="16" t="str">
        <f t="shared" si="35"/>
        <v>ICHEC-EC-EARTH_Scaled_Cluster12_repl4</v>
      </c>
      <c r="AF50" s="16" t="s">
        <v>506</v>
      </c>
      <c r="AG50" s="16" t="s">
        <v>507</v>
      </c>
    </row>
    <row r="51" spans="1:33" ht="13.8">
      <c r="A51" s="7" t="str">
        <f t="shared" si="18"/>
        <v>ICHEC-EC-EARTH_Scaled_Cluster12_repl5</v>
      </c>
      <c r="B51" s="8" t="s">
        <v>16</v>
      </c>
      <c r="C51" s="8" t="s">
        <v>54</v>
      </c>
      <c r="D51" s="9" t="s">
        <v>17</v>
      </c>
      <c r="E51" s="9" t="str">
        <f t="shared" si="19"/>
        <v>historical</v>
      </c>
      <c r="F51" s="8">
        <v>350</v>
      </c>
      <c r="G51" s="8" t="s">
        <v>18</v>
      </c>
      <c r="H51" s="8">
        <v>1</v>
      </c>
      <c r="I51" s="19">
        <v>5.7344370827609102E-6</v>
      </c>
      <c r="J51" s="8">
        <v>12</v>
      </c>
      <c r="K51" s="8" t="s">
        <v>166</v>
      </c>
      <c r="L51" s="8">
        <v>5</v>
      </c>
      <c r="M51" s="8">
        <v>1</v>
      </c>
      <c r="N51" s="10" t="s">
        <v>21</v>
      </c>
      <c r="O51" s="17" t="s">
        <v>328</v>
      </c>
      <c r="P51" s="10" t="str">
        <f t="shared" si="20"/>
        <v>ICHEC-EC-EARTH_Scaled_Cluster12_repl5.sqlite</v>
      </c>
      <c r="Q51" s="11">
        <f t="shared" si="21"/>
        <v>13</v>
      </c>
      <c r="R51" s="16" t="str">
        <f t="shared" si="22"/>
        <v>climate_db_ICHEC-EC-EARTH_historical_v4.sqlite</v>
      </c>
      <c r="S51" s="16" t="str">
        <f t="shared" si="23"/>
        <v>log/ICHEC-EC-EARTH_Scaled_Cluster12_repl5.txt</v>
      </c>
      <c r="T51" s="16" t="str">
        <f t="shared" si="24"/>
        <v>init/env_file_CLUSTER12_REPL5_ICHEC-EC-EARTH_historical.csv</v>
      </c>
      <c r="U51" s="16" t="str">
        <f t="shared" si="25"/>
        <v>init/env_grid_CLUSTER12_REPL5.asc</v>
      </c>
      <c r="V51" s="16" t="str">
        <f t="shared" si="26"/>
        <v>init/env_grid_CLUSTER12_REPL5.asc</v>
      </c>
      <c r="W51" s="16" t="str">
        <f t="shared" si="27"/>
        <v>trees_CLUSTER12.csv</v>
      </c>
      <c r="X51" s="16" t="str">
        <f t="shared" si="28"/>
        <v>saplings_CLUSTER12.csv</v>
      </c>
      <c r="Y51" s="16">
        <f t="shared" si="29"/>
        <v>350</v>
      </c>
      <c r="Z51" s="16" t="str">
        <f t="shared" si="30"/>
        <v>abe/no_mgmt.csv</v>
      </c>
      <c r="AA51" s="16" t="str">
        <f t="shared" si="31"/>
        <v>gis/WindModifier_cl12.asc</v>
      </c>
      <c r="AB51" s="16">
        <f t="shared" si="32"/>
        <v>5.7345370827609104E-6</v>
      </c>
      <c r="AC51" s="16" t="str">
        <f t="shared" si="33"/>
        <v>ICHEC-EC-EARTH_historical_point32670</v>
      </c>
      <c r="AD51" s="16" t="str">
        <f t="shared" si="34"/>
        <v>wind_Events/Scaled_cl12_repl5.txt</v>
      </c>
      <c r="AE51" s="16" t="str">
        <f t="shared" si="35"/>
        <v>ICHEC-EC-EARTH_Scaled_Cluster12_repl5</v>
      </c>
      <c r="AF51" s="16" t="s">
        <v>508</v>
      </c>
      <c r="AG51" s="16" t="s">
        <v>509</v>
      </c>
    </row>
    <row r="52" spans="1:33" ht="13.8">
      <c r="A52" s="7" t="str">
        <f t="shared" si="18"/>
        <v>ICHEC-EC-EARTH_Scaled_Cluster13_repl1</v>
      </c>
      <c r="B52" s="8" t="s">
        <v>16</v>
      </c>
      <c r="C52" s="8" t="s">
        <v>54</v>
      </c>
      <c r="D52" s="9" t="s">
        <v>17</v>
      </c>
      <c r="E52" s="9" t="str">
        <f t="shared" si="19"/>
        <v>historical</v>
      </c>
      <c r="F52" s="8">
        <v>350</v>
      </c>
      <c r="G52" s="8" t="s">
        <v>18</v>
      </c>
      <c r="H52" s="8">
        <v>1</v>
      </c>
      <c r="I52" s="19">
        <v>4.1181188616223502E-7</v>
      </c>
      <c r="J52" s="8">
        <v>13</v>
      </c>
      <c r="K52" s="8" t="s">
        <v>167</v>
      </c>
      <c r="L52" s="8">
        <v>1</v>
      </c>
      <c r="M52" s="8">
        <v>1</v>
      </c>
      <c r="N52" s="10" t="s">
        <v>21</v>
      </c>
      <c r="O52" s="17" t="s">
        <v>328</v>
      </c>
      <c r="P52" s="10" t="str">
        <f t="shared" si="20"/>
        <v>ICHEC-EC-EARTH_Scaled_Cluster13_repl1.sqlite</v>
      </c>
      <c r="Q52" s="11">
        <f t="shared" si="21"/>
        <v>1</v>
      </c>
      <c r="R52" s="16" t="str">
        <f t="shared" si="22"/>
        <v>climate_db_ICHEC-EC-EARTH_historical_v4.sqlite</v>
      </c>
      <c r="S52" s="16" t="str">
        <f t="shared" si="23"/>
        <v>log/ICHEC-EC-EARTH_Scaled_Cluster13_repl1.txt</v>
      </c>
      <c r="T52" s="16" t="str">
        <f t="shared" si="24"/>
        <v>init/env_file_CLUSTER13_REPL1_ICHEC-EC-EARTH_historical.csv</v>
      </c>
      <c r="U52" s="16" t="str">
        <f t="shared" si="25"/>
        <v>init/env_grid_CLUSTER13_REPL1.asc</v>
      </c>
      <c r="V52" s="16" t="str">
        <f t="shared" si="26"/>
        <v>init/env_grid_CLUSTER13_REPL1.asc</v>
      </c>
      <c r="W52" s="16" t="str">
        <f t="shared" si="27"/>
        <v>trees_CLUSTER13.csv</v>
      </c>
      <c r="X52" s="16" t="str">
        <f t="shared" si="28"/>
        <v>saplings_CLUSTER13.csv</v>
      </c>
      <c r="Y52" s="16">
        <f t="shared" si="29"/>
        <v>350</v>
      </c>
      <c r="Z52" s="16" t="str">
        <f t="shared" si="30"/>
        <v>abe/no_mgmt.csv</v>
      </c>
      <c r="AA52" s="16" t="str">
        <f t="shared" si="31"/>
        <v>gis/WindModifier_cl13.asc</v>
      </c>
      <c r="AB52" s="16">
        <f t="shared" si="32"/>
        <v>4.1191188616223503E-7</v>
      </c>
      <c r="AC52" s="16" t="str">
        <f t="shared" si="33"/>
        <v>ICHEC-EC-EARTH_historical_point33292</v>
      </c>
      <c r="AD52" s="16" t="str">
        <f t="shared" si="34"/>
        <v>wind_Events/Scaled_cl13_repl1.txt</v>
      </c>
      <c r="AE52" s="16" t="str">
        <f t="shared" si="35"/>
        <v>ICHEC-EC-EARTH_Scaled_Cluster13_repl1</v>
      </c>
      <c r="AF52" s="16" t="s">
        <v>349</v>
      </c>
      <c r="AG52" s="16" t="s">
        <v>350</v>
      </c>
    </row>
    <row r="53" spans="1:33" ht="13.8">
      <c r="A53" s="7" t="str">
        <f t="shared" si="18"/>
        <v>ICHEC-EC-EARTH_Scaled_Cluster13_repl2</v>
      </c>
      <c r="B53" s="8" t="s">
        <v>16</v>
      </c>
      <c r="C53" s="8" t="s">
        <v>54</v>
      </c>
      <c r="D53" s="9" t="s">
        <v>17</v>
      </c>
      <c r="E53" s="9" t="str">
        <f t="shared" si="19"/>
        <v>historical</v>
      </c>
      <c r="F53" s="8">
        <v>350</v>
      </c>
      <c r="G53" s="8" t="s">
        <v>18</v>
      </c>
      <c r="H53" s="8">
        <v>1</v>
      </c>
      <c r="I53" s="19">
        <v>4.1181188616223502E-7</v>
      </c>
      <c r="J53" s="8">
        <v>13</v>
      </c>
      <c r="K53" s="8" t="s">
        <v>167</v>
      </c>
      <c r="L53" s="8">
        <v>2</v>
      </c>
      <c r="M53" s="8">
        <v>1</v>
      </c>
      <c r="N53" s="10" t="s">
        <v>21</v>
      </c>
      <c r="O53" s="17" t="s">
        <v>328</v>
      </c>
      <c r="P53" s="10" t="str">
        <f t="shared" si="20"/>
        <v>ICHEC-EC-EARTH_Scaled_Cluster13_repl2.sqlite</v>
      </c>
      <c r="Q53" s="11">
        <f t="shared" si="21"/>
        <v>4</v>
      </c>
      <c r="R53" s="16" t="str">
        <f t="shared" si="22"/>
        <v>climate_db_ICHEC-EC-EARTH_historical_v4.sqlite</v>
      </c>
      <c r="S53" s="16" t="str">
        <f t="shared" si="23"/>
        <v>log/ICHEC-EC-EARTH_Scaled_Cluster13_repl2.txt</v>
      </c>
      <c r="T53" s="16" t="str">
        <f t="shared" si="24"/>
        <v>init/env_file_CLUSTER13_REPL2_ICHEC-EC-EARTH_historical.csv</v>
      </c>
      <c r="U53" s="16" t="str">
        <f t="shared" si="25"/>
        <v>init/env_grid_CLUSTER13_REPL2.asc</v>
      </c>
      <c r="V53" s="16" t="str">
        <f t="shared" si="26"/>
        <v>init/env_grid_CLUSTER13_REPL2.asc</v>
      </c>
      <c r="W53" s="16" t="str">
        <f t="shared" si="27"/>
        <v>trees_CLUSTER13.csv</v>
      </c>
      <c r="X53" s="16" t="str">
        <f t="shared" si="28"/>
        <v>saplings_CLUSTER13.csv</v>
      </c>
      <c r="Y53" s="16">
        <f t="shared" si="29"/>
        <v>350</v>
      </c>
      <c r="Z53" s="16" t="str">
        <f t="shared" si="30"/>
        <v>abe/no_mgmt.csv</v>
      </c>
      <c r="AA53" s="16" t="str">
        <f t="shared" si="31"/>
        <v>gis/WindModifier_cl13.asc</v>
      </c>
      <c r="AB53" s="16">
        <f t="shared" si="32"/>
        <v>4.1191188616223503E-7</v>
      </c>
      <c r="AC53" s="16" t="str">
        <f t="shared" si="33"/>
        <v>ICHEC-EC-EARTH_historical_point33292</v>
      </c>
      <c r="AD53" s="16" t="str">
        <f t="shared" si="34"/>
        <v>wind_Events/Scaled_cl13_repl2.txt</v>
      </c>
      <c r="AE53" s="16" t="str">
        <f t="shared" si="35"/>
        <v>ICHEC-EC-EARTH_Scaled_Cluster13_repl2</v>
      </c>
      <c r="AF53" s="16" t="s">
        <v>510</v>
      </c>
      <c r="AG53" s="16" t="s">
        <v>511</v>
      </c>
    </row>
    <row r="54" spans="1:33" ht="13.8">
      <c r="A54" s="7" t="str">
        <f t="shared" si="18"/>
        <v>ICHEC-EC-EARTH_Scaled_Cluster13_repl3</v>
      </c>
      <c r="B54" s="8" t="s">
        <v>16</v>
      </c>
      <c r="C54" s="8" t="s">
        <v>54</v>
      </c>
      <c r="D54" s="9" t="s">
        <v>17</v>
      </c>
      <c r="E54" s="9" t="str">
        <f t="shared" si="19"/>
        <v>historical</v>
      </c>
      <c r="F54" s="8">
        <v>350</v>
      </c>
      <c r="G54" s="8" t="s">
        <v>18</v>
      </c>
      <c r="H54" s="8">
        <v>1</v>
      </c>
      <c r="I54" s="19">
        <v>4.1181188616223502E-7</v>
      </c>
      <c r="J54" s="8">
        <v>13</v>
      </c>
      <c r="K54" s="8" t="s">
        <v>167</v>
      </c>
      <c r="L54" s="8">
        <v>3</v>
      </c>
      <c r="M54" s="8">
        <v>1</v>
      </c>
      <c r="N54" s="10" t="s">
        <v>21</v>
      </c>
      <c r="O54" s="17" t="s">
        <v>328</v>
      </c>
      <c r="P54" s="10" t="str">
        <f t="shared" si="20"/>
        <v>ICHEC-EC-EARTH_Scaled_Cluster13_repl3.sqlite</v>
      </c>
      <c r="Q54" s="11">
        <f t="shared" si="21"/>
        <v>7</v>
      </c>
      <c r="R54" s="16" t="str">
        <f t="shared" si="22"/>
        <v>climate_db_ICHEC-EC-EARTH_historical_v4.sqlite</v>
      </c>
      <c r="S54" s="16" t="str">
        <f t="shared" si="23"/>
        <v>log/ICHEC-EC-EARTH_Scaled_Cluster13_repl3.txt</v>
      </c>
      <c r="T54" s="16" t="str">
        <f t="shared" si="24"/>
        <v>init/env_file_CLUSTER13_REPL3_ICHEC-EC-EARTH_historical.csv</v>
      </c>
      <c r="U54" s="16" t="str">
        <f t="shared" si="25"/>
        <v>init/env_grid_CLUSTER13_REPL3.asc</v>
      </c>
      <c r="V54" s="16" t="str">
        <f t="shared" si="26"/>
        <v>init/env_grid_CLUSTER13_REPL3.asc</v>
      </c>
      <c r="W54" s="16" t="str">
        <f t="shared" si="27"/>
        <v>trees_CLUSTER13.csv</v>
      </c>
      <c r="X54" s="16" t="str">
        <f t="shared" si="28"/>
        <v>saplings_CLUSTER13.csv</v>
      </c>
      <c r="Y54" s="16">
        <f t="shared" si="29"/>
        <v>350</v>
      </c>
      <c r="Z54" s="16" t="str">
        <f t="shared" si="30"/>
        <v>abe/no_mgmt.csv</v>
      </c>
      <c r="AA54" s="16" t="str">
        <f t="shared" si="31"/>
        <v>gis/WindModifier_cl13.asc</v>
      </c>
      <c r="AB54" s="16">
        <f t="shared" si="32"/>
        <v>4.1191188616223503E-7</v>
      </c>
      <c r="AC54" s="16" t="str">
        <f t="shared" si="33"/>
        <v>ICHEC-EC-EARTH_historical_point33292</v>
      </c>
      <c r="AD54" s="16" t="str">
        <f t="shared" si="34"/>
        <v>wind_Events/Scaled_cl13_repl3.txt</v>
      </c>
      <c r="AE54" s="16" t="str">
        <f t="shared" si="35"/>
        <v>ICHEC-EC-EARTH_Scaled_Cluster13_repl3</v>
      </c>
      <c r="AF54" s="16" t="s">
        <v>512</v>
      </c>
      <c r="AG54" s="16" t="s">
        <v>513</v>
      </c>
    </row>
    <row r="55" spans="1:33" ht="13.8">
      <c r="A55" s="7" t="str">
        <f t="shared" si="18"/>
        <v>ICHEC-EC-EARTH_Scaled_Cluster13_repl4</v>
      </c>
      <c r="B55" s="8" t="s">
        <v>16</v>
      </c>
      <c r="C55" s="8" t="s">
        <v>54</v>
      </c>
      <c r="D55" s="9" t="s">
        <v>17</v>
      </c>
      <c r="E55" s="9" t="str">
        <f t="shared" si="19"/>
        <v>historical</v>
      </c>
      <c r="F55" s="8">
        <v>350</v>
      </c>
      <c r="G55" s="8" t="s">
        <v>18</v>
      </c>
      <c r="H55" s="8">
        <v>1</v>
      </c>
      <c r="I55" s="19">
        <v>4.1181188616223502E-7</v>
      </c>
      <c r="J55" s="8">
        <v>13</v>
      </c>
      <c r="K55" s="8" t="s">
        <v>167</v>
      </c>
      <c r="L55" s="8">
        <v>4</v>
      </c>
      <c r="M55" s="8">
        <v>1</v>
      </c>
      <c r="N55" s="10" t="s">
        <v>21</v>
      </c>
      <c r="O55" s="17" t="s">
        <v>328</v>
      </c>
      <c r="P55" s="10" t="str">
        <f t="shared" si="20"/>
        <v>ICHEC-EC-EARTH_Scaled_Cluster13_repl4.sqlite</v>
      </c>
      <c r="Q55" s="11">
        <f t="shared" si="21"/>
        <v>10</v>
      </c>
      <c r="R55" s="16" t="str">
        <f t="shared" si="22"/>
        <v>climate_db_ICHEC-EC-EARTH_historical_v4.sqlite</v>
      </c>
      <c r="S55" s="16" t="str">
        <f t="shared" si="23"/>
        <v>log/ICHEC-EC-EARTH_Scaled_Cluster13_repl4.txt</v>
      </c>
      <c r="T55" s="16" t="str">
        <f t="shared" si="24"/>
        <v>init/env_file_CLUSTER13_REPL4_ICHEC-EC-EARTH_historical.csv</v>
      </c>
      <c r="U55" s="16" t="str">
        <f t="shared" si="25"/>
        <v>init/env_grid_CLUSTER13_REPL4.asc</v>
      </c>
      <c r="V55" s="16" t="str">
        <f t="shared" si="26"/>
        <v>init/env_grid_CLUSTER13_REPL4.asc</v>
      </c>
      <c r="W55" s="16" t="str">
        <f t="shared" si="27"/>
        <v>trees_CLUSTER13.csv</v>
      </c>
      <c r="X55" s="16" t="str">
        <f t="shared" si="28"/>
        <v>saplings_CLUSTER13.csv</v>
      </c>
      <c r="Y55" s="16">
        <f t="shared" si="29"/>
        <v>350</v>
      </c>
      <c r="Z55" s="16" t="str">
        <f t="shared" si="30"/>
        <v>abe/no_mgmt.csv</v>
      </c>
      <c r="AA55" s="16" t="str">
        <f t="shared" si="31"/>
        <v>gis/WindModifier_cl13.asc</v>
      </c>
      <c r="AB55" s="16">
        <f t="shared" si="32"/>
        <v>4.1191188616223503E-7</v>
      </c>
      <c r="AC55" s="16" t="str">
        <f t="shared" si="33"/>
        <v>ICHEC-EC-EARTH_historical_point33292</v>
      </c>
      <c r="AD55" s="16" t="str">
        <f t="shared" si="34"/>
        <v>wind_Events/Scaled_cl13_repl4.txt</v>
      </c>
      <c r="AE55" s="16" t="str">
        <f t="shared" si="35"/>
        <v>ICHEC-EC-EARTH_Scaled_Cluster13_repl4</v>
      </c>
      <c r="AF55" s="16" t="s">
        <v>514</v>
      </c>
      <c r="AG55" s="16" t="s">
        <v>515</v>
      </c>
    </row>
    <row r="56" spans="1:33" ht="13.8">
      <c r="A56" s="7" t="str">
        <f t="shared" si="18"/>
        <v>ICHEC-EC-EARTH_Scaled_Cluster13_repl5</v>
      </c>
      <c r="B56" s="8" t="s">
        <v>16</v>
      </c>
      <c r="C56" s="8" t="s">
        <v>54</v>
      </c>
      <c r="D56" s="9" t="s">
        <v>17</v>
      </c>
      <c r="E56" s="9" t="str">
        <f t="shared" si="19"/>
        <v>historical</v>
      </c>
      <c r="F56" s="8">
        <v>350</v>
      </c>
      <c r="G56" s="8" t="s">
        <v>18</v>
      </c>
      <c r="H56" s="8">
        <v>1</v>
      </c>
      <c r="I56" s="19">
        <v>4.1181188616223502E-7</v>
      </c>
      <c r="J56" s="8">
        <v>13</v>
      </c>
      <c r="K56" s="8" t="s">
        <v>167</v>
      </c>
      <c r="L56" s="8">
        <v>5</v>
      </c>
      <c r="M56" s="8">
        <v>1</v>
      </c>
      <c r="N56" s="10" t="s">
        <v>21</v>
      </c>
      <c r="O56" s="17" t="s">
        <v>328</v>
      </c>
      <c r="P56" s="10" t="str">
        <f t="shared" si="20"/>
        <v>ICHEC-EC-EARTH_Scaled_Cluster13_repl5.sqlite</v>
      </c>
      <c r="Q56" s="11">
        <f t="shared" si="21"/>
        <v>13</v>
      </c>
      <c r="R56" s="16" t="str">
        <f t="shared" si="22"/>
        <v>climate_db_ICHEC-EC-EARTH_historical_v4.sqlite</v>
      </c>
      <c r="S56" s="16" t="str">
        <f t="shared" si="23"/>
        <v>log/ICHEC-EC-EARTH_Scaled_Cluster13_repl5.txt</v>
      </c>
      <c r="T56" s="16" t="str">
        <f t="shared" si="24"/>
        <v>init/env_file_CLUSTER13_REPL5_ICHEC-EC-EARTH_historical.csv</v>
      </c>
      <c r="U56" s="16" t="str">
        <f t="shared" si="25"/>
        <v>init/env_grid_CLUSTER13_REPL5.asc</v>
      </c>
      <c r="V56" s="16" t="str">
        <f t="shared" si="26"/>
        <v>init/env_grid_CLUSTER13_REPL5.asc</v>
      </c>
      <c r="W56" s="16" t="str">
        <f t="shared" si="27"/>
        <v>trees_CLUSTER13.csv</v>
      </c>
      <c r="X56" s="16" t="str">
        <f t="shared" si="28"/>
        <v>saplings_CLUSTER13.csv</v>
      </c>
      <c r="Y56" s="16">
        <f t="shared" si="29"/>
        <v>350</v>
      </c>
      <c r="Z56" s="16" t="str">
        <f t="shared" si="30"/>
        <v>abe/no_mgmt.csv</v>
      </c>
      <c r="AA56" s="16" t="str">
        <f t="shared" si="31"/>
        <v>gis/WindModifier_cl13.asc</v>
      </c>
      <c r="AB56" s="16">
        <f t="shared" si="32"/>
        <v>4.1191188616223503E-7</v>
      </c>
      <c r="AC56" s="16" t="str">
        <f t="shared" si="33"/>
        <v>ICHEC-EC-EARTH_historical_point33292</v>
      </c>
      <c r="AD56" s="16" t="str">
        <f t="shared" si="34"/>
        <v>wind_Events/Scaled_cl13_repl5.txt</v>
      </c>
      <c r="AE56" s="16" t="str">
        <f t="shared" si="35"/>
        <v>ICHEC-EC-EARTH_Scaled_Cluster13_repl5</v>
      </c>
      <c r="AF56" s="16" t="s">
        <v>516</v>
      </c>
      <c r="AG56" s="16" t="s">
        <v>517</v>
      </c>
    </row>
    <row r="57" spans="1:33" ht="13.8">
      <c r="A57" s="7" t="str">
        <f t="shared" si="18"/>
        <v>ICHEC-EC-EARTH_Scaled_Cluster14_repl1</v>
      </c>
      <c r="B57" s="8" t="s">
        <v>16</v>
      </c>
      <c r="C57" s="8" t="s">
        <v>54</v>
      </c>
      <c r="D57" s="9" t="s">
        <v>17</v>
      </c>
      <c r="E57" s="9" t="str">
        <f t="shared" si="19"/>
        <v>historical</v>
      </c>
      <c r="F57" s="8">
        <v>350</v>
      </c>
      <c r="G57" s="8" t="s">
        <v>18</v>
      </c>
      <c r="H57" s="8">
        <v>1</v>
      </c>
      <c r="I57" s="19">
        <v>2.19455891293013E-6</v>
      </c>
      <c r="J57" s="8">
        <v>14</v>
      </c>
      <c r="K57" s="8" t="s">
        <v>168</v>
      </c>
      <c r="L57" s="8">
        <v>1</v>
      </c>
      <c r="M57" s="8">
        <v>1</v>
      </c>
      <c r="N57" s="10" t="s">
        <v>21</v>
      </c>
      <c r="O57" s="17" t="s">
        <v>328</v>
      </c>
      <c r="P57" s="10" t="str">
        <f t="shared" si="20"/>
        <v>ICHEC-EC-EARTH_Scaled_Cluster14_repl1.sqlite</v>
      </c>
      <c r="Q57" s="11">
        <f t="shared" si="21"/>
        <v>1</v>
      </c>
      <c r="R57" s="16" t="str">
        <f t="shared" si="22"/>
        <v>climate_db_ICHEC-EC-EARTH_historical_v4.sqlite</v>
      </c>
      <c r="S57" s="16" t="str">
        <f t="shared" si="23"/>
        <v>log/ICHEC-EC-EARTH_Scaled_Cluster14_repl1.txt</v>
      </c>
      <c r="T57" s="16" t="str">
        <f t="shared" si="24"/>
        <v>init/env_file_CLUSTER14_REPL1_ICHEC-EC-EARTH_historical.csv</v>
      </c>
      <c r="U57" s="16" t="str">
        <f t="shared" si="25"/>
        <v>init/env_grid_CLUSTER14_REPL1.asc</v>
      </c>
      <c r="V57" s="16" t="str">
        <f t="shared" si="26"/>
        <v>init/env_grid_CLUSTER14_REPL1.asc</v>
      </c>
      <c r="W57" s="16" t="str">
        <f t="shared" si="27"/>
        <v>trees_CLUSTER14.csv</v>
      </c>
      <c r="X57" s="16" t="str">
        <f t="shared" si="28"/>
        <v>saplings_CLUSTER14.csv</v>
      </c>
      <c r="Y57" s="16">
        <f t="shared" si="29"/>
        <v>350</v>
      </c>
      <c r="Z57" s="16" t="str">
        <f t="shared" si="30"/>
        <v>abe/no_mgmt.csv</v>
      </c>
      <c r="AA57" s="16" t="str">
        <f t="shared" si="31"/>
        <v>gis/WindModifier_cl14.asc</v>
      </c>
      <c r="AB57" s="16">
        <f t="shared" si="32"/>
        <v>2.1946589129301298E-6</v>
      </c>
      <c r="AC57" s="16" t="str">
        <f t="shared" si="33"/>
        <v>ICHEC-EC-EARTH_historical_point34874</v>
      </c>
      <c r="AD57" s="16" t="str">
        <f t="shared" si="34"/>
        <v>wind_Events/Scaled_cl14_repl1.txt</v>
      </c>
      <c r="AE57" s="16" t="str">
        <f t="shared" si="35"/>
        <v>ICHEC-EC-EARTH_Scaled_Cluster14_repl1</v>
      </c>
      <c r="AF57" s="16" t="s">
        <v>351</v>
      </c>
      <c r="AG57" s="16" t="s">
        <v>352</v>
      </c>
    </row>
    <row r="58" spans="1:33" ht="13.8">
      <c r="A58" s="7" t="str">
        <f t="shared" si="18"/>
        <v>ICHEC-EC-EARTH_Scaled_Cluster14_repl2</v>
      </c>
      <c r="B58" s="8" t="s">
        <v>16</v>
      </c>
      <c r="C58" s="8" t="s">
        <v>54</v>
      </c>
      <c r="D58" s="9" t="s">
        <v>17</v>
      </c>
      <c r="E58" s="9" t="str">
        <f t="shared" si="19"/>
        <v>historical</v>
      </c>
      <c r="F58" s="8">
        <v>350</v>
      </c>
      <c r="G58" s="8" t="s">
        <v>18</v>
      </c>
      <c r="H58" s="8">
        <v>1</v>
      </c>
      <c r="I58" s="19">
        <v>2.19455891293013E-6</v>
      </c>
      <c r="J58" s="8">
        <v>14</v>
      </c>
      <c r="K58" s="8" t="s">
        <v>168</v>
      </c>
      <c r="L58" s="8">
        <v>2</v>
      </c>
      <c r="M58" s="8">
        <v>1</v>
      </c>
      <c r="N58" s="10" t="s">
        <v>21</v>
      </c>
      <c r="O58" s="17" t="s">
        <v>328</v>
      </c>
      <c r="P58" s="10" t="str">
        <f t="shared" si="20"/>
        <v>ICHEC-EC-EARTH_Scaled_Cluster14_repl2.sqlite</v>
      </c>
      <c r="Q58" s="11">
        <f t="shared" si="21"/>
        <v>4</v>
      </c>
      <c r="R58" s="16" t="str">
        <f t="shared" si="22"/>
        <v>climate_db_ICHEC-EC-EARTH_historical_v4.sqlite</v>
      </c>
      <c r="S58" s="16" t="str">
        <f t="shared" si="23"/>
        <v>log/ICHEC-EC-EARTH_Scaled_Cluster14_repl2.txt</v>
      </c>
      <c r="T58" s="16" t="str">
        <f t="shared" si="24"/>
        <v>init/env_file_CLUSTER14_REPL2_ICHEC-EC-EARTH_historical.csv</v>
      </c>
      <c r="U58" s="16" t="str">
        <f t="shared" si="25"/>
        <v>init/env_grid_CLUSTER14_REPL2.asc</v>
      </c>
      <c r="V58" s="16" t="str">
        <f t="shared" si="26"/>
        <v>init/env_grid_CLUSTER14_REPL2.asc</v>
      </c>
      <c r="W58" s="16" t="str">
        <f t="shared" si="27"/>
        <v>trees_CLUSTER14.csv</v>
      </c>
      <c r="X58" s="16" t="str">
        <f t="shared" si="28"/>
        <v>saplings_CLUSTER14.csv</v>
      </c>
      <c r="Y58" s="16">
        <f t="shared" si="29"/>
        <v>350</v>
      </c>
      <c r="Z58" s="16" t="str">
        <f t="shared" si="30"/>
        <v>abe/no_mgmt.csv</v>
      </c>
      <c r="AA58" s="16" t="str">
        <f t="shared" si="31"/>
        <v>gis/WindModifier_cl14.asc</v>
      </c>
      <c r="AB58" s="16">
        <f t="shared" si="32"/>
        <v>2.1946589129301298E-6</v>
      </c>
      <c r="AC58" s="16" t="str">
        <f t="shared" si="33"/>
        <v>ICHEC-EC-EARTH_historical_point34874</v>
      </c>
      <c r="AD58" s="16" t="str">
        <f t="shared" si="34"/>
        <v>wind_Events/Scaled_cl14_repl2.txt</v>
      </c>
      <c r="AE58" s="16" t="str">
        <f t="shared" si="35"/>
        <v>ICHEC-EC-EARTH_Scaled_Cluster14_repl2</v>
      </c>
      <c r="AF58" s="16" t="s">
        <v>518</v>
      </c>
      <c r="AG58" s="16" t="s">
        <v>519</v>
      </c>
    </row>
    <row r="59" spans="1:33" ht="13.8">
      <c r="A59" s="7" t="str">
        <f t="shared" si="18"/>
        <v>ICHEC-EC-EARTH_Scaled_Cluster14_repl3</v>
      </c>
      <c r="B59" s="8" t="s">
        <v>16</v>
      </c>
      <c r="C59" s="8" t="s">
        <v>54</v>
      </c>
      <c r="D59" s="9" t="s">
        <v>17</v>
      </c>
      <c r="E59" s="9" t="str">
        <f t="shared" si="19"/>
        <v>historical</v>
      </c>
      <c r="F59" s="8">
        <v>350</v>
      </c>
      <c r="G59" s="8" t="s">
        <v>18</v>
      </c>
      <c r="H59" s="8">
        <v>1</v>
      </c>
      <c r="I59" s="19">
        <v>2.19455891293013E-6</v>
      </c>
      <c r="J59" s="8">
        <v>14</v>
      </c>
      <c r="K59" s="8" t="s">
        <v>168</v>
      </c>
      <c r="L59" s="8">
        <v>3</v>
      </c>
      <c r="M59" s="8">
        <v>1</v>
      </c>
      <c r="N59" s="10" t="s">
        <v>21</v>
      </c>
      <c r="O59" s="17" t="s">
        <v>328</v>
      </c>
      <c r="P59" s="10" t="str">
        <f t="shared" si="20"/>
        <v>ICHEC-EC-EARTH_Scaled_Cluster14_repl3.sqlite</v>
      </c>
      <c r="Q59" s="11">
        <f t="shared" si="21"/>
        <v>7</v>
      </c>
      <c r="R59" s="16" t="str">
        <f t="shared" si="22"/>
        <v>climate_db_ICHEC-EC-EARTH_historical_v4.sqlite</v>
      </c>
      <c r="S59" s="16" t="str">
        <f t="shared" si="23"/>
        <v>log/ICHEC-EC-EARTH_Scaled_Cluster14_repl3.txt</v>
      </c>
      <c r="T59" s="16" t="str">
        <f t="shared" si="24"/>
        <v>init/env_file_CLUSTER14_REPL3_ICHEC-EC-EARTH_historical.csv</v>
      </c>
      <c r="U59" s="16" t="str">
        <f t="shared" si="25"/>
        <v>init/env_grid_CLUSTER14_REPL3.asc</v>
      </c>
      <c r="V59" s="16" t="str">
        <f t="shared" si="26"/>
        <v>init/env_grid_CLUSTER14_REPL3.asc</v>
      </c>
      <c r="W59" s="16" t="str">
        <f t="shared" si="27"/>
        <v>trees_CLUSTER14.csv</v>
      </c>
      <c r="X59" s="16" t="str">
        <f t="shared" si="28"/>
        <v>saplings_CLUSTER14.csv</v>
      </c>
      <c r="Y59" s="16">
        <f t="shared" si="29"/>
        <v>350</v>
      </c>
      <c r="Z59" s="16" t="str">
        <f t="shared" si="30"/>
        <v>abe/no_mgmt.csv</v>
      </c>
      <c r="AA59" s="16" t="str">
        <f t="shared" si="31"/>
        <v>gis/WindModifier_cl14.asc</v>
      </c>
      <c r="AB59" s="16">
        <f t="shared" si="32"/>
        <v>2.1946589129301298E-6</v>
      </c>
      <c r="AC59" s="16" t="str">
        <f t="shared" si="33"/>
        <v>ICHEC-EC-EARTH_historical_point34874</v>
      </c>
      <c r="AD59" s="16" t="str">
        <f t="shared" si="34"/>
        <v>wind_Events/Scaled_cl14_repl3.txt</v>
      </c>
      <c r="AE59" s="16" t="str">
        <f t="shared" si="35"/>
        <v>ICHEC-EC-EARTH_Scaled_Cluster14_repl3</v>
      </c>
      <c r="AF59" s="16" t="s">
        <v>520</v>
      </c>
      <c r="AG59" s="16" t="s">
        <v>521</v>
      </c>
    </row>
    <row r="60" spans="1:33" ht="13.8">
      <c r="A60" s="7" t="str">
        <f t="shared" si="18"/>
        <v>ICHEC-EC-EARTH_Scaled_Cluster14_repl4</v>
      </c>
      <c r="B60" s="8" t="s">
        <v>16</v>
      </c>
      <c r="C60" s="8" t="s">
        <v>54</v>
      </c>
      <c r="D60" s="9" t="s">
        <v>17</v>
      </c>
      <c r="E60" s="9" t="str">
        <f t="shared" si="19"/>
        <v>historical</v>
      </c>
      <c r="F60" s="8">
        <v>350</v>
      </c>
      <c r="G60" s="8" t="s">
        <v>18</v>
      </c>
      <c r="H60" s="8">
        <v>1</v>
      </c>
      <c r="I60" s="19">
        <v>2.19455891293013E-6</v>
      </c>
      <c r="J60" s="8">
        <v>14</v>
      </c>
      <c r="K60" s="8" t="s">
        <v>168</v>
      </c>
      <c r="L60" s="8">
        <v>4</v>
      </c>
      <c r="M60" s="8">
        <v>1</v>
      </c>
      <c r="N60" s="10" t="s">
        <v>21</v>
      </c>
      <c r="O60" s="17" t="s">
        <v>328</v>
      </c>
      <c r="P60" s="10" t="str">
        <f t="shared" si="20"/>
        <v>ICHEC-EC-EARTH_Scaled_Cluster14_repl4.sqlite</v>
      </c>
      <c r="Q60" s="11">
        <f t="shared" si="21"/>
        <v>10</v>
      </c>
      <c r="R60" s="16" t="str">
        <f t="shared" si="22"/>
        <v>climate_db_ICHEC-EC-EARTH_historical_v4.sqlite</v>
      </c>
      <c r="S60" s="16" t="str">
        <f t="shared" si="23"/>
        <v>log/ICHEC-EC-EARTH_Scaled_Cluster14_repl4.txt</v>
      </c>
      <c r="T60" s="16" t="str">
        <f t="shared" si="24"/>
        <v>init/env_file_CLUSTER14_REPL4_ICHEC-EC-EARTH_historical.csv</v>
      </c>
      <c r="U60" s="16" t="str">
        <f t="shared" si="25"/>
        <v>init/env_grid_CLUSTER14_REPL4.asc</v>
      </c>
      <c r="V60" s="16" t="str">
        <f t="shared" si="26"/>
        <v>init/env_grid_CLUSTER14_REPL4.asc</v>
      </c>
      <c r="W60" s="16" t="str">
        <f t="shared" si="27"/>
        <v>trees_CLUSTER14.csv</v>
      </c>
      <c r="X60" s="16" t="str">
        <f t="shared" si="28"/>
        <v>saplings_CLUSTER14.csv</v>
      </c>
      <c r="Y60" s="16">
        <f t="shared" si="29"/>
        <v>350</v>
      </c>
      <c r="Z60" s="16" t="str">
        <f t="shared" si="30"/>
        <v>abe/no_mgmt.csv</v>
      </c>
      <c r="AA60" s="16" t="str">
        <f t="shared" si="31"/>
        <v>gis/WindModifier_cl14.asc</v>
      </c>
      <c r="AB60" s="16">
        <f t="shared" si="32"/>
        <v>2.1946589129301298E-6</v>
      </c>
      <c r="AC60" s="16" t="str">
        <f t="shared" si="33"/>
        <v>ICHEC-EC-EARTH_historical_point34874</v>
      </c>
      <c r="AD60" s="16" t="str">
        <f t="shared" si="34"/>
        <v>wind_Events/Scaled_cl14_repl4.txt</v>
      </c>
      <c r="AE60" s="16" t="str">
        <f t="shared" si="35"/>
        <v>ICHEC-EC-EARTH_Scaled_Cluster14_repl4</v>
      </c>
      <c r="AF60" s="16" t="s">
        <v>522</v>
      </c>
      <c r="AG60" s="16" t="s">
        <v>523</v>
      </c>
    </row>
    <row r="61" spans="1:33" ht="13.8">
      <c r="A61" s="7" t="str">
        <f t="shared" si="18"/>
        <v>ICHEC-EC-EARTH_Scaled_Cluster14_repl5</v>
      </c>
      <c r="B61" s="8" t="s">
        <v>16</v>
      </c>
      <c r="C61" s="8" t="s">
        <v>54</v>
      </c>
      <c r="D61" s="9" t="s">
        <v>17</v>
      </c>
      <c r="E61" s="9" t="str">
        <f t="shared" si="19"/>
        <v>historical</v>
      </c>
      <c r="F61" s="8">
        <v>350</v>
      </c>
      <c r="G61" s="8" t="s">
        <v>18</v>
      </c>
      <c r="H61" s="8">
        <v>1</v>
      </c>
      <c r="I61" s="19">
        <v>2.19455891293013E-6</v>
      </c>
      <c r="J61" s="8">
        <v>14</v>
      </c>
      <c r="K61" s="8" t="s">
        <v>168</v>
      </c>
      <c r="L61" s="8">
        <v>5</v>
      </c>
      <c r="M61" s="8">
        <v>1</v>
      </c>
      <c r="N61" s="10" t="s">
        <v>21</v>
      </c>
      <c r="O61" s="17" t="s">
        <v>328</v>
      </c>
      <c r="P61" s="10" t="str">
        <f t="shared" si="20"/>
        <v>ICHEC-EC-EARTH_Scaled_Cluster14_repl5.sqlite</v>
      </c>
      <c r="Q61" s="11">
        <f t="shared" si="21"/>
        <v>13</v>
      </c>
      <c r="R61" s="16" t="str">
        <f t="shared" si="22"/>
        <v>climate_db_ICHEC-EC-EARTH_historical_v4.sqlite</v>
      </c>
      <c r="S61" s="16" t="str">
        <f t="shared" si="23"/>
        <v>log/ICHEC-EC-EARTH_Scaled_Cluster14_repl5.txt</v>
      </c>
      <c r="T61" s="16" t="str">
        <f t="shared" si="24"/>
        <v>init/env_file_CLUSTER14_REPL5_ICHEC-EC-EARTH_historical.csv</v>
      </c>
      <c r="U61" s="16" t="str">
        <f t="shared" si="25"/>
        <v>init/env_grid_CLUSTER14_REPL5.asc</v>
      </c>
      <c r="V61" s="16" t="str">
        <f t="shared" si="26"/>
        <v>init/env_grid_CLUSTER14_REPL5.asc</v>
      </c>
      <c r="W61" s="16" t="str">
        <f t="shared" si="27"/>
        <v>trees_CLUSTER14.csv</v>
      </c>
      <c r="X61" s="16" t="str">
        <f t="shared" si="28"/>
        <v>saplings_CLUSTER14.csv</v>
      </c>
      <c r="Y61" s="16">
        <f t="shared" si="29"/>
        <v>350</v>
      </c>
      <c r="Z61" s="16" t="str">
        <f t="shared" si="30"/>
        <v>abe/no_mgmt.csv</v>
      </c>
      <c r="AA61" s="16" t="str">
        <f t="shared" si="31"/>
        <v>gis/WindModifier_cl14.asc</v>
      </c>
      <c r="AB61" s="16">
        <f t="shared" si="32"/>
        <v>2.1946589129301298E-6</v>
      </c>
      <c r="AC61" s="16" t="str">
        <f t="shared" si="33"/>
        <v>ICHEC-EC-EARTH_historical_point34874</v>
      </c>
      <c r="AD61" s="16" t="str">
        <f t="shared" si="34"/>
        <v>wind_Events/Scaled_cl14_repl5.txt</v>
      </c>
      <c r="AE61" s="16" t="str">
        <f t="shared" si="35"/>
        <v>ICHEC-EC-EARTH_Scaled_Cluster14_repl5</v>
      </c>
      <c r="AF61" s="16" t="s">
        <v>524</v>
      </c>
      <c r="AG61" s="16" t="s">
        <v>525</v>
      </c>
    </row>
    <row r="62" spans="1:33" ht="13.8">
      <c r="A62" s="7" t="str">
        <f t="shared" si="18"/>
        <v>MPI-M-MPI-ESM-LR_Scaled_Cluster2_repl1</v>
      </c>
      <c r="B62" s="8" t="s">
        <v>16</v>
      </c>
      <c r="C62" s="8" t="s">
        <v>54</v>
      </c>
      <c r="D62" s="9" t="s">
        <v>17</v>
      </c>
      <c r="E62" s="9" t="str">
        <f t="shared" si="19"/>
        <v>historical</v>
      </c>
      <c r="F62" s="8">
        <v>350</v>
      </c>
      <c r="G62" s="8" t="s">
        <v>63</v>
      </c>
      <c r="H62" s="8">
        <v>2</v>
      </c>
      <c r="I62" s="19">
        <v>6.2493566238876597E-6</v>
      </c>
      <c r="J62" s="8">
        <v>2</v>
      </c>
      <c r="K62" s="8" t="s">
        <v>157</v>
      </c>
      <c r="L62" s="8">
        <v>1</v>
      </c>
      <c r="M62" s="8">
        <v>1</v>
      </c>
      <c r="N62" s="10" t="s">
        <v>21</v>
      </c>
      <c r="O62" s="17" t="s">
        <v>328</v>
      </c>
      <c r="P62" s="10" t="str">
        <f t="shared" si="20"/>
        <v>MPI-M-MPI-ESM-LR_Scaled_Cluster2_repl1.sqlite</v>
      </c>
      <c r="Q62" s="11">
        <f t="shared" si="21"/>
        <v>2</v>
      </c>
      <c r="R62" s="16" t="str">
        <f t="shared" si="22"/>
        <v>climate_db_MPI-M-MPI-ESM-LR_historical_v4.sqlite</v>
      </c>
      <c r="S62" s="16" t="str">
        <f t="shared" si="23"/>
        <v>log/MPI-M-MPI-ESM-LR_Scaled_Cluster2_repl1.txt</v>
      </c>
      <c r="T62" s="16" t="str">
        <f t="shared" si="24"/>
        <v>init/env_file_CLUSTER02_REPL1_MPI-M-MPI-ESM-LR_historical.csv</v>
      </c>
      <c r="U62" s="16" t="str">
        <f t="shared" si="25"/>
        <v>init/env_grid_CLUSTER02_REPL1.asc</v>
      </c>
      <c r="V62" s="16" t="str">
        <f t="shared" si="26"/>
        <v>init/env_grid_CLUSTER02_REPL1.asc</v>
      </c>
      <c r="W62" s="16" t="str">
        <f t="shared" si="27"/>
        <v>trees_CLUSTER02.csv</v>
      </c>
      <c r="X62" s="16" t="str">
        <f t="shared" si="28"/>
        <v>saplings_CLUSTER02.csv</v>
      </c>
      <c r="Y62" s="16">
        <f t="shared" si="29"/>
        <v>350</v>
      </c>
      <c r="Z62" s="16" t="str">
        <f t="shared" si="30"/>
        <v>abe/no_mgmt.csv</v>
      </c>
      <c r="AA62" s="16" t="str">
        <f t="shared" si="31"/>
        <v>gis/WindModifier_cl2.asc</v>
      </c>
      <c r="AB62" s="16">
        <f t="shared" si="32"/>
        <v>6.24945662388766E-6</v>
      </c>
      <c r="AC62" s="16" t="str">
        <f t="shared" si="33"/>
        <v>MPI-M-MPI-ESM-LR_historical_point38526</v>
      </c>
      <c r="AD62" s="16" t="str">
        <f t="shared" si="34"/>
        <v>wind_Events/Scaled_cl2_repl1.txt</v>
      </c>
      <c r="AE62" s="16" t="str">
        <f t="shared" si="35"/>
        <v>MPI-M-MPI-ESM-LR_Scaled_Cluster2_repl1</v>
      </c>
      <c r="AF62" s="16" t="s">
        <v>353</v>
      </c>
      <c r="AG62" s="16" t="s">
        <v>354</v>
      </c>
    </row>
    <row r="63" spans="1:33" ht="13.8">
      <c r="A63" s="7" t="str">
        <f t="shared" si="18"/>
        <v>MPI-M-MPI-ESM-LR_Scaled_Cluster2_repl2</v>
      </c>
      <c r="B63" s="8" t="s">
        <v>16</v>
      </c>
      <c r="C63" s="8" t="s">
        <v>54</v>
      </c>
      <c r="D63" s="9" t="s">
        <v>17</v>
      </c>
      <c r="E63" s="9" t="str">
        <f t="shared" si="19"/>
        <v>historical</v>
      </c>
      <c r="F63" s="8">
        <v>350</v>
      </c>
      <c r="G63" s="8" t="s">
        <v>63</v>
      </c>
      <c r="H63" s="8">
        <v>2</v>
      </c>
      <c r="I63" s="19">
        <v>6.2493566238876597E-6</v>
      </c>
      <c r="J63" s="8">
        <v>2</v>
      </c>
      <c r="K63" s="8" t="s">
        <v>157</v>
      </c>
      <c r="L63" s="8">
        <v>2</v>
      </c>
      <c r="M63" s="8">
        <v>1</v>
      </c>
      <c r="N63" s="10" t="s">
        <v>21</v>
      </c>
      <c r="O63" s="17" t="s">
        <v>328</v>
      </c>
      <c r="P63" s="10" t="str">
        <f t="shared" si="20"/>
        <v>MPI-M-MPI-ESM-LR_Scaled_Cluster2_repl2.sqlite</v>
      </c>
      <c r="Q63" s="11">
        <f t="shared" si="21"/>
        <v>5</v>
      </c>
      <c r="R63" s="16" t="str">
        <f t="shared" si="22"/>
        <v>climate_db_MPI-M-MPI-ESM-LR_historical_v4.sqlite</v>
      </c>
      <c r="S63" s="16" t="str">
        <f t="shared" si="23"/>
        <v>log/MPI-M-MPI-ESM-LR_Scaled_Cluster2_repl2.txt</v>
      </c>
      <c r="T63" s="16" t="str">
        <f t="shared" si="24"/>
        <v>init/env_file_CLUSTER02_REPL2_MPI-M-MPI-ESM-LR_historical.csv</v>
      </c>
      <c r="U63" s="16" t="str">
        <f t="shared" si="25"/>
        <v>init/env_grid_CLUSTER02_REPL2.asc</v>
      </c>
      <c r="V63" s="16" t="str">
        <f t="shared" si="26"/>
        <v>init/env_grid_CLUSTER02_REPL2.asc</v>
      </c>
      <c r="W63" s="16" t="str">
        <f t="shared" si="27"/>
        <v>trees_CLUSTER02.csv</v>
      </c>
      <c r="X63" s="16" t="str">
        <f t="shared" si="28"/>
        <v>saplings_CLUSTER02.csv</v>
      </c>
      <c r="Y63" s="16">
        <f t="shared" si="29"/>
        <v>350</v>
      </c>
      <c r="Z63" s="16" t="str">
        <f t="shared" si="30"/>
        <v>abe/no_mgmt.csv</v>
      </c>
      <c r="AA63" s="16" t="str">
        <f t="shared" si="31"/>
        <v>gis/WindModifier_cl2.asc</v>
      </c>
      <c r="AB63" s="16">
        <f t="shared" si="32"/>
        <v>6.24945662388766E-6</v>
      </c>
      <c r="AC63" s="16" t="str">
        <f t="shared" si="33"/>
        <v>MPI-M-MPI-ESM-LR_historical_point38526</v>
      </c>
      <c r="AD63" s="16" t="str">
        <f t="shared" si="34"/>
        <v>wind_Events/Scaled_cl2_repl2.txt</v>
      </c>
      <c r="AE63" s="16" t="str">
        <f t="shared" si="35"/>
        <v>MPI-M-MPI-ESM-LR_Scaled_Cluster2_repl2</v>
      </c>
      <c r="AF63" s="16" t="s">
        <v>526</v>
      </c>
      <c r="AG63" s="16" t="s">
        <v>527</v>
      </c>
    </row>
    <row r="64" spans="1:33" ht="13.8">
      <c r="A64" s="7" t="str">
        <f t="shared" si="18"/>
        <v>MPI-M-MPI-ESM-LR_Scaled_Cluster2_repl3</v>
      </c>
      <c r="B64" s="8" t="s">
        <v>16</v>
      </c>
      <c r="C64" s="8" t="s">
        <v>54</v>
      </c>
      <c r="D64" s="9" t="s">
        <v>17</v>
      </c>
      <c r="E64" s="9" t="str">
        <f t="shared" si="19"/>
        <v>historical</v>
      </c>
      <c r="F64" s="8">
        <v>350</v>
      </c>
      <c r="G64" s="8" t="s">
        <v>63</v>
      </c>
      <c r="H64" s="8">
        <v>2</v>
      </c>
      <c r="I64" s="19">
        <v>6.2493566238876597E-6</v>
      </c>
      <c r="J64" s="8">
        <v>2</v>
      </c>
      <c r="K64" s="8" t="s">
        <v>157</v>
      </c>
      <c r="L64" s="8">
        <v>3</v>
      </c>
      <c r="M64" s="8">
        <v>1</v>
      </c>
      <c r="N64" s="10" t="s">
        <v>21</v>
      </c>
      <c r="O64" s="17" t="s">
        <v>328</v>
      </c>
      <c r="P64" s="10" t="str">
        <f t="shared" si="20"/>
        <v>MPI-M-MPI-ESM-LR_Scaled_Cluster2_repl3.sqlite</v>
      </c>
      <c r="Q64" s="11">
        <f t="shared" si="21"/>
        <v>8</v>
      </c>
      <c r="R64" s="16" t="str">
        <f t="shared" si="22"/>
        <v>climate_db_MPI-M-MPI-ESM-LR_historical_v4.sqlite</v>
      </c>
      <c r="S64" s="16" t="str">
        <f t="shared" si="23"/>
        <v>log/MPI-M-MPI-ESM-LR_Scaled_Cluster2_repl3.txt</v>
      </c>
      <c r="T64" s="16" t="str">
        <f t="shared" si="24"/>
        <v>init/env_file_CLUSTER02_REPL3_MPI-M-MPI-ESM-LR_historical.csv</v>
      </c>
      <c r="U64" s="16" t="str">
        <f t="shared" si="25"/>
        <v>init/env_grid_CLUSTER02_REPL3.asc</v>
      </c>
      <c r="V64" s="16" t="str">
        <f t="shared" si="26"/>
        <v>init/env_grid_CLUSTER02_REPL3.asc</v>
      </c>
      <c r="W64" s="16" t="str">
        <f t="shared" si="27"/>
        <v>trees_CLUSTER02.csv</v>
      </c>
      <c r="X64" s="16" t="str">
        <f t="shared" si="28"/>
        <v>saplings_CLUSTER02.csv</v>
      </c>
      <c r="Y64" s="16">
        <f t="shared" si="29"/>
        <v>350</v>
      </c>
      <c r="Z64" s="16" t="str">
        <f t="shared" si="30"/>
        <v>abe/no_mgmt.csv</v>
      </c>
      <c r="AA64" s="16" t="str">
        <f t="shared" si="31"/>
        <v>gis/WindModifier_cl2.asc</v>
      </c>
      <c r="AB64" s="16">
        <f t="shared" si="32"/>
        <v>6.24945662388766E-6</v>
      </c>
      <c r="AC64" s="16" t="str">
        <f t="shared" si="33"/>
        <v>MPI-M-MPI-ESM-LR_historical_point38526</v>
      </c>
      <c r="AD64" s="16" t="str">
        <f t="shared" si="34"/>
        <v>wind_Events/Scaled_cl2_repl3.txt</v>
      </c>
      <c r="AE64" s="16" t="str">
        <f t="shared" si="35"/>
        <v>MPI-M-MPI-ESM-LR_Scaled_Cluster2_repl3</v>
      </c>
      <c r="AF64" s="16" t="s">
        <v>528</v>
      </c>
      <c r="AG64" s="16" t="s">
        <v>529</v>
      </c>
    </row>
    <row r="65" spans="1:33" ht="13.8">
      <c r="A65" s="7" t="str">
        <f t="shared" si="18"/>
        <v>MPI-M-MPI-ESM-LR_Scaled_Cluster2_repl4</v>
      </c>
      <c r="B65" s="8" t="s">
        <v>16</v>
      </c>
      <c r="C65" s="8" t="s">
        <v>54</v>
      </c>
      <c r="D65" s="9" t="s">
        <v>17</v>
      </c>
      <c r="E65" s="9" t="str">
        <f t="shared" si="19"/>
        <v>historical</v>
      </c>
      <c r="F65" s="8">
        <v>350</v>
      </c>
      <c r="G65" s="8" t="s">
        <v>63</v>
      </c>
      <c r="H65" s="8">
        <v>2</v>
      </c>
      <c r="I65" s="19">
        <v>6.2493566238876597E-6</v>
      </c>
      <c r="J65" s="8">
        <v>2</v>
      </c>
      <c r="K65" s="8" t="s">
        <v>157</v>
      </c>
      <c r="L65" s="8">
        <v>4</v>
      </c>
      <c r="M65" s="8">
        <v>1</v>
      </c>
      <c r="N65" s="10" t="s">
        <v>21</v>
      </c>
      <c r="O65" s="17" t="s">
        <v>328</v>
      </c>
      <c r="P65" s="10" t="str">
        <f t="shared" si="20"/>
        <v>MPI-M-MPI-ESM-LR_Scaled_Cluster2_repl4.sqlite</v>
      </c>
      <c r="Q65" s="11">
        <f t="shared" si="21"/>
        <v>11</v>
      </c>
      <c r="R65" s="16" t="str">
        <f t="shared" si="22"/>
        <v>climate_db_MPI-M-MPI-ESM-LR_historical_v4.sqlite</v>
      </c>
      <c r="S65" s="16" t="str">
        <f t="shared" si="23"/>
        <v>log/MPI-M-MPI-ESM-LR_Scaled_Cluster2_repl4.txt</v>
      </c>
      <c r="T65" s="16" t="str">
        <f t="shared" si="24"/>
        <v>init/env_file_CLUSTER02_REPL4_MPI-M-MPI-ESM-LR_historical.csv</v>
      </c>
      <c r="U65" s="16" t="str">
        <f t="shared" si="25"/>
        <v>init/env_grid_CLUSTER02_REPL4.asc</v>
      </c>
      <c r="V65" s="16" t="str">
        <f t="shared" si="26"/>
        <v>init/env_grid_CLUSTER02_REPL4.asc</v>
      </c>
      <c r="W65" s="16" t="str">
        <f t="shared" si="27"/>
        <v>trees_CLUSTER02.csv</v>
      </c>
      <c r="X65" s="16" t="str">
        <f t="shared" si="28"/>
        <v>saplings_CLUSTER02.csv</v>
      </c>
      <c r="Y65" s="16">
        <f t="shared" si="29"/>
        <v>350</v>
      </c>
      <c r="Z65" s="16" t="str">
        <f t="shared" si="30"/>
        <v>abe/no_mgmt.csv</v>
      </c>
      <c r="AA65" s="16" t="str">
        <f t="shared" si="31"/>
        <v>gis/WindModifier_cl2.asc</v>
      </c>
      <c r="AB65" s="16">
        <f t="shared" si="32"/>
        <v>6.24945662388766E-6</v>
      </c>
      <c r="AC65" s="16" t="str">
        <f t="shared" si="33"/>
        <v>MPI-M-MPI-ESM-LR_historical_point38526</v>
      </c>
      <c r="AD65" s="16" t="str">
        <f t="shared" si="34"/>
        <v>wind_Events/Scaled_cl2_repl4.txt</v>
      </c>
      <c r="AE65" s="16" t="str">
        <f t="shared" si="35"/>
        <v>MPI-M-MPI-ESM-LR_Scaled_Cluster2_repl4</v>
      </c>
      <c r="AF65" s="16" t="s">
        <v>530</v>
      </c>
      <c r="AG65" s="16" t="s">
        <v>531</v>
      </c>
    </row>
    <row r="66" spans="1:33" ht="13.8">
      <c r="A66" s="7" t="str">
        <f t="shared" ref="A66:A97" si="36" xml:space="preserve"> G66 &amp; "_" &amp; C66 &amp;"Cluster" &amp; J66 &amp; "_repl" &amp; L66</f>
        <v>MPI-M-MPI-ESM-LR_Scaled_Cluster2_repl5</v>
      </c>
      <c r="B66" s="8" t="s">
        <v>16</v>
      </c>
      <c r="C66" s="8" t="s">
        <v>54</v>
      </c>
      <c r="D66" s="9" t="s">
        <v>17</v>
      </c>
      <c r="E66" s="9" t="str">
        <f t="shared" ref="E66:E97" si="37">IF(D66="historical", "historical", IF(D66="RCP26", "rcp_2_6", IF(D66="RCP45", "rcp_4_5", "rcp_8_5")))</f>
        <v>historical</v>
      </c>
      <c r="F66" s="8">
        <v>350</v>
      </c>
      <c r="G66" s="8" t="s">
        <v>63</v>
      </c>
      <c r="H66" s="8">
        <v>2</v>
      </c>
      <c r="I66" s="19">
        <v>6.2493566238876597E-6</v>
      </c>
      <c r="J66" s="8">
        <v>2</v>
      </c>
      <c r="K66" s="8" t="s">
        <v>157</v>
      </c>
      <c r="L66" s="8">
        <v>5</v>
      </c>
      <c r="M66" s="8">
        <v>1</v>
      </c>
      <c r="N66" s="10" t="s">
        <v>21</v>
      </c>
      <c r="O66" s="17" t="s">
        <v>328</v>
      </c>
      <c r="P66" s="10" t="str">
        <f t="shared" ref="P66:P97" si="38">A66  &amp; ".sqlite"</f>
        <v>MPI-M-MPI-ESM-LR_Scaled_Cluster2_repl5.sqlite</v>
      </c>
      <c r="Q66" s="11">
        <f t="shared" ref="Q66:Q97" si="39">(L66-1)*3+H66</f>
        <v>14</v>
      </c>
      <c r="R66" s="16" t="str">
        <f t="shared" ref="R66:R97" si="40">"climate_db_" &amp; G66&amp; "_" &amp;  E66&amp; "_v4.sqlite"</f>
        <v>climate_db_MPI-M-MPI-ESM-LR_historical_v4.sqlite</v>
      </c>
      <c r="S66" s="16" t="str">
        <f t="shared" ref="S66:S97" si="41">"log/" &amp;A66  &amp; ".txt"</f>
        <v>log/MPI-M-MPI-ESM-LR_Scaled_Cluster2_repl5.txt</v>
      </c>
      <c r="T66" s="16" t="str">
        <f t="shared" ref="T66:T97" si="42">"init/env_file_CLUSTER" &amp; TEXT(J66, "00") &amp; "_REPL" &amp; L66 &amp; "_" &amp; G66 &amp; "_" &amp; E66 &amp; ".csv"</f>
        <v>init/env_file_CLUSTER02_REPL5_MPI-M-MPI-ESM-LR_historical.csv</v>
      </c>
      <c r="U66" s="16" t="str">
        <f t="shared" ref="U66:U97" si="43">"init/env_grid_CLUSTER" &amp; TEXT(J66, "00") &amp; "_REPL" &amp; L66 &amp; ".asc"</f>
        <v>init/env_grid_CLUSTER02_REPL5.asc</v>
      </c>
      <c r="V66" s="16" t="str">
        <f t="shared" ref="V66:V97" si="44">U66</f>
        <v>init/env_grid_CLUSTER02_REPL5.asc</v>
      </c>
      <c r="W66" s="16" t="str">
        <f t="shared" ref="W66:W97" si="45">"trees_CLUSTER" &amp; TEXT(J66, "00")  &amp; ".csv"</f>
        <v>trees_CLUSTER02.csv</v>
      </c>
      <c r="X66" s="16" t="str">
        <f t="shared" ref="X66:X97" si="46">"saplings_CLUSTER" &amp; TEXT(J66, "00")  &amp; ".csv"</f>
        <v>saplings_CLUSTER02.csv</v>
      </c>
      <c r="Y66" s="16">
        <f t="shared" ref="Y66:Y97" si="47">F66</f>
        <v>350</v>
      </c>
      <c r="Z66" s="16" t="str">
        <f t="shared" ref="Z66:Z97" si="48">"abe/no_mgmt.csv"</f>
        <v>abe/no_mgmt.csv</v>
      </c>
      <c r="AA66" s="16" t="str">
        <f t="shared" ref="AA66:AA97" si="49">"gis/WindModifier_cl" &amp; J66 &amp; ".asc"</f>
        <v>gis/WindModifier_cl2.asc</v>
      </c>
      <c r="AB66" s="16">
        <f t="shared" ref="AB66:AB97" si="50">IF(C66="Scaled_", I66+0.0000000001,  0.000685)</f>
        <v>6.24945662388766E-6</v>
      </c>
      <c r="AC66" s="16" t="str">
        <f t="shared" ref="AC66:AC97" si="51">G66 &amp; "_" &amp; E66 &amp; "_point" &amp; K66</f>
        <v>MPI-M-MPI-ESM-LR_historical_point38526</v>
      </c>
      <c r="AD66" s="16" t="str">
        <f t="shared" ref="AD66:AD97" si="52">"wind_Events/" &amp; C66 &amp; "cl" &amp; J66 &amp; "_repl" &amp; L66 &amp; ".txt"</f>
        <v>wind_Events/Scaled_cl2_repl5.txt</v>
      </c>
      <c r="AE66" s="16" t="str">
        <f t="shared" ref="AE66:AE97" si="53">A66</f>
        <v>MPI-M-MPI-ESM-LR_Scaled_Cluster2_repl5</v>
      </c>
      <c r="AF66" s="16" t="s">
        <v>532</v>
      </c>
      <c r="AG66" s="16" t="s">
        <v>533</v>
      </c>
    </row>
    <row r="67" spans="1:33" ht="13.8">
      <c r="A67" s="7" t="str">
        <f t="shared" si="36"/>
        <v>MPI-M-MPI-ESM-LR_Scaled_Cluster3_repl1</v>
      </c>
      <c r="B67" s="8" t="s">
        <v>16</v>
      </c>
      <c r="C67" s="8" t="s">
        <v>54</v>
      </c>
      <c r="D67" s="9" t="s">
        <v>17</v>
      </c>
      <c r="E67" s="9" t="str">
        <f t="shared" si="37"/>
        <v>historical</v>
      </c>
      <c r="F67" s="8">
        <v>350</v>
      </c>
      <c r="G67" s="8" t="s">
        <v>63</v>
      </c>
      <c r="H67" s="8">
        <v>2</v>
      </c>
      <c r="I67" s="19">
        <v>7.5959355299492701E-9</v>
      </c>
      <c r="J67" s="8">
        <v>3</v>
      </c>
      <c r="K67" s="8" t="s">
        <v>158</v>
      </c>
      <c r="L67" s="8">
        <v>1</v>
      </c>
      <c r="M67" s="8">
        <v>1</v>
      </c>
      <c r="N67" s="10" t="s">
        <v>21</v>
      </c>
      <c r="O67" s="17" t="s">
        <v>328</v>
      </c>
      <c r="P67" s="10" t="str">
        <f t="shared" si="38"/>
        <v>MPI-M-MPI-ESM-LR_Scaled_Cluster3_repl1.sqlite</v>
      </c>
      <c r="Q67" s="11">
        <f t="shared" si="39"/>
        <v>2</v>
      </c>
      <c r="R67" s="16" t="str">
        <f t="shared" si="40"/>
        <v>climate_db_MPI-M-MPI-ESM-LR_historical_v4.sqlite</v>
      </c>
      <c r="S67" s="16" t="str">
        <f t="shared" si="41"/>
        <v>log/MPI-M-MPI-ESM-LR_Scaled_Cluster3_repl1.txt</v>
      </c>
      <c r="T67" s="16" t="str">
        <f t="shared" si="42"/>
        <v>init/env_file_CLUSTER03_REPL1_MPI-M-MPI-ESM-LR_historical.csv</v>
      </c>
      <c r="U67" s="16" t="str">
        <f t="shared" si="43"/>
        <v>init/env_grid_CLUSTER03_REPL1.asc</v>
      </c>
      <c r="V67" s="16" t="str">
        <f t="shared" si="44"/>
        <v>init/env_grid_CLUSTER03_REPL1.asc</v>
      </c>
      <c r="W67" s="16" t="str">
        <f t="shared" si="45"/>
        <v>trees_CLUSTER03.csv</v>
      </c>
      <c r="X67" s="16" t="str">
        <f t="shared" si="46"/>
        <v>saplings_CLUSTER03.csv</v>
      </c>
      <c r="Y67" s="16">
        <f t="shared" si="47"/>
        <v>350</v>
      </c>
      <c r="Z67" s="16" t="str">
        <f t="shared" si="48"/>
        <v>abe/no_mgmt.csv</v>
      </c>
      <c r="AA67" s="16" t="str">
        <f t="shared" si="49"/>
        <v>gis/WindModifier_cl3.asc</v>
      </c>
      <c r="AB67" s="16">
        <f t="shared" si="50"/>
        <v>7.6959355299492694E-9</v>
      </c>
      <c r="AC67" s="16" t="str">
        <f t="shared" si="51"/>
        <v>MPI-M-MPI-ESM-LR_historical_point31016</v>
      </c>
      <c r="AD67" s="16" t="str">
        <f t="shared" si="52"/>
        <v>wind_Events/Scaled_cl3_repl1.txt</v>
      </c>
      <c r="AE67" s="16" t="str">
        <f t="shared" si="53"/>
        <v>MPI-M-MPI-ESM-LR_Scaled_Cluster3_repl1</v>
      </c>
      <c r="AF67" s="16" t="s">
        <v>355</v>
      </c>
      <c r="AG67" s="16" t="s">
        <v>356</v>
      </c>
    </row>
    <row r="68" spans="1:33" ht="13.8">
      <c r="A68" s="7" t="str">
        <f t="shared" si="36"/>
        <v>MPI-M-MPI-ESM-LR_Scaled_Cluster3_repl2</v>
      </c>
      <c r="B68" s="8" t="s">
        <v>16</v>
      </c>
      <c r="C68" s="8" t="s">
        <v>54</v>
      </c>
      <c r="D68" s="9" t="s">
        <v>17</v>
      </c>
      <c r="E68" s="9" t="str">
        <f t="shared" si="37"/>
        <v>historical</v>
      </c>
      <c r="F68" s="8">
        <v>350</v>
      </c>
      <c r="G68" s="8" t="s">
        <v>63</v>
      </c>
      <c r="H68" s="8">
        <v>2</v>
      </c>
      <c r="I68" s="19">
        <v>7.5959355299492701E-9</v>
      </c>
      <c r="J68" s="8">
        <v>3</v>
      </c>
      <c r="K68" s="8" t="s">
        <v>158</v>
      </c>
      <c r="L68" s="8">
        <v>2</v>
      </c>
      <c r="M68" s="8">
        <v>1</v>
      </c>
      <c r="N68" s="10" t="s">
        <v>21</v>
      </c>
      <c r="O68" s="17" t="s">
        <v>328</v>
      </c>
      <c r="P68" s="10" t="str">
        <f t="shared" si="38"/>
        <v>MPI-M-MPI-ESM-LR_Scaled_Cluster3_repl2.sqlite</v>
      </c>
      <c r="Q68" s="11">
        <f t="shared" si="39"/>
        <v>5</v>
      </c>
      <c r="R68" s="16" t="str">
        <f t="shared" si="40"/>
        <v>climate_db_MPI-M-MPI-ESM-LR_historical_v4.sqlite</v>
      </c>
      <c r="S68" s="16" t="str">
        <f t="shared" si="41"/>
        <v>log/MPI-M-MPI-ESM-LR_Scaled_Cluster3_repl2.txt</v>
      </c>
      <c r="T68" s="16" t="str">
        <f t="shared" si="42"/>
        <v>init/env_file_CLUSTER03_REPL2_MPI-M-MPI-ESM-LR_historical.csv</v>
      </c>
      <c r="U68" s="16" t="str">
        <f t="shared" si="43"/>
        <v>init/env_grid_CLUSTER03_REPL2.asc</v>
      </c>
      <c r="V68" s="16" t="str">
        <f t="shared" si="44"/>
        <v>init/env_grid_CLUSTER03_REPL2.asc</v>
      </c>
      <c r="W68" s="16" t="str">
        <f t="shared" si="45"/>
        <v>trees_CLUSTER03.csv</v>
      </c>
      <c r="X68" s="16" t="str">
        <f t="shared" si="46"/>
        <v>saplings_CLUSTER03.csv</v>
      </c>
      <c r="Y68" s="16">
        <f t="shared" si="47"/>
        <v>350</v>
      </c>
      <c r="Z68" s="16" t="str">
        <f t="shared" si="48"/>
        <v>abe/no_mgmt.csv</v>
      </c>
      <c r="AA68" s="16" t="str">
        <f t="shared" si="49"/>
        <v>gis/WindModifier_cl3.asc</v>
      </c>
      <c r="AB68" s="16">
        <f t="shared" si="50"/>
        <v>7.6959355299492694E-9</v>
      </c>
      <c r="AC68" s="16" t="str">
        <f t="shared" si="51"/>
        <v>MPI-M-MPI-ESM-LR_historical_point31016</v>
      </c>
      <c r="AD68" s="16" t="str">
        <f t="shared" si="52"/>
        <v>wind_Events/Scaled_cl3_repl2.txt</v>
      </c>
      <c r="AE68" s="16" t="str">
        <f t="shared" si="53"/>
        <v>MPI-M-MPI-ESM-LR_Scaled_Cluster3_repl2</v>
      </c>
      <c r="AF68" s="16" t="s">
        <v>534</v>
      </c>
      <c r="AG68" s="16" t="s">
        <v>535</v>
      </c>
    </row>
    <row r="69" spans="1:33" ht="13.8">
      <c r="A69" s="7" t="str">
        <f t="shared" si="36"/>
        <v>MPI-M-MPI-ESM-LR_Scaled_Cluster3_repl3</v>
      </c>
      <c r="B69" s="8" t="s">
        <v>16</v>
      </c>
      <c r="C69" s="8" t="s">
        <v>54</v>
      </c>
      <c r="D69" s="9" t="s">
        <v>17</v>
      </c>
      <c r="E69" s="9" t="str">
        <f t="shared" si="37"/>
        <v>historical</v>
      </c>
      <c r="F69" s="8">
        <v>350</v>
      </c>
      <c r="G69" s="8" t="s">
        <v>63</v>
      </c>
      <c r="H69" s="8">
        <v>2</v>
      </c>
      <c r="I69" s="19">
        <v>7.5959355299492701E-9</v>
      </c>
      <c r="J69" s="8">
        <v>3</v>
      </c>
      <c r="K69" s="8" t="s">
        <v>158</v>
      </c>
      <c r="L69" s="8">
        <v>3</v>
      </c>
      <c r="M69" s="8">
        <v>1</v>
      </c>
      <c r="N69" s="10" t="s">
        <v>21</v>
      </c>
      <c r="O69" s="17" t="s">
        <v>328</v>
      </c>
      <c r="P69" s="10" t="str">
        <f t="shared" si="38"/>
        <v>MPI-M-MPI-ESM-LR_Scaled_Cluster3_repl3.sqlite</v>
      </c>
      <c r="Q69" s="11">
        <f t="shared" si="39"/>
        <v>8</v>
      </c>
      <c r="R69" s="16" t="str">
        <f t="shared" si="40"/>
        <v>climate_db_MPI-M-MPI-ESM-LR_historical_v4.sqlite</v>
      </c>
      <c r="S69" s="16" t="str">
        <f t="shared" si="41"/>
        <v>log/MPI-M-MPI-ESM-LR_Scaled_Cluster3_repl3.txt</v>
      </c>
      <c r="T69" s="16" t="str">
        <f t="shared" si="42"/>
        <v>init/env_file_CLUSTER03_REPL3_MPI-M-MPI-ESM-LR_historical.csv</v>
      </c>
      <c r="U69" s="16" t="str">
        <f t="shared" si="43"/>
        <v>init/env_grid_CLUSTER03_REPL3.asc</v>
      </c>
      <c r="V69" s="16" t="str">
        <f t="shared" si="44"/>
        <v>init/env_grid_CLUSTER03_REPL3.asc</v>
      </c>
      <c r="W69" s="16" t="str">
        <f t="shared" si="45"/>
        <v>trees_CLUSTER03.csv</v>
      </c>
      <c r="X69" s="16" t="str">
        <f t="shared" si="46"/>
        <v>saplings_CLUSTER03.csv</v>
      </c>
      <c r="Y69" s="16">
        <f t="shared" si="47"/>
        <v>350</v>
      </c>
      <c r="Z69" s="16" t="str">
        <f t="shared" si="48"/>
        <v>abe/no_mgmt.csv</v>
      </c>
      <c r="AA69" s="16" t="str">
        <f t="shared" si="49"/>
        <v>gis/WindModifier_cl3.asc</v>
      </c>
      <c r="AB69" s="16">
        <f t="shared" si="50"/>
        <v>7.6959355299492694E-9</v>
      </c>
      <c r="AC69" s="16" t="str">
        <f t="shared" si="51"/>
        <v>MPI-M-MPI-ESM-LR_historical_point31016</v>
      </c>
      <c r="AD69" s="16" t="str">
        <f t="shared" si="52"/>
        <v>wind_Events/Scaled_cl3_repl3.txt</v>
      </c>
      <c r="AE69" s="16" t="str">
        <f t="shared" si="53"/>
        <v>MPI-M-MPI-ESM-LR_Scaled_Cluster3_repl3</v>
      </c>
      <c r="AF69" s="16" t="s">
        <v>536</v>
      </c>
      <c r="AG69" s="16" t="s">
        <v>537</v>
      </c>
    </row>
    <row r="70" spans="1:33" ht="13.8">
      <c r="A70" s="7" t="str">
        <f t="shared" si="36"/>
        <v>MPI-M-MPI-ESM-LR_Scaled_Cluster3_repl4</v>
      </c>
      <c r="B70" s="8" t="s">
        <v>16</v>
      </c>
      <c r="C70" s="8" t="s">
        <v>54</v>
      </c>
      <c r="D70" s="9" t="s">
        <v>17</v>
      </c>
      <c r="E70" s="9" t="str">
        <f t="shared" si="37"/>
        <v>historical</v>
      </c>
      <c r="F70" s="8">
        <v>350</v>
      </c>
      <c r="G70" s="8" t="s">
        <v>63</v>
      </c>
      <c r="H70" s="8">
        <v>2</v>
      </c>
      <c r="I70" s="19">
        <v>7.5959355299492701E-9</v>
      </c>
      <c r="J70" s="8">
        <v>3</v>
      </c>
      <c r="K70" s="8" t="s">
        <v>158</v>
      </c>
      <c r="L70" s="8">
        <v>4</v>
      </c>
      <c r="M70" s="8">
        <v>1</v>
      </c>
      <c r="N70" s="10" t="s">
        <v>21</v>
      </c>
      <c r="O70" s="17" t="s">
        <v>328</v>
      </c>
      <c r="P70" s="10" t="str">
        <f t="shared" si="38"/>
        <v>MPI-M-MPI-ESM-LR_Scaled_Cluster3_repl4.sqlite</v>
      </c>
      <c r="Q70" s="11">
        <f t="shared" si="39"/>
        <v>11</v>
      </c>
      <c r="R70" s="16" t="str">
        <f t="shared" si="40"/>
        <v>climate_db_MPI-M-MPI-ESM-LR_historical_v4.sqlite</v>
      </c>
      <c r="S70" s="16" t="str">
        <f t="shared" si="41"/>
        <v>log/MPI-M-MPI-ESM-LR_Scaled_Cluster3_repl4.txt</v>
      </c>
      <c r="T70" s="16" t="str">
        <f t="shared" si="42"/>
        <v>init/env_file_CLUSTER03_REPL4_MPI-M-MPI-ESM-LR_historical.csv</v>
      </c>
      <c r="U70" s="16" t="str">
        <f t="shared" si="43"/>
        <v>init/env_grid_CLUSTER03_REPL4.asc</v>
      </c>
      <c r="V70" s="16" t="str">
        <f t="shared" si="44"/>
        <v>init/env_grid_CLUSTER03_REPL4.asc</v>
      </c>
      <c r="W70" s="16" t="str">
        <f t="shared" si="45"/>
        <v>trees_CLUSTER03.csv</v>
      </c>
      <c r="X70" s="16" t="str">
        <f t="shared" si="46"/>
        <v>saplings_CLUSTER03.csv</v>
      </c>
      <c r="Y70" s="16">
        <f t="shared" si="47"/>
        <v>350</v>
      </c>
      <c r="Z70" s="16" t="str">
        <f t="shared" si="48"/>
        <v>abe/no_mgmt.csv</v>
      </c>
      <c r="AA70" s="16" t="str">
        <f t="shared" si="49"/>
        <v>gis/WindModifier_cl3.asc</v>
      </c>
      <c r="AB70" s="16">
        <f t="shared" si="50"/>
        <v>7.6959355299492694E-9</v>
      </c>
      <c r="AC70" s="16" t="str">
        <f t="shared" si="51"/>
        <v>MPI-M-MPI-ESM-LR_historical_point31016</v>
      </c>
      <c r="AD70" s="16" t="str">
        <f t="shared" si="52"/>
        <v>wind_Events/Scaled_cl3_repl4.txt</v>
      </c>
      <c r="AE70" s="16" t="str">
        <f t="shared" si="53"/>
        <v>MPI-M-MPI-ESM-LR_Scaled_Cluster3_repl4</v>
      </c>
      <c r="AF70" s="16" t="s">
        <v>538</v>
      </c>
      <c r="AG70" s="16" t="s">
        <v>539</v>
      </c>
    </row>
    <row r="71" spans="1:33" ht="13.8">
      <c r="A71" s="7" t="str">
        <f t="shared" si="36"/>
        <v>MPI-M-MPI-ESM-LR_Scaled_Cluster3_repl5</v>
      </c>
      <c r="B71" s="8" t="s">
        <v>16</v>
      </c>
      <c r="C71" s="8" t="s">
        <v>54</v>
      </c>
      <c r="D71" s="9" t="s">
        <v>17</v>
      </c>
      <c r="E71" s="9" t="str">
        <f t="shared" si="37"/>
        <v>historical</v>
      </c>
      <c r="F71" s="8">
        <v>350</v>
      </c>
      <c r="G71" s="8" t="s">
        <v>63</v>
      </c>
      <c r="H71" s="8">
        <v>2</v>
      </c>
      <c r="I71" s="19">
        <v>7.5959355299492701E-9</v>
      </c>
      <c r="J71" s="8">
        <v>3</v>
      </c>
      <c r="K71" s="8" t="s">
        <v>158</v>
      </c>
      <c r="L71" s="8">
        <v>5</v>
      </c>
      <c r="M71" s="8">
        <v>1</v>
      </c>
      <c r="N71" s="10" t="s">
        <v>21</v>
      </c>
      <c r="O71" s="17" t="s">
        <v>328</v>
      </c>
      <c r="P71" s="10" t="str">
        <f t="shared" si="38"/>
        <v>MPI-M-MPI-ESM-LR_Scaled_Cluster3_repl5.sqlite</v>
      </c>
      <c r="Q71" s="11">
        <f t="shared" si="39"/>
        <v>14</v>
      </c>
      <c r="R71" s="16" t="str">
        <f t="shared" si="40"/>
        <v>climate_db_MPI-M-MPI-ESM-LR_historical_v4.sqlite</v>
      </c>
      <c r="S71" s="16" t="str">
        <f t="shared" si="41"/>
        <v>log/MPI-M-MPI-ESM-LR_Scaled_Cluster3_repl5.txt</v>
      </c>
      <c r="T71" s="16" t="str">
        <f t="shared" si="42"/>
        <v>init/env_file_CLUSTER03_REPL5_MPI-M-MPI-ESM-LR_historical.csv</v>
      </c>
      <c r="U71" s="16" t="str">
        <f t="shared" si="43"/>
        <v>init/env_grid_CLUSTER03_REPL5.asc</v>
      </c>
      <c r="V71" s="16" t="str">
        <f t="shared" si="44"/>
        <v>init/env_grid_CLUSTER03_REPL5.asc</v>
      </c>
      <c r="W71" s="16" t="str">
        <f t="shared" si="45"/>
        <v>trees_CLUSTER03.csv</v>
      </c>
      <c r="X71" s="16" t="str">
        <f t="shared" si="46"/>
        <v>saplings_CLUSTER03.csv</v>
      </c>
      <c r="Y71" s="16">
        <f t="shared" si="47"/>
        <v>350</v>
      </c>
      <c r="Z71" s="16" t="str">
        <f t="shared" si="48"/>
        <v>abe/no_mgmt.csv</v>
      </c>
      <c r="AA71" s="16" t="str">
        <f t="shared" si="49"/>
        <v>gis/WindModifier_cl3.asc</v>
      </c>
      <c r="AB71" s="16">
        <f t="shared" si="50"/>
        <v>7.6959355299492694E-9</v>
      </c>
      <c r="AC71" s="16" t="str">
        <f t="shared" si="51"/>
        <v>MPI-M-MPI-ESM-LR_historical_point31016</v>
      </c>
      <c r="AD71" s="16" t="str">
        <f t="shared" si="52"/>
        <v>wind_Events/Scaled_cl3_repl5.txt</v>
      </c>
      <c r="AE71" s="16" t="str">
        <f t="shared" si="53"/>
        <v>MPI-M-MPI-ESM-LR_Scaled_Cluster3_repl5</v>
      </c>
      <c r="AF71" s="16" t="s">
        <v>540</v>
      </c>
      <c r="AG71" s="16" t="s">
        <v>541</v>
      </c>
    </row>
    <row r="72" spans="1:33" ht="13.8">
      <c r="A72" s="7" t="str">
        <f t="shared" si="36"/>
        <v>MPI-M-MPI-ESM-LR_Scaled_Cluster4_repl1</v>
      </c>
      <c r="B72" s="8" t="s">
        <v>16</v>
      </c>
      <c r="C72" s="8" t="s">
        <v>54</v>
      </c>
      <c r="D72" s="9" t="s">
        <v>17</v>
      </c>
      <c r="E72" s="9" t="str">
        <f t="shared" si="37"/>
        <v>historical</v>
      </c>
      <c r="F72" s="8">
        <v>350</v>
      </c>
      <c r="G72" s="8" t="s">
        <v>63</v>
      </c>
      <c r="H72" s="8">
        <v>2</v>
      </c>
      <c r="I72" s="19">
        <v>5.0254403465713305E-7</v>
      </c>
      <c r="J72" s="8">
        <v>4</v>
      </c>
      <c r="K72" s="8" t="s">
        <v>159</v>
      </c>
      <c r="L72" s="8">
        <v>1</v>
      </c>
      <c r="M72" s="8">
        <v>1</v>
      </c>
      <c r="N72" s="10" t="s">
        <v>21</v>
      </c>
      <c r="O72" s="17" t="s">
        <v>328</v>
      </c>
      <c r="P72" s="10" t="str">
        <f t="shared" si="38"/>
        <v>MPI-M-MPI-ESM-LR_Scaled_Cluster4_repl1.sqlite</v>
      </c>
      <c r="Q72" s="11">
        <f t="shared" si="39"/>
        <v>2</v>
      </c>
      <c r="R72" s="16" t="str">
        <f t="shared" si="40"/>
        <v>climate_db_MPI-M-MPI-ESM-LR_historical_v4.sqlite</v>
      </c>
      <c r="S72" s="16" t="str">
        <f t="shared" si="41"/>
        <v>log/MPI-M-MPI-ESM-LR_Scaled_Cluster4_repl1.txt</v>
      </c>
      <c r="T72" s="16" t="str">
        <f t="shared" si="42"/>
        <v>init/env_file_CLUSTER04_REPL1_MPI-M-MPI-ESM-LR_historical.csv</v>
      </c>
      <c r="U72" s="16" t="str">
        <f t="shared" si="43"/>
        <v>init/env_grid_CLUSTER04_REPL1.asc</v>
      </c>
      <c r="V72" s="16" t="str">
        <f t="shared" si="44"/>
        <v>init/env_grid_CLUSTER04_REPL1.asc</v>
      </c>
      <c r="W72" s="16" t="str">
        <f t="shared" si="45"/>
        <v>trees_CLUSTER04.csv</v>
      </c>
      <c r="X72" s="16" t="str">
        <f t="shared" si="46"/>
        <v>saplings_CLUSTER04.csv</v>
      </c>
      <c r="Y72" s="16">
        <f t="shared" si="47"/>
        <v>350</v>
      </c>
      <c r="Z72" s="16" t="str">
        <f t="shared" si="48"/>
        <v>abe/no_mgmt.csv</v>
      </c>
      <c r="AA72" s="16" t="str">
        <f t="shared" si="49"/>
        <v>gis/WindModifier_cl4.asc</v>
      </c>
      <c r="AB72" s="16">
        <f t="shared" si="50"/>
        <v>5.0264403465713306E-7</v>
      </c>
      <c r="AC72" s="16" t="str">
        <f t="shared" si="51"/>
        <v>MPI-M-MPI-ESM-LR_historical_point26511</v>
      </c>
      <c r="AD72" s="16" t="str">
        <f t="shared" si="52"/>
        <v>wind_Events/Scaled_cl4_repl1.txt</v>
      </c>
      <c r="AE72" s="16" t="str">
        <f t="shared" si="53"/>
        <v>MPI-M-MPI-ESM-LR_Scaled_Cluster4_repl1</v>
      </c>
      <c r="AF72" s="16" t="s">
        <v>357</v>
      </c>
      <c r="AG72" s="16" t="s">
        <v>358</v>
      </c>
    </row>
    <row r="73" spans="1:33" ht="13.8">
      <c r="A73" s="7" t="str">
        <f t="shared" si="36"/>
        <v>MPI-M-MPI-ESM-LR_Scaled_Cluster4_repl2</v>
      </c>
      <c r="B73" s="8" t="s">
        <v>16</v>
      </c>
      <c r="C73" s="8" t="s">
        <v>54</v>
      </c>
      <c r="D73" s="9" t="s">
        <v>17</v>
      </c>
      <c r="E73" s="9" t="str">
        <f t="shared" si="37"/>
        <v>historical</v>
      </c>
      <c r="F73" s="8">
        <v>350</v>
      </c>
      <c r="G73" s="8" t="s">
        <v>63</v>
      </c>
      <c r="H73" s="8">
        <v>2</v>
      </c>
      <c r="I73" s="19">
        <v>5.0254403465713305E-7</v>
      </c>
      <c r="J73" s="8">
        <v>4</v>
      </c>
      <c r="K73" s="8" t="s">
        <v>159</v>
      </c>
      <c r="L73" s="8">
        <v>2</v>
      </c>
      <c r="M73" s="8">
        <v>1</v>
      </c>
      <c r="N73" s="10" t="s">
        <v>21</v>
      </c>
      <c r="O73" s="17" t="s">
        <v>328</v>
      </c>
      <c r="P73" s="10" t="str">
        <f t="shared" si="38"/>
        <v>MPI-M-MPI-ESM-LR_Scaled_Cluster4_repl2.sqlite</v>
      </c>
      <c r="Q73" s="11">
        <f t="shared" si="39"/>
        <v>5</v>
      </c>
      <c r="R73" s="16" t="str">
        <f t="shared" si="40"/>
        <v>climate_db_MPI-M-MPI-ESM-LR_historical_v4.sqlite</v>
      </c>
      <c r="S73" s="16" t="str">
        <f t="shared" si="41"/>
        <v>log/MPI-M-MPI-ESM-LR_Scaled_Cluster4_repl2.txt</v>
      </c>
      <c r="T73" s="16" t="str">
        <f t="shared" si="42"/>
        <v>init/env_file_CLUSTER04_REPL2_MPI-M-MPI-ESM-LR_historical.csv</v>
      </c>
      <c r="U73" s="16" t="str">
        <f t="shared" si="43"/>
        <v>init/env_grid_CLUSTER04_REPL2.asc</v>
      </c>
      <c r="V73" s="16" t="str">
        <f t="shared" si="44"/>
        <v>init/env_grid_CLUSTER04_REPL2.asc</v>
      </c>
      <c r="W73" s="16" t="str">
        <f t="shared" si="45"/>
        <v>trees_CLUSTER04.csv</v>
      </c>
      <c r="X73" s="16" t="str">
        <f t="shared" si="46"/>
        <v>saplings_CLUSTER04.csv</v>
      </c>
      <c r="Y73" s="16">
        <f t="shared" si="47"/>
        <v>350</v>
      </c>
      <c r="Z73" s="16" t="str">
        <f t="shared" si="48"/>
        <v>abe/no_mgmt.csv</v>
      </c>
      <c r="AA73" s="16" t="str">
        <f t="shared" si="49"/>
        <v>gis/WindModifier_cl4.asc</v>
      </c>
      <c r="AB73" s="16">
        <f t="shared" si="50"/>
        <v>5.0264403465713306E-7</v>
      </c>
      <c r="AC73" s="16" t="str">
        <f t="shared" si="51"/>
        <v>MPI-M-MPI-ESM-LR_historical_point26511</v>
      </c>
      <c r="AD73" s="16" t="str">
        <f t="shared" si="52"/>
        <v>wind_Events/Scaled_cl4_repl2.txt</v>
      </c>
      <c r="AE73" s="16" t="str">
        <f t="shared" si="53"/>
        <v>MPI-M-MPI-ESM-LR_Scaled_Cluster4_repl2</v>
      </c>
      <c r="AF73" s="16" t="s">
        <v>542</v>
      </c>
      <c r="AG73" s="16" t="s">
        <v>543</v>
      </c>
    </row>
    <row r="74" spans="1:33" ht="13.8">
      <c r="A74" s="7" t="str">
        <f t="shared" si="36"/>
        <v>MPI-M-MPI-ESM-LR_Scaled_Cluster4_repl3</v>
      </c>
      <c r="B74" s="8" t="s">
        <v>16</v>
      </c>
      <c r="C74" s="8" t="s">
        <v>54</v>
      </c>
      <c r="D74" s="9" t="s">
        <v>17</v>
      </c>
      <c r="E74" s="9" t="str">
        <f t="shared" si="37"/>
        <v>historical</v>
      </c>
      <c r="F74" s="8">
        <v>350</v>
      </c>
      <c r="G74" s="8" t="s">
        <v>63</v>
      </c>
      <c r="H74" s="8">
        <v>2</v>
      </c>
      <c r="I74" s="19">
        <v>5.0254403465713305E-7</v>
      </c>
      <c r="J74" s="8">
        <v>4</v>
      </c>
      <c r="K74" s="8" t="s">
        <v>159</v>
      </c>
      <c r="L74" s="8">
        <v>3</v>
      </c>
      <c r="M74" s="8">
        <v>1</v>
      </c>
      <c r="N74" s="10" t="s">
        <v>21</v>
      </c>
      <c r="O74" s="17" t="s">
        <v>328</v>
      </c>
      <c r="P74" s="10" t="str">
        <f t="shared" si="38"/>
        <v>MPI-M-MPI-ESM-LR_Scaled_Cluster4_repl3.sqlite</v>
      </c>
      <c r="Q74" s="11">
        <f t="shared" si="39"/>
        <v>8</v>
      </c>
      <c r="R74" s="16" t="str">
        <f t="shared" si="40"/>
        <v>climate_db_MPI-M-MPI-ESM-LR_historical_v4.sqlite</v>
      </c>
      <c r="S74" s="16" t="str">
        <f t="shared" si="41"/>
        <v>log/MPI-M-MPI-ESM-LR_Scaled_Cluster4_repl3.txt</v>
      </c>
      <c r="T74" s="16" t="str">
        <f t="shared" si="42"/>
        <v>init/env_file_CLUSTER04_REPL3_MPI-M-MPI-ESM-LR_historical.csv</v>
      </c>
      <c r="U74" s="16" t="str">
        <f t="shared" si="43"/>
        <v>init/env_grid_CLUSTER04_REPL3.asc</v>
      </c>
      <c r="V74" s="16" t="str">
        <f t="shared" si="44"/>
        <v>init/env_grid_CLUSTER04_REPL3.asc</v>
      </c>
      <c r="W74" s="16" t="str">
        <f t="shared" si="45"/>
        <v>trees_CLUSTER04.csv</v>
      </c>
      <c r="X74" s="16" t="str">
        <f t="shared" si="46"/>
        <v>saplings_CLUSTER04.csv</v>
      </c>
      <c r="Y74" s="16">
        <f t="shared" si="47"/>
        <v>350</v>
      </c>
      <c r="Z74" s="16" t="str">
        <f t="shared" si="48"/>
        <v>abe/no_mgmt.csv</v>
      </c>
      <c r="AA74" s="16" t="str">
        <f t="shared" si="49"/>
        <v>gis/WindModifier_cl4.asc</v>
      </c>
      <c r="AB74" s="16">
        <f t="shared" si="50"/>
        <v>5.0264403465713306E-7</v>
      </c>
      <c r="AC74" s="16" t="str">
        <f t="shared" si="51"/>
        <v>MPI-M-MPI-ESM-LR_historical_point26511</v>
      </c>
      <c r="AD74" s="16" t="str">
        <f t="shared" si="52"/>
        <v>wind_Events/Scaled_cl4_repl3.txt</v>
      </c>
      <c r="AE74" s="16" t="str">
        <f t="shared" si="53"/>
        <v>MPI-M-MPI-ESM-LR_Scaled_Cluster4_repl3</v>
      </c>
      <c r="AF74" s="16" t="s">
        <v>544</v>
      </c>
      <c r="AG74" s="16" t="s">
        <v>545</v>
      </c>
    </row>
    <row r="75" spans="1:33" ht="13.8">
      <c r="A75" s="7" t="str">
        <f t="shared" si="36"/>
        <v>MPI-M-MPI-ESM-LR_Scaled_Cluster4_repl4</v>
      </c>
      <c r="B75" s="8" t="s">
        <v>16</v>
      </c>
      <c r="C75" s="8" t="s">
        <v>54</v>
      </c>
      <c r="D75" s="9" t="s">
        <v>17</v>
      </c>
      <c r="E75" s="9" t="str">
        <f t="shared" si="37"/>
        <v>historical</v>
      </c>
      <c r="F75" s="8">
        <v>350</v>
      </c>
      <c r="G75" s="8" t="s">
        <v>63</v>
      </c>
      <c r="H75" s="8">
        <v>2</v>
      </c>
      <c r="I75" s="19">
        <v>5.0254403465713305E-7</v>
      </c>
      <c r="J75" s="8">
        <v>4</v>
      </c>
      <c r="K75" s="8" t="s">
        <v>159</v>
      </c>
      <c r="L75" s="8">
        <v>4</v>
      </c>
      <c r="M75" s="8">
        <v>1</v>
      </c>
      <c r="N75" s="10" t="s">
        <v>21</v>
      </c>
      <c r="O75" s="17" t="s">
        <v>328</v>
      </c>
      <c r="P75" s="10" t="str">
        <f t="shared" si="38"/>
        <v>MPI-M-MPI-ESM-LR_Scaled_Cluster4_repl4.sqlite</v>
      </c>
      <c r="Q75" s="11">
        <f t="shared" si="39"/>
        <v>11</v>
      </c>
      <c r="R75" s="16" t="str">
        <f t="shared" si="40"/>
        <v>climate_db_MPI-M-MPI-ESM-LR_historical_v4.sqlite</v>
      </c>
      <c r="S75" s="16" t="str">
        <f t="shared" si="41"/>
        <v>log/MPI-M-MPI-ESM-LR_Scaled_Cluster4_repl4.txt</v>
      </c>
      <c r="T75" s="16" t="str">
        <f t="shared" si="42"/>
        <v>init/env_file_CLUSTER04_REPL4_MPI-M-MPI-ESM-LR_historical.csv</v>
      </c>
      <c r="U75" s="16" t="str">
        <f t="shared" si="43"/>
        <v>init/env_grid_CLUSTER04_REPL4.asc</v>
      </c>
      <c r="V75" s="16" t="str">
        <f t="shared" si="44"/>
        <v>init/env_grid_CLUSTER04_REPL4.asc</v>
      </c>
      <c r="W75" s="16" t="str">
        <f t="shared" si="45"/>
        <v>trees_CLUSTER04.csv</v>
      </c>
      <c r="X75" s="16" t="str">
        <f t="shared" si="46"/>
        <v>saplings_CLUSTER04.csv</v>
      </c>
      <c r="Y75" s="16">
        <f t="shared" si="47"/>
        <v>350</v>
      </c>
      <c r="Z75" s="16" t="str">
        <f t="shared" si="48"/>
        <v>abe/no_mgmt.csv</v>
      </c>
      <c r="AA75" s="16" t="str">
        <f t="shared" si="49"/>
        <v>gis/WindModifier_cl4.asc</v>
      </c>
      <c r="AB75" s="16">
        <f t="shared" si="50"/>
        <v>5.0264403465713306E-7</v>
      </c>
      <c r="AC75" s="16" t="str">
        <f t="shared" si="51"/>
        <v>MPI-M-MPI-ESM-LR_historical_point26511</v>
      </c>
      <c r="AD75" s="16" t="str">
        <f t="shared" si="52"/>
        <v>wind_Events/Scaled_cl4_repl4.txt</v>
      </c>
      <c r="AE75" s="16" t="str">
        <f t="shared" si="53"/>
        <v>MPI-M-MPI-ESM-LR_Scaled_Cluster4_repl4</v>
      </c>
      <c r="AF75" s="16" t="s">
        <v>546</v>
      </c>
      <c r="AG75" s="16" t="s">
        <v>547</v>
      </c>
    </row>
    <row r="76" spans="1:33" ht="13.8">
      <c r="A76" s="7" t="str">
        <f t="shared" si="36"/>
        <v>MPI-M-MPI-ESM-LR_Scaled_Cluster4_repl5</v>
      </c>
      <c r="B76" s="8" t="s">
        <v>16</v>
      </c>
      <c r="C76" s="8" t="s">
        <v>54</v>
      </c>
      <c r="D76" s="9" t="s">
        <v>17</v>
      </c>
      <c r="E76" s="9" t="str">
        <f t="shared" si="37"/>
        <v>historical</v>
      </c>
      <c r="F76" s="8">
        <v>350</v>
      </c>
      <c r="G76" s="8" t="s">
        <v>63</v>
      </c>
      <c r="H76" s="8">
        <v>2</v>
      </c>
      <c r="I76" s="19">
        <v>5.0254403465713305E-7</v>
      </c>
      <c r="J76" s="8">
        <v>4</v>
      </c>
      <c r="K76" s="8" t="s">
        <v>159</v>
      </c>
      <c r="L76" s="8">
        <v>5</v>
      </c>
      <c r="M76" s="8">
        <v>1</v>
      </c>
      <c r="N76" s="10" t="s">
        <v>21</v>
      </c>
      <c r="O76" s="17" t="s">
        <v>328</v>
      </c>
      <c r="P76" s="10" t="str">
        <f t="shared" si="38"/>
        <v>MPI-M-MPI-ESM-LR_Scaled_Cluster4_repl5.sqlite</v>
      </c>
      <c r="Q76" s="11">
        <f t="shared" si="39"/>
        <v>14</v>
      </c>
      <c r="R76" s="16" t="str">
        <f t="shared" si="40"/>
        <v>climate_db_MPI-M-MPI-ESM-LR_historical_v4.sqlite</v>
      </c>
      <c r="S76" s="16" t="str">
        <f t="shared" si="41"/>
        <v>log/MPI-M-MPI-ESM-LR_Scaled_Cluster4_repl5.txt</v>
      </c>
      <c r="T76" s="16" t="str">
        <f t="shared" si="42"/>
        <v>init/env_file_CLUSTER04_REPL5_MPI-M-MPI-ESM-LR_historical.csv</v>
      </c>
      <c r="U76" s="16" t="str">
        <f t="shared" si="43"/>
        <v>init/env_grid_CLUSTER04_REPL5.asc</v>
      </c>
      <c r="V76" s="16" t="str">
        <f t="shared" si="44"/>
        <v>init/env_grid_CLUSTER04_REPL5.asc</v>
      </c>
      <c r="W76" s="16" t="str">
        <f t="shared" si="45"/>
        <v>trees_CLUSTER04.csv</v>
      </c>
      <c r="X76" s="16" t="str">
        <f t="shared" si="46"/>
        <v>saplings_CLUSTER04.csv</v>
      </c>
      <c r="Y76" s="16">
        <f t="shared" si="47"/>
        <v>350</v>
      </c>
      <c r="Z76" s="16" t="str">
        <f t="shared" si="48"/>
        <v>abe/no_mgmt.csv</v>
      </c>
      <c r="AA76" s="16" t="str">
        <f t="shared" si="49"/>
        <v>gis/WindModifier_cl4.asc</v>
      </c>
      <c r="AB76" s="16">
        <f t="shared" si="50"/>
        <v>5.0264403465713306E-7</v>
      </c>
      <c r="AC76" s="16" t="str">
        <f t="shared" si="51"/>
        <v>MPI-M-MPI-ESM-LR_historical_point26511</v>
      </c>
      <c r="AD76" s="16" t="str">
        <f t="shared" si="52"/>
        <v>wind_Events/Scaled_cl4_repl5.txt</v>
      </c>
      <c r="AE76" s="16" t="str">
        <f t="shared" si="53"/>
        <v>MPI-M-MPI-ESM-LR_Scaled_Cluster4_repl5</v>
      </c>
      <c r="AF76" s="16" t="s">
        <v>548</v>
      </c>
      <c r="AG76" s="16" t="s">
        <v>549</v>
      </c>
    </row>
    <row r="77" spans="1:33" ht="13.8">
      <c r="A77" s="7" t="str">
        <f t="shared" si="36"/>
        <v>MPI-M-MPI-ESM-LR_Scaled_Cluster5_repl1</v>
      </c>
      <c r="B77" s="8" t="s">
        <v>16</v>
      </c>
      <c r="C77" s="8" t="s">
        <v>54</v>
      </c>
      <c r="D77" s="9" t="s">
        <v>17</v>
      </c>
      <c r="E77" s="9" t="str">
        <f t="shared" si="37"/>
        <v>historical</v>
      </c>
      <c r="F77" s="8">
        <v>350</v>
      </c>
      <c r="G77" s="8" t="s">
        <v>63</v>
      </c>
      <c r="H77" s="8">
        <v>2</v>
      </c>
      <c r="I77" s="19">
        <v>9.9999999999999995E-8</v>
      </c>
      <c r="J77" s="8">
        <v>5</v>
      </c>
      <c r="K77" s="8" t="s">
        <v>169</v>
      </c>
      <c r="L77" s="8">
        <v>1</v>
      </c>
      <c r="M77" s="8">
        <v>1</v>
      </c>
      <c r="N77" s="10" t="s">
        <v>21</v>
      </c>
      <c r="O77" s="17" t="s">
        <v>328</v>
      </c>
      <c r="P77" s="10" t="str">
        <f t="shared" si="38"/>
        <v>MPI-M-MPI-ESM-LR_Scaled_Cluster5_repl1.sqlite</v>
      </c>
      <c r="Q77" s="11">
        <f t="shared" si="39"/>
        <v>2</v>
      </c>
      <c r="R77" s="16" t="str">
        <f t="shared" si="40"/>
        <v>climate_db_MPI-M-MPI-ESM-LR_historical_v4.sqlite</v>
      </c>
      <c r="S77" s="16" t="str">
        <f t="shared" si="41"/>
        <v>log/MPI-M-MPI-ESM-LR_Scaled_Cluster5_repl1.txt</v>
      </c>
      <c r="T77" s="16" t="str">
        <f t="shared" si="42"/>
        <v>init/env_file_CLUSTER05_REPL1_MPI-M-MPI-ESM-LR_historical.csv</v>
      </c>
      <c r="U77" s="16" t="str">
        <f t="shared" si="43"/>
        <v>init/env_grid_CLUSTER05_REPL1.asc</v>
      </c>
      <c r="V77" s="16" t="str">
        <f t="shared" si="44"/>
        <v>init/env_grid_CLUSTER05_REPL1.asc</v>
      </c>
      <c r="W77" s="16" t="str">
        <f t="shared" si="45"/>
        <v>trees_CLUSTER05.csv</v>
      </c>
      <c r="X77" s="16" t="str">
        <f t="shared" si="46"/>
        <v>saplings_CLUSTER05.csv</v>
      </c>
      <c r="Y77" s="16">
        <f t="shared" si="47"/>
        <v>350</v>
      </c>
      <c r="Z77" s="16" t="str">
        <f t="shared" si="48"/>
        <v>abe/no_mgmt.csv</v>
      </c>
      <c r="AA77" s="16" t="str">
        <f t="shared" si="49"/>
        <v>gis/WindModifier_cl5.asc</v>
      </c>
      <c r="AB77" s="16">
        <f t="shared" si="50"/>
        <v>1.0009999999999999E-7</v>
      </c>
      <c r="AC77" s="16" t="str">
        <f t="shared" si="51"/>
        <v>MPI-M-MPI-ESM-LR_historical_point31054</v>
      </c>
      <c r="AD77" s="16" t="str">
        <f t="shared" si="52"/>
        <v>wind_Events/Scaled_cl5_repl1.txt</v>
      </c>
      <c r="AE77" s="16" t="str">
        <f t="shared" si="53"/>
        <v>MPI-M-MPI-ESM-LR_Scaled_Cluster5_repl1</v>
      </c>
      <c r="AF77" s="16" t="s">
        <v>363</v>
      </c>
      <c r="AG77" s="16" t="s">
        <v>75</v>
      </c>
    </row>
    <row r="78" spans="1:33" ht="13.8">
      <c r="A78" s="7" t="str">
        <f t="shared" si="36"/>
        <v>MPI-M-MPI-ESM-LR_Scaled_Cluster5_repl2</v>
      </c>
      <c r="B78" s="8" t="s">
        <v>16</v>
      </c>
      <c r="C78" s="8" t="s">
        <v>54</v>
      </c>
      <c r="D78" s="9" t="s">
        <v>17</v>
      </c>
      <c r="E78" s="9" t="str">
        <f t="shared" si="37"/>
        <v>historical</v>
      </c>
      <c r="F78" s="8">
        <v>350</v>
      </c>
      <c r="G78" s="8" t="s">
        <v>63</v>
      </c>
      <c r="H78" s="8">
        <v>2</v>
      </c>
      <c r="I78" s="19">
        <v>9.9999999999999995E-8</v>
      </c>
      <c r="J78" s="8">
        <v>5</v>
      </c>
      <c r="K78" s="8" t="s">
        <v>169</v>
      </c>
      <c r="L78" s="8">
        <v>2</v>
      </c>
      <c r="M78" s="8">
        <v>1</v>
      </c>
      <c r="N78" s="10" t="s">
        <v>21</v>
      </c>
      <c r="O78" s="17" t="s">
        <v>328</v>
      </c>
      <c r="P78" s="10" t="str">
        <f t="shared" si="38"/>
        <v>MPI-M-MPI-ESM-LR_Scaled_Cluster5_repl2.sqlite</v>
      </c>
      <c r="Q78" s="11">
        <f t="shared" si="39"/>
        <v>5</v>
      </c>
      <c r="R78" s="16" t="str">
        <f t="shared" si="40"/>
        <v>climate_db_MPI-M-MPI-ESM-LR_historical_v4.sqlite</v>
      </c>
      <c r="S78" s="16" t="str">
        <f t="shared" si="41"/>
        <v>log/MPI-M-MPI-ESM-LR_Scaled_Cluster5_repl2.txt</v>
      </c>
      <c r="T78" s="16" t="str">
        <f t="shared" si="42"/>
        <v>init/env_file_CLUSTER05_REPL2_MPI-M-MPI-ESM-LR_historical.csv</v>
      </c>
      <c r="U78" s="16" t="str">
        <f t="shared" si="43"/>
        <v>init/env_grid_CLUSTER05_REPL2.asc</v>
      </c>
      <c r="V78" s="16" t="str">
        <f t="shared" si="44"/>
        <v>init/env_grid_CLUSTER05_REPL2.asc</v>
      </c>
      <c r="W78" s="16" t="str">
        <f t="shared" si="45"/>
        <v>trees_CLUSTER05.csv</v>
      </c>
      <c r="X78" s="16" t="str">
        <f t="shared" si="46"/>
        <v>saplings_CLUSTER05.csv</v>
      </c>
      <c r="Y78" s="16">
        <f t="shared" si="47"/>
        <v>350</v>
      </c>
      <c r="Z78" s="16" t="str">
        <f t="shared" si="48"/>
        <v>abe/no_mgmt.csv</v>
      </c>
      <c r="AA78" s="16" t="str">
        <f t="shared" si="49"/>
        <v>gis/WindModifier_cl5.asc</v>
      </c>
      <c r="AB78" s="16">
        <f t="shared" si="50"/>
        <v>1.0009999999999999E-7</v>
      </c>
      <c r="AC78" s="16" t="str">
        <f t="shared" si="51"/>
        <v>MPI-M-MPI-ESM-LR_historical_point31054</v>
      </c>
      <c r="AD78" s="16" t="str">
        <f t="shared" si="52"/>
        <v>wind_Events/Scaled_cl5_repl2.txt</v>
      </c>
      <c r="AE78" s="16" t="str">
        <f t="shared" si="53"/>
        <v>MPI-M-MPI-ESM-LR_Scaled_Cluster5_repl2</v>
      </c>
      <c r="AF78" s="16" t="s">
        <v>550</v>
      </c>
      <c r="AG78" s="16" t="s">
        <v>551</v>
      </c>
    </row>
    <row r="79" spans="1:33" ht="13.8">
      <c r="A79" s="7" t="str">
        <f t="shared" si="36"/>
        <v>MPI-M-MPI-ESM-LR_Scaled_Cluster5_repl3</v>
      </c>
      <c r="B79" s="8" t="s">
        <v>16</v>
      </c>
      <c r="C79" s="8" t="s">
        <v>54</v>
      </c>
      <c r="D79" s="9" t="s">
        <v>17</v>
      </c>
      <c r="E79" s="9" t="str">
        <f t="shared" si="37"/>
        <v>historical</v>
      </c>
      <c r="F79" s="8">
        <v>350</v>
      </c>
      <c r="G79" s="8" t="s">
        <v>63</v>
      </c>
      <c r="H79" s="8">
        <v>2</v>
      </c>
      <c r="I79" s="19">
        <v>9.9999999999999995E-8</v>
      </c>
      <c r="J79" s="8">
        <v>5</v>
      </c>
      <c r="K79" s="8" t="s">
        <v>169</v>
      </c>
      <c r="L79" s="8">
        <v>3</v>
      </c>
      <c r="M79" s="8">
        <v>1</v>
      </c>
      <c r="N79" s="10" t="s">
        <v>21</v>
      </c>
      <c r="O79" s="17" t="s">
        <v>328</v>
      </c>
      <c r="P79" s="10" t="str">
        <f t="shared" si="38"/>
        <v>MPI-M-MPI-ESM-LR_Scaled_Cluster5_repl3.sqlite</v>
      </c>
      <c r="Q79" s="11">
        <f t="shared" si="39"/>
        <v>8</v>
      </c>
      <c r="R79" s="16" t="str">
        <f t="shared" si="40"/>
        <v>climate_db_MPI-M-MPI-ESM-LR_historical_v4.sqlite</v>
      </c>
      <c r="S79" s="16" t="str">
        <f t="shared" si="41"/>
        <v>log/MPI-M-MPI-ESM-LR_Scaled_Cluster5_repl3.txt</v>
      </c>
      <c r="T79" s="16" t="str">
        <f t="shared" si="42"/>
        <v>init/env_file_CLUSTER05_REPL3_MPI-M-MPI-ESM-LR_historical.csv</v>
      </c>
      <c r="U79" s="16" t="str">
        <f t="shared" si="43"/>
        <v>init/env_grid_CLUSTER05_REPL3.asc</v>
      </c>
      <c r="V79" s="16" t="str">
        <f t="shared" si="44"/>
        <v>init/env_grid_CLUSTER05_REPL3.asc</v>
      </c>
      <c r="W79" s="16" t="str">
        <f t="shared" si="45"/>
        <v>trees_CLUSTER05.csv</v>
      </c>
      <c r="X79" s="16" t="str">
        <f t="shared" si="46"/>
        <v>saplings_CLUSTER05.csv</v>
      </c>
      <c r="Y79" s="16">
        <f t="shared" si="47"/>
        <v>350</v>
      </c>
      <c r="Z79" s="16" t="str">
        <f t="shared" si="48"/>
        <v>abe/no_mgmt.csv</v>
      </c>
      <c r="AA79" s="16" t="str">
        <f t="shared" si="49"/>
        <v>gis/WindModifier_cl5.asc</v>
      </c>
      <c r="AB79" s="16">
        <f t="shared" si="50"/>
        <v>1.0009999999999999E-7</v>
      </c>
      <c r="AC79" s="16" t="str">
        <f t="shared" si="51"/>
        <v>MPI-M-MPI-ESM-LR_historical_point31054</v>
      </c>
      <c r="AD79" s="16" t="str">
        <f t="shared" si="52"/>
        <v>wind_Events/Scaled_cl5_repl3.txt</v>
      </c>
      <c r="AE79" s="16" t="str">
        <f t="shared" si="53"/>
        <v>MPI-M-MPI-ESM-LR_Scaled_Cluster5_repl3</v>
      </c>
      <c r="AF79" s="16" t="s">
        <v>552</v>
      </c>
      <c r="AG79" s="16" t="s">
        <v>553</v>
      </c>
    </row>
    <row r="80" spans="1:33" ht="13.8">
      <c r="A80" s="7" t="str">
        <f t="shared" si="36"/>
        <v>MPI-M-MPI-ESM-LR_Scaled_Cluster5_repl4</v>
      </c>
      <c r="B80" s="8" t="s">
        <v>16</v>
      </c>
      <c r="C80" s="8" t="s">
        <v>54</v>
      </c>
      <c r="D80" s="9" t="s">
        <v>17</v>
      </c>
      <c r="E80" s="9" t="str">
        <f t="shared" si="37"/>
        <v>historical</v>
      </c>
      <c r="F80" s="8">
        <v>350</v>
      </c>
      <c r="G80" s="8" t="s">
        <v>63</v>
      </c>
      <c r="H80" s="8">
        <v>2</v>
      </c>
      <c r="I80" s="19">
        <v>9.9999999999999995E-8</v>
      </c>
      <c r="J80" s="8">
        <v>5</v>
      </c>
      <c r="K80" s="8" t="s">
        <v>169</v>
      </c>
      <c r="L80" s="8">
        <v>4</v>
      </c>
      <c r="M80" s="8">
        <v>1</v>
      </c>
      <c r="N80" s="10" t="s">
        <v>21</v>
      </c>
      <c r="O80" s="17" t="s">
        <v>328</v>
      </c>
      <c r="P80" s="10" t="str">
        <f t="shared" si="38"/>
        <v>MPI-M-MPI-ESM-LR_Scaled_Cluster5_repl4.sqlite</v>
      </c>
      <c r="Q80" s="11">
        <f t="shared" si="39"/>
        <v>11</v>
      </c>
      <c r="R80" s="16" t="str">
        <f t="shared" si="40"/>
        <v>climate_db_MPI-M-MPI-ESM-LR_historical_v4.sqlite</v>
      </c>
      <c r="S80" s="16" t="str">
        <f t="shared" si="41"/>
        <v>log/MPI-M-MPI-ESM-LR_Scaled_Cluster5_repl4.txt</v>
      </c>
      <c r="T80" s="16" t="str">
        <f t="shared" si="42"/>
        <v>init/env_file_CLUSTER05_REPL4_MPI-M-MPI-ESM-LR_historical.csv</v>
      </c>
      <c r="U80" s="16" t="str">
        <f t="shared" si="43"/>
        <v>init/env_grid_CLUSTER05_REPL4.asc</v>
      </c>
      <c r="V80" s="16" t="str">
        <f t="shared" si="44"/>
        <v>init/env_grid_CLUSTER05_REPL4.asc</v>
      </c>
      <c r="W80" s="16" t="str">
        <f t="shared" si="45"/>
        <v>trees_CLUSTER05.csv</v>
      </c>
      <c r="X80" s="16" t="str">
        <f t="shared" si="46"/>
        <v>saplings_CLUSTER05.csv</v>
      </c>
      <c r="Y80" s="16">
        <f t="shared" si="47"/>
        <v>350</v>
      </c>
      <c r="Z80" s="16" t="str">
        <f t="shared" si="48"/>
        <v>abe/no_mgmt.csv</v>
      </c>
      <c r="AA80" s="16" t="str">
        <f t="shared" si="49"/>
        <v>gis/WindModifier_cl5.asc</v>
      </c>
      <c r="AB80" s="16">
        <f t="shared" si="50"/>
        <v>1.0009999999999999E-7</v>
      </c>
      <c r="AC80" s="16" t="str">
        <f t="shared" si="51"/>
        <v>MPI-M-MPI-ESM-LR_historical_point31054</v>
      </c>
      <c r="AD80" s="16" t="str">
        <f t="shared" si="52"/>
        <v>wind_Events/Scaled_cl5_repl4.txt</v>
      </c>
      <c r="AE80" s="16" t="str">
        <f t="shared" si="53"/>
        <v>MPI-M-MPI-ESM-LR_Scaled_Cluster5_repl4</v>
      </c>
      <c r="AF80" s="16" t="s">
        <v>554</v>
      </c>
      <c r="AG80" s="16" t="s">
        <v>555</v>
      </c>
    </row>
    <row r="81" spans="1:33" ht="13.8">
      <c r="A81" s="7" t="str">
        <f t="shared" si="36"/>
        <v>MPI-M-MPI-ESM-LR_Scaled_Cluster5_repl5</v>
      </c>
      <c r="B81" s="8" t="s">
        <v>16</v>
      </c>
      <c r="C81" s="8" t="s">
        <v>54</v>
      </c>
      <c r="D81" s="9" t="s">
        <v>17</v>
      </c>
      <c r="E81" s="9" t="str">
        <f t="shared" si="37"/>
        <v>historical</v>
      </c>
      <c r="F81" s="8">
        <v>350</v>
      </c>
      <c r="G81" s="8" t="s">
        <v>63</v>
      </c>
      <c r="H81" s="8">
        <v>2</v>
      </c>
      <c r="I81" s="19">
        <v>9.9999999999999995E-8</v>
      </c>
      <c r="J81" s="8">
        <v>5</v>
      </c>
      <c r="K81" s="8" t="s">
        <v>169</v>
      </c>
      <c r="L81" s="8">
        <v>5</v>
      </c>
      <c r="M81" s="8">
        <v>1</v>
      </c>
      <c r="N81" s="10" t="s">
        <v>21</v>
      </c>
      <c r="O81" s="17" t="s">
        <v>328</v>
      </c>
      <c r="P81" s="10" t="str">
        <f t="shared" si="38"/>
        <v>MPI-M-MPI-ESM-LR_Scaled_Cluster5_repl5.sqlite</v>
      </c>
      <c r="Q81" s="11">
        <f t="shared" si="39"/>
        <v>14</v>
      </c>
      <c r="R81" s="16" t="str">
        <f t="shared" si="40"/>
        <v>climate_db_MPI-M-MPI-ESM-LR_historical_v4.sqlite</v>
      </c>
      <c r="S81" s="16" t="str">
        <f t="shared" si="41"/>
        <v>log/MPI-M-MPI-ESM-LR_Scaled_Cluster5_repl5.txt</v>
      </c>
      <c r="T81" s="16" t="str">
        <f t="shared" si="42"/>
        <v>init/env_file_CLUSTER05_REPL5_MPI-M-MPI-ESM-LR_historical.csv</v>
      </c>
      <c r="U81" s="16" t="str">
        <f t="shared" si="43"/>
        <v>init/env_grid_CLUSTER05_REPL5.asc</v>
      </c>
      <c r="V81" s="16" t="str">
        <f t="shared" si="44"/>
        <v>init/env_grid_CLUSTER05_REPL5.asc</v>
      </c>
      <c r="W81" s="16" t="str">
        <f t="shared" si="45"/>
        <v>trees_CLUSTER05.csv</v>
      </c>
      <c r="X81" s="16" t="str">
        <f t="shared" si="46"/>
        <v>saplings_CLUSTER05.csv</v>
      </c>
      <c r="Y81" s="16">
        <f t="shared" si="47"/>
        <v>350</v>
      </c>
      <c r="Z81" s="16" t="str">
        <f t="shared" si="48"/>
        <v>abe/no_mgmt.csv</v>
      </c>
      <c r="AA81" s="16" t="str">
        <f t="shared" si="49"/>
        <v>gis/WindModifier_cl5.asc</v>
      </c>
      <c r="AB81" s="16">
        <f t="shared" si="50"/>
        <v>1.0009999999999999E-7</v>
      </c>
      <c r="AC81" s="16" t="str">
        <f t="shared" si="51"/>
        <v>MPI-M-MPI-ESM-LR_historical_point31054</v>
      </c>
      <c r="AD81" s="16" t="str">
        <f t="shared" si="52"/>
        <v>wind_Events/Scaled_cl5_repl5.txt</v>
      </c>
      <c r="AE81" s="16" t="str">
        <f t="shared" si="53"/>
        <v>MPI-M-MPI-ESM-LR_Scaled_Cluster5_repl5</v>
      </c>
      <c r="AF81" s="16" t="s">
        <v>556</v>
      </c>
      <c r="AG81" s="16" t="s">
        <v>557</v>
      </c>
    </row>
    <row r="82" spans="1:33" ht="13.8">
      <c r="A82" s="7" t="str">
        <f t="shared" si="36"/>
        <v>MPI-M-MPI-ESM-LR_Scaled_Cluster6_repl1</v>
      </c>
      <c r="B82" s="8" t="s">
        <v>16</v>
      </c>
      <c r="C82" s="8" t="s">
        <v>54</v>
      </c>
      <c r="D82" s="9" t="s">
        <v>17</v>
      </c>
      <c r="E82" s="9" t="str">
        <f t="shared" si="37"/>
        <v>historical</v>
      </c>
      <c r="F82" s="8">
        <v>350</v>
      </c>
      <c r="G82" s="8" t="s">
        <v>63</v>
      </c>
      <c r="H82" s="8">
        <v>2</v>
      </c>
      <c r="I82" s="19">
        <v>1.2364860585627399E-7</v>
      </c>
      <c r="J82" s="8">
        <v>6</v>
      </c>
      <c r="K82" s="8" t="s">
        <v>170</v>
      </c>
      <c r="L82" s="8">
        <v>1</v>
      </c>
      <c r="M82" s="8">
        <v>1</v>
      </c>
      <c r="N82" s="10" t="s">
        <v>21</v>
      </c>
      <c r="O82" s="17" t="s">
        <v>328</v>
      </c>
      <c r="P82" s="10" t="str">
        <f t="shared" si="38"/>
        <v>MPI-M-MPI-ESM-LR_Scaled_Cluster6_repl1.sqlite</v>
      </c>
      <c r="Q82" s="11">
        <f t="shared" si="39"/>
        <v>2</v>
      </c>
      <c r="R82" s="16" t="str">
        <f t="shared" si="40"/>
        <v>climate_db_MPI-M-MPI-ESM-LR_historical_v4.sqlite</v>
      </c>
      <c r="S82" s="16" t="str">
        <f t="shared" si="41"/>
        <v>log/MPI-M-MPI-ESM-LR_Scaled_Cluster6_repl1.txt</v>
      </c>
      <c r="T82" s="16" t="str">
        <f t="shared" si="42"/>
        <v>init/env_file_CLUSTER06_REPL1_MPI-M-MPI-ESM-LR_historical.csv</v>
      </c>
      <c r="U82" s="16" t="str">
        <f t="shared" si="43"/>
        <v>init/env_grid_CLUSTER06_REPL1.asc</v>
      </c>
      <c r="V82" s="16" t="str">
        <f t="shared" si="44"/>
        <v>init/env_grid_CLUSTER06_REPL1.asc</v>
      </c>
      <c r="W82" s="16" t="str">
        <f t="shared" si="45"/>
        <v>trees_CLUSTER06.csv</v>
      </c>
      <c r="X82" s="16" t="str">
        <f t="shared" si="46"/>
        <v>saplings_CLUSTER06.csv</v>
      </c>
      <c r="Y82" s="16">
        <f t="shared" si="47"/>
        <v>350</v>
      </c>
      <c r="Z82" s="16" t="str">
        <f t="shared" si="48"/>
        <v>abe/no_mgmt.csv</v>
      </c>
      <c r="AA82" s="16" t="str">
        <f t="shared" si="49"/>
        <v>gis/WindModifier_cl6.asc</v>
      </c>
      <c r="AB82" s="16">
        <f t="shared" si="50"/>
        <v>1.23748605856274E-7</v>
      </c>
      <c r="AC82" s="16" t="str">
        <f t="shared" si="51"/>
        <v>MPI-M-MPI-ESM-LR_historical_point29033</v>
      </c>
      <c r="AD82" s="16" t="str">
        <f t="shared" si="52"/>
        <v>wind_Events/Scaled_cl6_repl1.txt</v>
      </c>
      <c r="AE82" s="16" t="str">
        <f t="shared" si="53"/>
        <v>MPI-M-MPI-ESM-LR_Scaled_Cluster6_repl1</v>
      </c>
      <c r="AF82" s="16" t="s">
        <v>365</v>
      </c>
      <c r="AG82" s="16" t="s">
        <v>77</v>
      </c>
    </row>
    <row r="83" spans="1:33" ht="13.8">
      <c r="A83" s="7" t="str">
        <f t="shared" si="36"/>
        <v>MPI-M-MPI-ESM-LR_Scaled_Cluster6_repl2</v>
      </c>
      <c r="B83" s="8" t="s">
        <v>16</v>
      </c>
      <c r="C83" s="8" t="s">
        <v>54</v>
      </c>
      <c r="D83" s="9" t="s">
        <v>17</v>
      </c>
      <c r="E83" s="9" t="str">
        <f t="shared" si="37"/>
        <v>historical</v>
      </c>
      <c r="F83" s="8">
        <v>350</v>
      </c>
      <c r="G83" s="8" t="s">
        <v>63</v>
      </c>
      <c r="H83" s="8">
        <v>2</v>
      </c>
      <c r="I83" s="19">
        <v>1.2364860585627399E-7</v>
      </c>
      <c r="J83" s="8">
        <v>6</v>
      </c>
      <c r="K83" s="8" t="s">
        <v>170</v>
      </c>
      <c r="L83" s="8">
        <v>2</v>
      </c>
      <c r="M83" s="8">
        <v>1</v>
      </c>
      <c r="N83" s="10" t="s">
        <v>21</v>
      </c>
      <c r="O83" s="17" t="s">
        <v>328</v>
      </c>
      <c r="P83" s="10" t="str">
        <f t="shared" si="38"/>
        <v>MPI-M-MPI-ESM-LR_Scaled_Cluster6_repl2.sqlite</v>
      </c>
      <c r="Q83" s="11">
        <f t="shared" si="39"/>
        <v>5</v>
      </c>
      <c r="R83" s="16" t="str">
        <f t="shared" si="40"/>
        <v>climate_db_MPI-M-MPI-ESM-LR_historical_v4.sqlite</v>
      </c>
      <c r="S83" s="16" t="str">
        <f t="shared" si="41"/>
        <v>log/MPI-M-MPI-ESM-LR_Scaled_Cluster6_repl2.txt</v>
      </c>
      <c r="T83" s="16" t="str">
        <f t="shared" si="42"/>
        <v>init/env_file_CLUSTER06_REPL2_MPI-M-MPI-ESM-LR_historical.csv</v>
      </c>
      <c r="U83" s="16" t="str">
        <f t="shared" si="43"/>
        <v>init/env_grid_CLUSTER06_REPL2.asc</v>
      </c>
      <c r="V83" s="16" t="str">
        <f t="shared" si="44"/>
        <v>init/env_grid_CLUSTER06_REPL2.asc</v>
      </c>
      <c r="W83" s="16" t="str">
        <f t="shared" si="45"/>
        <v>trees_CLUSTER06.csv</v>
      </c>
      <c r="X83" s="16" t="str">
        <f t="shared" si="46"/>
        <v>saplings_CLUSTER06.csv</v>
      </c>
      <c r="Y83" s="16">
        <f t="shared" si="47"/>
        <v>350</v>
      </c>
      <c r="Z83" s="16" t="str">
        <f t="shared" si="48"/>
        <v>abe/no_mgmt.csv</v>
      </c>
      <c r="AA83" s="16" t="str">
        <f t="shared" si="49"/>
        <v>gis/WindModifier_cl6.asc</v>
      </c>
      <c r="AB83" s="16">
        <f t="shared" si="50"/>
        <v>1.23748605856274E-7</v>
      </c>
      <c r="AC83" s="16" t="str">
        <f t="shared" si="51"/>
        <v>MPI-M-MPI-ESM-LR_historical_point29033</v>
      </c>
      <c r="AD83" s="16" t="str">
        <f t="shared" si="52"/>
        <v>wind_Events/Scaled_cl6_repl2.txt</v>
      </c>
      <c r="AE83" s="16" t="str">
        <f t="shared" si="53"/>
        <v>MPI-M-MPI-ESM-LR_Scaled_Cluster6_repl2</v>
      </c>
      <c r="AF83" s="16" t="s">
        <v>558</v>
      </c>
      <c r="AG83" s="16" t="s">
        <v>559</v>
      </c>
    </row>
    <row r="84" spans="1:33" ht="13.8">
      <c r="A84" s="7" t="str">
        <f t="shared" si="36"/>
        <v>MPI-M-MPI-ESM-LR_Scaled_Cluster6_repl3</v>
      </c>
      <c r="B84" s="8" t="s">
        <v>16</v>
      </c>
      <c r="C84" s="8" t="s">
        <v>54</v>
      </c>
      <c r="D84" s="9" t="s">
        <v>17</v>
      </c>
      <c r="E84" s="9" t="str">
        <f t="shared" si="37"/>
        <v>historical</v>
      </c>
      <c r="F84" s="8">
        <v>350</v>
      </c>
      <c r="G84" s="8" t="s">
        <v>63</v>
      </c>
      <c r="H84" s="8">
        <v>2</v>
      </c>
      <c r="I84" s="19">
        <v>1.2364860585627399E-7</v>
      </c>
      <c r="J84" s="8">
        <v>6</v>
      </c>
      <c r="K84" s="8" t="s">
        <v>170</v>
      </c>
      <c r="L84" s="8">
        <v>3</v>
      </c>
      <c r="M84" s="8">
        <v>1</v>
      </c>
      <c r="N84" s="10" t="s">
        <v>21</v>
      </c>
      <c r="O84" s="17" t="s">
        <v>328</v>
      </c>
      <c r="P84" s="10" t="str">
        <f t="shared" si="38"/>
        <v>MPI-M-MPI-ESM-LR_Scaled_Cluster6_repl3.sqlite</v>
      </c>
      <c r="Q84" s="11">
        <f t="shared" si="39"/>
        <v>8</v>
      </c>
      <c r="R84" s="16" t="str">
        <f t="shared" si="40"/>
        <v>climate_db_MPI-M-MPI-ESM-LR_historical_v4.sqlite</v>
      </c>
      <c r="S84" s="16" t="str">
        <f t="shared" si="41"/>
        <v>log/MPI-M-MPI-ESM-LR_Scaled_Cluster6_repl3.txt</v>
      </c>
      <c r="T84" s="16" t="str">
        <f t="shared" si="42"/>
        <v>init/env_file_CLUSTER06_REPL3_MPI-M-MPI-ESM-LR_historical.csv</v>
      </c>
      <c r="U84" s="16" t="str">
        <f t="shared" si="43"/>
        <v>init/env_grid_CLUSTER06_REPL3.asc</v>
      </c>
      <c r="V84" s="16" t="str">
        <f t="shared" si="44"/>
        <v>init/env_grid_CLUSTER06_REPL3.asc</v>
      </c>
      <c r="W84" s="16" t="str">
        <f t="shared" si="45"/>
        <v>trees_CLUSTER06.csv</v>
      </c>
      <c r="X84" s="16" t="str">
        <f t="shared" si="46"/>
        <v>saplings_CLUSTER06.csv</v>
      </c>
      <c r="Y84" s="16">
        <f t="shared" si="47"/>
        <v>350</v>
      </c>
      <c r="Z84" s="16" t="str">
        <f t="shared" si="48"/>
        <v>abe/no_mgmt.csv</v>
      </c>
      <c r="AA84" s="16" t="str">
        <f t="shared" si="49"/>
        <v>gis/WindModifier_cl6.asc</v>
      </c>
      <c r="AB84" s="16">
        <f t="shared" si="50"/>
        <v>1.23748605856274E-7</v>
      </c>
      <c r="AC84" s="16" t="str">
        <f t="shared" si="51"/>
        <v>MPI-M-MPI-ESM-LR_historical_point29033</v>
      </c>
      <c r="AD84" s="16" t="str">
        <f t="shared" si="52"/>
        <v>wind_Events/Scaled_cl6_repl3.txt</v>
      </c>
      <c r="AE84" s="16" t="str">
        <f t="shared" si="53"/>
        <v>MPI-M-MPI-ESM-LR_Scaled_Cluster6_repl3</v>
      </c>
      <c r="AF84" s="16" t="s">
        <v>560</v>
      </c>
      <c r="AG84" s="16" t="s">
        <v>561</v>
      </c>
    </row>
    <row r="85" spans="1:33" ht="13.8">
      <c r="A85" s="7" t="str">
        <f t="shared" si="36"/>
        <v>MPI-M-MPI-ESM-LR_Scaled_Cluster6_repl4</v>
      </c>
      <c r="B85" s="8" t="s">
        <v>16</v>
      </c>
      <c r="C85" s="8" t="s">
        <v>54</v>
      </c>
      <c r="D85" s="9" t="s">
        <v>17</v>
      </c>
      <c r="E85" s="9" t="str">
        <f t="shared" si="37"/>
        <v>historical</v>
      </c>
      <c r="F85" s="8">
        <v>350</v>
      </c>
      <c r="G85" s="8" t="s">
        <v>63</v>
      </c>
      <c r="H85" s="8">
        <v>2</v>
      </c>
      <c r="I85" s="19">
        <v>1.2364860585627399E-7</v>
      </c>
      <c r="J85" s="8">
        <v>6</v>
      </c>
      <c r="K85" s="8" t="s">
        <v>170</v>
      </c>
      <c r="L85" s="8">
        <v>4</v>
      </c>
      <c r="M85" s="8">
        <v>1</v>
      </c>
      <c r="N85" s="10" t="s">
        <v>21</v>
      </c>
      <c r="O85" s="17" t="s">
        <v>328</v>
      </c>
      <c r="P85" s="10" t="str">
        <f t="shared" si="38"/>
        <v>MPI-M-MPI-ESM-LR_Scaled_Cluster6_repl4.sqlite</v>
      </c>
      <c r="Q85" s="11">
        <f t="shared" si="39"/>
        <v>11</v>
      </c>
      <c r="R85" s="16" t="str">
        <f t="shared" si="40"/>
        <v>climate_db_MPI-M-MPI-ESM-LR_historical_v4.sqlite</v>
      </c>
      <c r="S85" s="16" t="str">
        <f t="shared" si="41"/>
        <v>log/MPI-M-MPI-ESM-LR_Scaled_Cluster6_repl4.txt</v>
      </c>
      <c r="T85" s="16" t="str">
        <f t="shared" si="42"/>
        <v>init/env_file_CLUSTER06_REPL4_MPI-M-MPI-ESM-LR_historical.csv</v>
      </c>
      <c r="U85" s="16" t="str">
        <f t="shared" si="43"/>
        <v>init/env_grid_CLUSTER06_REPL4.asc</v>
      </c>
      <c r="V85" s="16" t="str">
        <f t="shared" si="44"/>
        <v>init/env_grid_CLUSTER06_REPL4.asc</v>
      </c>
      <c r="W85" s="16" t="str">
        <f t="shared" si="45"/>
        <v>trees_CLUSTER06.csv</v>
      </c>
      <c r="X85" s="16" t="str">
        <f t="shared" si="46"/>
        <v>saplings_CLUSTER06.csv</v>
      </c>
      <c r="Y85" s="16">
        <f t="shared" si="47"/>
        <v>350</v>
      </c>
      <c r="Z85" s="16" t="str">
        <f t="shared" si="48"/>
        <v>abe/no_mgmt.csv</v>
      </c>
      <c r="AA85" s="16" t="str">
        <f t="shared" si="49"/>
        <v>gis/WindModifier_cl6.asc</v>
      </c>
      <c r="AB85" s="16">
        <f t="shared" si="50"/>
        <v>1.23748605856274E-7</v>
      </c>
      <c r="AC85" s="16" t="str">
        <f t="shared" si="51"/>
        <v>MPI-M-MPI-ESM-LR_historical_point29033</v>
      </c>
      <c r="AD85" s="16" t="str">
        <f t="shared" si="52"/>
        <v>wind_Events/Scaled_cl6_repl4.txt</v>
      </c>
      <c r="AE85" s="16" t="str">
        <f t="shared" si="53"/>
        <v>MPI-M-MPI-ESM-LR_Scaled_Cluster6_repl4</v>
      </c>
      <c r="AF85" s="16" t="s">
        <v>562</v>
      </c>
      <c r="AG85" s="16" t="s">
        <v>563</v>
      </c>
    </row>
    <row r="86" spans="1:33" ht="13.8">
      <c r="A86" s="7" t="str">
        <f t="shared" si="36"/>
        <v>MPI-M-MPI-ESM-LR_Scaled_Cluster6_repl5</v>
      </c>
      <c r="B86" s="8" t="s">
        <v>16</v>
      </c>
      <c r="C86" s="8" t="s">
        <v>54</v>
      </c>
      <c r="D86" s="9" t="s">
        <v>17</v>
      </c>
      <c r="E86" s="9" t="str">
        <f t="shared" si="37"/>
        <v>historical</v>
      </c>
      <c r="F86" s="8">
        <v>350</v>
      </c>
      <c r="G86" s="8" t="s">
        <v>63</v>
      </c>
      <c r="H86" s="8">
        <v>2</v>
      </c>
      <c r="I86" s="19">
        <v>1.2364860585627399E-7</v>
      </c>
      <c r="J86" s="8">
        <v>6</v>
      </c>
      <c r="K86" s="8" t="s">
        <v>170</v>
      </c>
      <c r="L86" s="8">
        <v>5</v>
      </c>
      <c r="M86" s="8">
        <v>1</v>
      </c>
      <c r="N86" s="10" t="s">
        <v>21</v>
      </c>
      <c r="O86" s="17" t="s">
        <v>328</v>
      </c>
      <c r="P86" s="10" t="str">
        <f t="shared" si="38"/>
        <v>MPI-M-MPI-ESM-LR_Scaled_Cluster6_repl5.sqlite</v>
      </c>
      <c r="Q86" s="11">
        <f t="shared" si="39"/>
        <v>14</v>
      </c>
      <c r="R86" s="16" t="str">
        <f t="shared" si="40"/>
        <v>climate_db_MPI-M-MPI-ESM-LR_historical_v4.sqlite</v>
      </c>
      <c r="S86" s="16" t="str">
        <f t="shared" si="41"/>
        <v>log/MPI-M-MPI-ESM-LR_Scaled_Cluster6_repl5.txt</v>
      </c>
      <c r="T86" s="16" t="str">
        <f t="shared" si="42"/>
        <v>init/env_file_CLUSTER06_REPL5_MPI-M-MPI-ESM-LR_historical.csv</v>
      </c>
      <c r="U86" s="16" t="str">
        <f t="shared" si="43"/>
        <v>init/env_grid_CLUSTER06_REPL5.asc</v>
      </c>
      <c r="V86" s="16" t="str">
        <f t="shared" si="44"/>
        <v>init/env_grid_CLUSTER06_REPL5.asc</v>
      </c>
      <c r="W86" s="16" t="str">
        <f t="shared" si="45"/>
        <v>trees_CLUSTER06.csv</v>
      </c>
      <c r="X86" s="16" t="str">
        <f t="shared" si="46"/>
        <v>saplings_CLUSTER06.csv</v>
      </c>
      <c r="Y86" s="16">
        <f t="shared" si="47"/>
        <v>350</v>
      </c>
      <c r="Z86" s="16" t="str">
        <f t="shared" si="48"/>
        <v>abe/no_mgmt.csv</v>
      </c>
      <c r="AA86" s="16" t="str">
        <f t="shared" si="49"/>
        <v>gis/WindModifier_cl6.asc</v>
      </c>
      <c r="AB86" s="16">
        <f t="shared" si="50"/>
        <v>1.23748605856274E-7</v>
      </c>
      <c r="AC86" s="16" t="str">
        <f t="shared" si="51"/>
        <v>MPI-M-MPI-ESM-LR_historical_point29033</v>
      </c>
      <c r="AD86" s="16" t="str">
        <f t="shared" si="52"/>
        <v>wind_Events/Scaled_cl6_repl5.txt</v>
      </c>
      <c r="AE86" s="16" t="str">
        <f t="shared" si="53"/>
        <v>MPI-M-MPI-ESM-LR_Scaled_Cluster6_repl5</v>
      </c>
      <c r="AF86" s="16" t="s">
        <v>564</v>
      </c>
      <c r="AG86" s="16" t="s">
        <v>565</v>
      </c>
    </row>
    <row r="87" spans="1:33" ht="13.8">
      <c r="A87" s="7" t="str">
        <f t="shared" si="36"/>
        <v>MPI-M-MPI-ESM-LR_Scaled_Cluster7_repl1</v>
      </c>
      <c r="B87" s="8" t="s">
        <v>16</v>
      </c>
      <c r="C87" s="8" t="s">
        <v>54</v>
      </c>
      <c r="D87" s="9" t="s">
        <v>17</v>
      </c>
      <c r="E87" s="9" t="str">
        <f t="shared" si="37"/>
        <v>historical</v>
      </c>
      <c r="F87" s="8">
        <v>350</v>
      </c>
      <c r="G87" s="8" t="s">
        <v>63</v>
      </c>
      <c r="H87" s="8">
        <v>2</v>
      </c>
      <c r="I87" s="19">
        <v>4.0645289878109198E-7</v>
      </c>
      <c r="J87" s="8">
        <v>7</v>
      </c>
      <c r="K87" s="8" t="s">
        <v>162</v>
      </c>
      <c r="L87" s="8">
        <v>1</v>
      </c>
      <c r="M87" s="8">
        <v>1</v>
      </c>
      <c r="N87" s="10" t="s">
        <v>21</v>
      </c>
      <c r="O87" s="17" t="s">
        <v>328</v>
      </c>
      <c r="P87" s="10" t="str">
        <f t="shared" si="38"/>
        <v>MPI-M-MPI-ESM-LR_Scaled_Cluster7_repl1.sqlite</v>
      </c>
      <c r="Q87" s="11">
        <f t="shared" si="39"/>
        <v>2</v>
      </c>
      <c r="R87" s="16" t="str">
        <f t="shared" si="40"/>
        <v>climate_db_MPI-M-MPI-ESM-LR_historical_v4.sqlite</v>
      </c>
      <c r="S87" s="16" t="str">
        <f t="shared" si="41"/>
        <v>log/MPI-M-MPI-ESM-LR_Scaled_Cluster7_repl1.txt</v>
      </c>
      <c r="T87" s="16" t="str">
        <f t="shared" si="42"/>
        <v>init/env_file_CLUSTER07_REPL1_MPI-M-MPI-ESM-LR_historical.csv</v>
      </c>
      <c r="U87" s="16" t="str">
        <f t="shared" si="43"/>
        <v>init/env_grid_CLUSTER07_REPL1.asc</v>
      </c>
      <c r="V87" s="16" t="str">
        <f t="shared" si="44"/>
        <v>init/env_grid_CLUSTER07_REPL1.asc</v>
      </c>
      <c r="W87" s="16" t="str">
        <f t="shared" si="45"/>
        <v>trees_CLUSTER07.csv</v>
      </c>
      <c r="X87" s="16" t="str">
        <f t="shared" si="46"/>
        <v>saplings_CLUSTER07.csv</v>
      </c>
      <c r="Y87" s="16">
        <f t="shared" si="47"/>
        <v>350</v>
      </c>
      <c r="Z87" s="16" t="str">
        <f t="shared" si="48"/>
        <v>abe/no_mgmt.csv</v>
      </c>
      <c r="AA87" s="16" t="str">
        <f t="shared" si="49"/>
        <v>gis/WindModifier_cl7.asc</v>
      </c>
      <c r="AB87" s="16">
        <f t="shared" si="50"/>
        <v>4.0655289878109199E-7</v>
      </c>
      <c r="AC87" s="16" t="str">
        <f t="shared" si="51"/>
        <v>MPI-M-MPI-ESM-LR_historical_point26530</v>
      </c>
      <c r="AD87" s="16" t="str">
        <f t="shared" si="52"/>
        <v>wind_Events/Scaled_cl7_repl1.txt</v>
      </c>
      <c r="AE87" s="16" t="str">
        <f t="shared" si="53"/>
        <v>MPI-M-MPI-ESM-LR_Scaled_Cluster7_repl1</v>
      </c>
      <c r="AF87" s="16" t="s">
        <v>367</v>
      </c>
      <c r="AG87" s="16" t="s">
        <v>79</v>
      </c>
    </row>
    <row r="88" spans="1:33" ht="13.8">
      <c r="A88" s="7" t="str">
        <f t="shared" si="36"/>
        <v>MPI-M-MPI-ESM-LR_Scaled_Cluster7_repl2</v>
      </c>
      <c r="B88" s="8" t="s">
        <v>16</v>
      </c>
      <c r="C88" s="8" t="s">
        <v>54</v>
      </c>
      <c r="D88" s="9" t="s">
        <v>17</v>
      </c>
      <c r="E88" s="9" t="str">
        <f t="shared" si="37"/>
        <v>historical</v>
      </c>
      <c r="F88" s="8">
        <v>350</v>
      </c>
      <c r="G88" s="8" t="s">
        <v>63</v>
      </c>
      <c r="H88" s="8">
        <v>2</v>
      </c>
      <c r="I88" s="19">
        <v>4.0645289878109198E-7</v>
      </c>
      <c r="J88" s="8">
        <v>7</v>
      </c>
      <c r="K88" s="8" t="s">
        <v>162</v>
      </c>
      <c r="L88" s="8">
        <v>2</v>
      </c>
      <c r="M88" s="8">
        <v>1</v>
      </c>
      <c r="N88" s="10" t="s">
        <v>21</v>
      </c>
      <c r="O88" s="17" t="s">
        <v>328</v>
      </c>
      <c r="P88" s="10" t="str">
        <f t="shared" si="38"/>
        <v>MPI-M-MPI-ESM-LR_Scaled_Cluster7_repl2.sqlite</v>
      </c>
      <c r="Q88" s="11">
        <f t="shared" si="39"/>
        <v>5</v>
      </c>
      <c r="R88" s="16" t="str">
        <f t="shared" si="40"/>
        <v>climate_db_MPI-M-MPI-ESM-LR_historical_v4.sqlite</v>
      </c>
      <c r="S88" s="16" t="str">
        <f t="shared" si="41"/>
        <v>log/MPI-M-MPI-ESM-LR_Scaled_Cluster7_repl2.txt</v>
      </c>
      <c r="T88" s="16" t="str">
        <f t="shared" si="42"/>
        <v>init/env_file_CLUSTER07_REPL2_MPI-M-MPI-ESM-LR_historical.csv</v>
      </c>
      <c r="U88" s="16" t="str">
        <f t="shared" si="43"/>
        <v>init/env_grid_CLUSTER07_REPL2.asc</v>
      </c>
      <c r="V88" s="16" t="str">
        <f t="shared" si="44"/>
        <v>init/env_grid_CLUSTER07_REPL2.asc</v>
      </c>
      <c r="W88" s="16" t="str">
        <f t="shared" si="45"/>
        <v>trees_CLUSTER07.csv</v>
      </c>
      <c r="X88" s="16" t="str">
        <f t="shared" si="46"/>
        <v>saplings_CLUSTER07.csv</v>
      </c>
      <c r="Y88" s="16">
        <f t="shared" si="47"/>
        <v>350</v>
      </c>
      <c r="Z88" s="16" t="str">
        <f t="shared" si="48"/>
        <v>abe/no_mgmt.csv</v>
      </c>
      <c r="AA88" s="16" t="str">
        <f t="shared" si="49"/>
        <v>gis/WindModifier_cl7.asc</v>
      </c>
      <c r="AB88" s="16">
        <f t="shared" si="50"/>
        <v>4.0655289878109199E-7</v>
      </c>
      <c r="AC88" s="16" t="str">
        <f t="shared" si="51"/>
        <v>MPI-M-MPI-ESM-LR_historical_point26530</v>
      </c>
      <c r="AD88" s="16" t="str">
        <f t="shared" si="52"/>
        <v>wind_Events/Scaled_cl7_repl2.txt</v>
      </c>
      <c r="AE88" s="16" t="str">
        <f t="shared" si="53"/>
        <v>MPI-M-MPI-ESM-LR_Scaled_Cluster7_repl2</v>
      </c>
      <c r="AF88" s="16" t="s">
        <v>566</v>
      </c>
      <c r="AG88" s="16" t="s">
        <v>567</v>
      </c>
    </row>
    <row r="89" spans="1:33" ht="13.8">
      <c r="A89" s="7" t="str">
        <f t="shared" si="36"/>
        <v>MPI-M-MPI-ESM-LR_Scaled_Cluster7_repl3</v>
      </c>
      <c r="B89" s="8" t="s">
        <v>16</v>
      </c>
      <c r="C89" s="8" t="s">
        <v>54</v>
      </c>
      <c r="D89" s="9" t="s">
        <v>17</v>
      </c>
      <c r="E89" s="9" t="str">
        <f t="shared" si="37"/>
        <v>historical</v>
      </c>
      <c r="F89" s="8">
        <v>350</v>
      </c>
      <c r="G89" s="8" t="s">
        <v>63</v>
      </c>
      <c r="H89" s="8">
        <v>2</v>
      </c>
      <c r="I89" s="19">
        <v>4.0645289878109198E-7</v>
      </c>
      <c r="J89" s="8">
        <v>7</v>
      </c>
      <c r="K89" s="8" t="s">
        <v>162</v>
      </c>
      <c r="L89" s="8">
        <v>3</v>
      </c>
      <c r="M89" s="8">
        <v>1</v>
      </c>
      <c r="N89" s="10" t="s">
        <v>21</v>
      </c>
      <c r="O89" s="17" t="s">
        <v>328</v>
      </c>
      <c r="P89" s="10" t="str">
        <f t="shared" si="38"/>
        <v>MPI-M-MPI-ESM-LR_Scaled_Cluster7_repl3.sqlite</v>
      </c>
      <c r="Q89" s="11">
        <f t="shared" si="39"/>
        <v>8</v>
      </c>
      <c r="R89" s="16" t="str">
        <f t="shared" si="40"/>
        <v>climate_db_MPI-M-MPI-ESM-LR_historical_v4.sqlite</v>
      </c>
      <c r="S89" s="16" t="str">
        <f t="shared" si="41"/>
        <v>log/MPI-M-MPI-ESM-LR_Scaled_Cluster7_repl3.txt</v>
      </c>
      <c r="T89" s="16" t="str">
        <f t="shared" si="42"/>
        <v>init/env_file_CLUSTER07_REPL3_MPI-M-MPI-ESM-LR_historical.csv</v>
      </c>
      <c r="U89" s="16" t="str">
        <f t="shared" si="43"/>
        <v>init/env_grid_CLUSTER07_REPL3.asc</v>
      </c>
      <c r="V89" s="16" t="str">
        <f t="shared" si="44"/>
        <v>init/env_grid_CLUSTER07_REPL3.asc</v>
      </c>
      <c r="W89" s="16" t="str">
        <f t="shared" si="45"/>
        <v>trees_CLUSTER07.csv</v>
      </c>
      <c r="X89" s="16" t="str">
        <f t="shared" si="46"/>
        <v>saplings_CLUSTER07.csv</v>
      </c>
      <c r="Y89" s="16">
        <f t="shared" si="47"/>
        <v>350</v>
      </c>
      <c r="Z89" s="16" t="str">
        <f t="shared" si="48"/>
        <v>abe/no_mgmt.csv</v>
      </c>
      <c r="AA89" s="16" t="str">
        <f t="shared" si="49"/>
        <v>gis/WindModifier_cl7.asc</v>
      </c>
      <c r="AB89" s="16">
        <f t="shared" si="50"/>
        <v>4.0655289878109199E-7</v>
      </c>
      <c r="AC89" s="16" t="str">
        <f t="shared" si="51"/>
        <v>MPI-M-MPI-ESM-LR_historical_point26530</v>
      </c>
      <c r="AD89" s="16" t="str">
        <f t="shared" si="52"/>
        <v>wind_Events/Scaled_cl7_repl3.txt</v>
      </c>
      <c r="AE89" s="16" t="str">
        <f t="shared" si="53"/>
        <v>MPI-M-MPI-ESM-LR_Scaled_Cluster7_repl3</v>
      </c>
      <c r="AF89" s="16" t="s">
        <v>568</v>
      </c>
      <c r="AG89" s="16" t="s">
        <v>569</v>
      </c>
    </row>
    <row r="90" spans="1:33" ht="13.8">
      <c r="A90" s="7" t="str">
        <f t="shared" si="36"/>
        <v>MPI-M-MPI-ESM-LR_Scaled_Cluster7_repl4</v>
      </c>
      <c r="B90" s="8" t="s">
        <v>16</v>
      </c>
      <c r="C90" s="8" t="s">
        <v>54</v>
      </c>
      <c r="D90" s="9" t="s">
        <v>17</v>
      </c>
      <c r="E90" s="9" t="str">
        <f t="shared" si="37"/>
        <v>historical</v>
      </c>
      <c r="F90" s="8">
        <v>350</v>
      </c>
      <c r="G90" s="8" t="s">
        <v>63</v>
      </c>
      <c r="H90" s="8">
        <v>2</v>
      </c>
      <c r="I90" s="19">
        <v>4.0645289878109198E-7</v>
      </c>
      <c r="J90" s="8">
        <v>7</v>
      </c>
      <c r="K90" s="8" t="s">
        <v>162</v>
      </c>
      <c r="L90" s="8">
        <v>4</v>
      </c>
      <c r="M90" s="8">
        <v>1</v>
      </c>
      <c r="N90" s="10" t="s">
        <v>21</v>
      </c>
      <c r="O90" s="17" t="s">
        <v>328</v>
      </c>
      <c r="P90" s="10" t="str">
        <f t="shared" si="38"/>
        <v>MPI-M-MPI-ESM-LR_Scaled_Cluster7_repl4.sqlite</v>
      </c>
      <c r="Q90" s="11">
        <f t="shared" si="39"/>
        <v>11</v>
      </c>
      <c r="R90" s="16" t="str">
        <f t="shared" si="40"/>
        <v>climate_db_MPI-M-MPI-ESM-LR_historical_v4.sqlite</v>
      </c>
      <c r="S90" s="16" t="str">
        <f t="shared" si="41"/>
        <v>log/MPI-M-MPI-ESM-LR_Scaled_Cluster7_repl4.txt</v>
      </c>
      <c r="T90" s="16" t="str">
        <f t="shared" si="42"/>
        <v>init/env_file_CLUSTER07_REPL4_MPI-M-MPI-ESM-LR_historical.csv</v>
      </c>
      <c r="U90" s="16" t="str">
        <f t="shared" si="43"/>
        <v>init/env_grid_CLUSTER07_REPL4.asc</v>
      </c>
      <c r="V90" s="16" t="str">
        <f t="shared" si="44"/>
        <v>init/env_grid_CLUSTER07_REPL4.asc</v>
      </c>
      <c r="W90" s="16" t="str">
        <f t="shared" si="45"/>
        <v>trees_CLUSTER07.csv</v>
      </c>
      <c r="X90" s="16" t="str">
        <f t="shared" si="46"/>
        <v>saplings_CLUSTER07.csv</v>
      </c>
      <c r="Y90" s="16">
        <f t="shared" si="47"/>
        <v>350</v>
      </c>
      <c r="Z90" s="16" t="str">
        <f t="shared" si="48"/>
        <v>abe/no_mgmt.csv</v>
      </c>
      <c r="AA90" s="16" t="str">
        <f t="shared" si="49"/>
        <v>gis/WindModifier_cl7.asc</v>
      </c>
      <c r="AB90" s="16">
        <f t="shared" si="50"/>
        <v>4.0655289878109199E-7</v>
      </c>
      <c r="AC90" s="16" t="str">
        <f t="shared" si="51"/>
        <v>MPI-M-MPI-ESM-LR_historical_point26530</v>
      </c>
      <c r="AD90" s="16" t="str">
        <f t="shared" si="52"/>
        <v>wind_Events/Scaled_cl7_repl4.txt</v>
      </c>
      <c r="AE90" s="16" t="str">
        <f t="shared" si="53"/>
        <v>MPI-M-MPI-ESM-LR_Scaled_Cluster7_repl4</v>
      </c>
      <c r="AF90" s="16" t="s">
        <v>570</v>
      </c>
      <c r="AG90" s="16" t="s">
        <v>571</v>
      </c>
    </row>
    <row r="91" spans="1:33" ht="13.8">
      <c r="A91" s="7" t="str">
        <f t="shared" si="36"/>
        <v>MPI-M-MPI-ESM-LR_Scaled_Cluster7_repl5</v>
      </c>
      <c r="B91" s="8" t="s">
        <v>16</v>
      </c>
      <c r="C91" s="8" t="s">
        <v>54</v>
      </c>
      <c r="D91" s="9" t="s">
        <v>17</v>
      </c>
      <c r="E91" s="9" t="str">
        <f t="shared" si="37"/>
        <v>historical</v>
      </c>
      <c r="F91" s="8">
        <v>350</v>
      </c>
      <c r="G91" s="8" t="s">
        <v>63</v>
      </c>
      <c r="H91" s="8">
        <v>2</v>
      </c>
      <c r="I91" s="19">
        <v>4.0645289878109198E-7</v>
      </c>
      <c r="J91" s="8">
        <v>7</v>
      </c>
      <c r="K91" s="8" t="s">
        <v>162</v>
      </c>
      <c r="L91" s="8">
        <v>5</v>
      </c>
      <c r="M91" s="8">
        <v>1</v>
      </c>
      <c r="N91" s="10" t="s">
        <v>21</v>
      </c>
      <c r="O91" s="17" t="s">
        <v>328</v>
      </c>
      <c r="P91" s="10" t="str">
        <f t="shared" si="38"/>
        <v>MPI-M-MPI-ESM-LR_Scaled_Cluster7_repl5.sqlite</v>
      </c>
      <c r="Q91" s="11">
        <f t="shared" si="39"/>
        <v>14</v>
      </c>
      <c r="R91" s="16" t="str">
        <f t="shared" si="40"/>
        <v>climate_db_MPI-M-MPI-ESM-LR_historical_v4.sqlite</v>
      </c>
      <c r="S91" s="16" t="str">
        <f t="shared" si="41"/>
        <v>log/MPI-M-MPI-ESM-LR_Scaled_Cluster7_repl5.txt</v>
      </c>
      <c r="T91" s="16" t="str">
        <f t="shared" si="42"/>
        <v>init/env_file_CLUSTER07_REPL5_MPI-M-MPI-ESM-LR_historical.csv</v>
      </c>
      <c r="U91" s="16" t="str">
        <f t="shared" si="43"/>
        <v>init/env_grid_CLUSTER07_REPL5.asc</v>
      </c>
      <c r="V91" s="16" t="str">
        <f t="shared" si="44"/>
        <v>init/env_grid_CLUSTER07_REPL5.asc</v>
      </c>
      <c r="W91" s="16" t="str">
        <f t="shared" si="45"/>
        <v>trees_CLUSTER07.csv</v>
      </c>
      <c r="X91" s="16" t="str">
        <f t="shared" si="46"/>
        <v>saplings_CLUSTER07.csv</v>
      </c>
      <c r="Y91" s="16">
        <f t="shared" si="47"/>
        <v>350</v>
      </c>
      <c r="Z91" s="16" t="str">
        <f t="shared" si="48"/>
        <v>abe/no_mgmt.csv</v>
      </c>
      <c r="AA91" s="16" t="str">
        <f t="shared" si="49"/>
        <v>gis/WindModifier_cl7.asc</v>
      </c>
      <c r="AB91" s="16">
        <f t="shared" si="50"/>
        <v>4.0655289878109199E-7</v>
      </c>
      <c r="AC91" s="16" t="str">
        <f t="shared" si="51"/>
        <v>MPI-M-MPI-ESM-LR_historical_point26530</v>
      </c>
      <c r="AD91" s="16" t="str">
        <f t="shared" si="52"/>
        <v>wind_Events/Scaled_cl7_repl5.txt</v>
      </c>
      <c r="AE91" s="16" t="str">
        <f t="shared" si="53"/>
        <v>MPI-M-MPI-ESM-LR_Scaled_Cluster7_repl5</v>
      </c>
      <c r="AF91" s="16" t="s">
        <v>572</v>
      </c>
      <c r="AG91" s="16" t="s">
        <v>573</v>
      </c>
    </row>
    <row r="92" spans="1:33" ht="13.8">
      <c r="A92" s="7" t="str">
        <f t="shared" si="36"/>
        <v>MPI-M-MPI-ESM-LR_Scaled_Cluster8_repl1</v>
      </c>
      <c r="B92" s="8" t="s">
        <v>16</v>
      </c>
      <c r="C92" s="8" t="s">
        <v>54</v>
      </c>
      <c r="D92" s="9" t="s">
        <v>17</v>
      </c>
      <c r="E92" s="9" t="str">
        <f t="shared" si="37"/>
        <v>historical</v>
      </c>
      <c r="F92" s="8">
        <v>350</v>
      </c>
      <c r="G92" s="8" t="s">
        <v>63</v>
      </c>
      <c r="H92" s="8">
        <v>2</v>
      </c>
      <c r="I92" s="19">
        <v>4.8133740840721197E-6</v>
      </c>
      <c r="J92" s="8">
        <v>8</v>
      </c>
      <c r="K92" s="8" t="s">
        <v>171</v>
      </c>
      <c r="L92" s="8">
        <v>1</v>
      </c>
      <c r="M92" s="8">
        <v>1</v>
      </c>
      <c r="N92" s="10" t="s">
        <v>21</v>
      </c>
      <c r="O92" s="17" t="s">
        <v>328</v>
      </c>
      <c r="P92" s="10" t="str">
        <f t="shared" si="38"/>
        <v>MPI-M-MPI-ESM-LR_Scaled_Cluster8_repl1.sqlite</v>
      </c>
      <c r="Q92" s="11">
        <f t="shared" si="39"/>
        <v>2</v>
      </c>
      <c r="R92" s="16" t="str">
        <f t="shared" si="40"/>
        <v>climate_db_MPI-M-MPI-ESM-LR_historical_v4.sqlite</v>
      </c>
      <c r="S92" s="16" t="str">
        <f t="shared" si="41"/>
        <v>log/MPI-M-MPI-ESM-LR_Scaled_Cluster8_repl1.txt</v>
      </c>
      <c r="T92" s="16" t="str">
        <f t="shared" si="42"/>
        <v>init/env_file_CLUSTER08_REPL1_MPI-M-MPI-ESM-LR_historical.csv</v>
      </c>
      <c r="U92" s="16" t="str">
        <f t="shared" si="43"/>
        <v>init/env_grid_CLUSTER08_REPL1.asc</v>
      </c>
      <c r="V92" s="16" t="str">
        <f t="shared" si="44"/>
        <v>init/env_grid_CLUSTER08_REPL1.asc</v>
      </c>
      <c r="W92" s="16" t="str">
        <f t="shared" si="45"/>
        <v>trees_CLUSTER08.csv</v>
      </c>
      <c r="X92" s="16" t="str">
        <f t="shared" si="46"/>
        <v>saplings_CLUSTER08.csv</v>
      </c>
      <c r="Y92" s="16">
        <f t="shared" si="47"/>
        <v>350</v>
      </c>
      <c r="Z92" s="16" t="str">
        <f t="shared" si="48"/>
        <v>abe/no_mgmt.csv</v>
      </c>
      <c r="AA92" s="16" t="str">
        <f t="shared" si="49"/>
        <v>gis/WindModifier_cl8.asc</v>
      </c>
      <c r="AB92" s="16">
        <f t="shared" si="50"/>
        <v>4.8134740840721199E-6</v>
      </c>
      <c r="AC92" s="16" t="str">
        <f t="shared" si="51"/>
        <v>MPI-M-MPI-ESM-LR_historical_point34253</v>
      </c>
      <c r="AD92" s="16" t="str">
        <f t="shared" si="52"/>
        <v>wind_Events/Scaled_cl8_repl1.txt</v>
      </c>
      <c r="AE92" s="16" t="str">
        <f t="shared" si="53"/>
        <v>MPI-M-MPI-ESM-LR_Scaled_Cluster8_repl1</v>
      </c>
      <c r="AF92" s="16" t="s">
        <v>369</v>
      </c>
      <c r="AG92" s="16" t="s">
        <v>370</v>
      </c>
    </row>
    <row r="93" spans="1:33" ht="13.8">
      <c r="A93" s="7" t="str">
        <f t="shared" si="36"/>
        <v>MPI-M-MPI-ESM-LR_Scaled_Cluster8_repl2</v>
      </c>
      <c r="B93" s="8" t="s">
        <v>16</v>
      </c>
      <c r="C93" s="8" t="s">
        <v>54</v>
      </c>
      <c r="D93" s="9" t="s">
        <v>17</v>
      </c>
      <c r="E93" s="9" t="str">
        <f t="shared" si="37"/>
        <v>historical</v>
      </c>
      <c r="F93" s="8">
        <v>350</v>
      </c>
      <c r="G93" s="8" t="s">
        <v>63</v>
      </c>
      <c r="H93" s="8">
        <v>2</v>
      </c>
      <c r="I93" s="19">
        <v>4.8133740840721197E-6</v>
      </c>
      <c r="J93" s="8">
        <v>8</v>
      </c>
      <c r="K93" s="8" t="s">
        <v>171</v>
      </c>
      <c r="L93" s="8">
        <v>2</v>
      </c>
      <c r="M93" s="8">
        <v>1</v>
      </c>
      <c r="N93" s="10" t="s">
        <v>21</v>
      </c>
      <c r="O93" s="17" t="s">
        <v>328</v>
      </c>
      <c r="P93" s="10" t="str">
        <f t="shared" si="38"/>
        <v>MPI-M-MPI-ESM-LR_Scaled_Cluster8_repl2.sqlite</v>
      </c>
      <c r="Q93" s="11">
        <f t="shared" si="39"/>
        <v>5</v>
      </c>
      <c r="R93" s="16" t="str">
        <f t="shared" si="40"/>
        <v>climate_db_MPI-M-MPI-ESM-LR_historical_v4.sqlite</v>
      </c>
      <c r="S93" s="16" t="str">
        <f t="shared" si="41"/>
        <v>log/MPI-M-MPI-ESM-LR_Scaled_Cluster8_repl2.txt</v>
      </c>
      <c r="T93" s="16" t="str">
        <f t="shared" si="42"/>
        <v>init/env_file_CLUSTER08_REPL2_MPI-M-MPI-ESM-LR_historical.csv</v>
      </c>
      <c r="U93" s="16" t="str">
        <f t="shared" si="43"/>
        <v>init/env_grid_CLUSTER08_REPL2.asc</v>
      </c>
      <c r="V93" s="16" t="str">
        <f t="shared" si="44"/>
        <v>init/env_grid_CLUSTER08_REPL2.asc</v>
      </c>
      <c r="W93" s="16" t="str">
        <f t="shared" si="45"/>
        <v>trees_CLUSTER08.csv</v>
      </c>
      <c r="X93" s="16" t="str">
        <f t="shared" si="46"/>
        <v>saplings_CLUSTER08.csv</v>
      </c>
      <c r="Y93" s="16">
        <f t="shared" si="47"/>
        <v>350</v>
      </c>
      <c r="Z93" s="16" t="str">
        <f t="shared" si="48"/>
        <v>abe/no_mgmt.csv</v>
      </c>
      <c r="AA93" s="16" t="str">
        <f t="shared" si="49"/>
        <v>gis/WindModifier_cl8.asc</v>
      </c>
      <c r="AB93" s="16">
        <f t="shared" si="50"/>
        <v>4.8134740840721199E-6</v>
      </c>
      <c r="AC93" s="16" t="str">
        <f t="shared" si="51"/>
        <v>MPI-M-MPI-ESM-LR_historical_point34253</v>
      </c>
      <c r="AD93" s="16" t="str">
        <f t="shared" si="52"/>
        <v>wind_Events/Scaled_cl8_repl2.txt</v>
      </c>
      <c r="AE93" s="16" t="str">
        <f t="shared" si="53"/>
        <v>MPI-M-MPI-ESM-LR_Scaled_Cluster8_repl2</v>
      </c>
      <c r="AF93" s="16" t="s">
        <v>574</v>
      </c>
      <c r="AG93" s="16" t="s">
        <v>575</v>
      </c>
    </row>
    <row r="94" spans="1:33" ht="13.8">
      <c r="A94" s="7" t="str">
        <f t="shared" si="36"/>
        <v>MPI-M-MPI-ESM-LR_Scaled_Cluster8_repl3</v>
      </c>
      <c r="B94" s="8" t="s">
        <v>16</v>
      </c>
      <c r="C94" s="8" t="s">
        <v>54</v>
      </c>
      <c r="D94" s="9" t="s">
        <v>17</v>
      </c>
      <c r="E94" s="9" t="str">
        <f t="shared" si="37"/>
        <v>historical</v>
      </c>
      <c r="F94" s="8">
        <v>350</v>
      </c>
      <c r="G94" s="8" t="s">
        <v>63</v>
      </c>
      <c r="H94" s="8">
        <v>2</v>
      </c>
      <c r="I94" s="19">
        <v>4.8133740840721197E-6</v>
      </c>
      <c r="J94" s="8">
        <v>8</v>
      </c>
      <c r="K94" s="8" t="s">
        <v>171</v>
      </c>
      <c r="L94" s="8">
        <v>3</v>
      </c>
      <c r="M94" s="8">
        <v>1</v>
      </c>
      <c r="N94" s="10" t="s">
        <v>21</v>
      </c>
      <c r="O94" s="17" t="s">
        <v>328</v>
      </c>
      <c r="P94" s="10" t="str">
        <f t="shared" si="38"/>
        <v>MPI-M-MPI-ESM-LR_Scaled_Cluster8_repl3.sqlite</v>
      </c>
      <c r="Q94" s="11">
        <f t="shared" si="39"/>
        <v>8</v>
      </c>
      <c r="R94" s="16" t="str">
        <f t="shared" si="40"/>
        <v>climate_db_MPI-M-MPI-ESM-LR_historical_v4.sqlite</v>
      </c>
      <c r="S94" s="16" t="str">
        <f t="shared" si="41"/>
        <v>log/MPI-M-MPI-ESM-LR_Scaled_Cluster8_repl3.txt</v>
      </c>
      <c r="T94" s="16" t="str">
        <f t="shared" si="42"/>
        <v>init/env_file_CLUSTER08_REPL3_MPI-M-MPI-ESM-LR_historical.csv</v>
      </c>
      <c r="U94" s="16" t="str">
        <f t="shared" si="43"/>
        <v>init/env_grid_CLUSTER08_REPL3.asc</v>
      </c>
      <c r="V94" s="16" t="str">
        <f t="shared" si="44"/>
        <v>init/env_grid_CLUSTER08_REPL3.asc</v>
      </c>
      <c r="W94" s="16" t="str">
        <f t="shared" si="45"/>
        <v>trees_CLUSTER08.csv</v>
      </c>
      <c r="X94" s="16" t="str">
        <f t="shared" si="46"/>
        <v>saplings_CLUSTER08.csv</v>
      </c>
      <c r="Y94" s="16">
        <f t="shared" si="47"/>
        <v>350</v>
      </c>
      <c r="Z94" s="16" t="str">
        <f t="shared" si="48"/>
        <v>abe/no_mgmt.csv</v>
      </c>
      <c r="AA94" s="16" t="str">
        <f t="shared" si="49"/>
        <v>gis/WindModifier_cl8.asc</v>
      </c>
      <c r="AB94" s="16">
        <f t="shared" si="50"/>
        <v>4.8134740840721199E-6</v>
      </c>
      <c r="AC94" s="16" t="str">
        <f t="shared" si="51"/>
        <v>MPI-M-MPI-ESM-LR_historical_point34253</v>
      </c>
      <c r="AD94" s="16" t="str">
        <f t="shared" si="52"/>
        <v>wind_Events/Scaled_cl8_repl3.txt</v>
      </c>
      <c r="AE94" s="16" t="str">
        <f t="shared" si="53"/>
        <v>MPI-M-MPI-ESM-LR_Scaled_Cluster8_repl3</v>
      </c>
      <c r="AF94" s="16" t="s">
        <v>576</v>
      </c>
      <c r="AG94" s="16" t="s">
        <v>577</v>
      </c>
    </row>
    <row r="95" spans="1:33" ht="13.8">
      <c r="A95" s="7" t="str">
        <f t="shared" si="36"/>
        <v>MPI-M-MPI-ESM-LR_Scaled_Cluster8_repl4</v>
      </c>
      <c r="B95" s="8" t="s">
        <v>16</v>
      </c>
      <c r="C95" s="8" t="s">
        <v>54</v>
      </c>
      <c r="D95" s="9" t="s">
        <v>17</v>
      </c>
      <c r="E95" s="9" t="str">
        <f t="shared" si="37"/>
        <v>historical</v>
      </c>
      <c r="F95" s="8">
        <v>350</v>
      </c>
      <c r="G95" s="8" t="s">
        <v>63</v>
      </c>
      <c r="H95" s="8">
        <v>2</v>
      </c>
      <c r="I95" s="19">
        <v>4.8133740840721197E-6</v>
      </c>
      <c r="J95" s="8">
        <v>8</v>
      </c>
      <c r="K95" s="8" t="s">
        <v>171</v>
      </c>
      <c r="L95" s="8">
        <v>4</v>
      </c>
      <c r="M95" s="8">
        <v>1</v>
      </c>
      <c r="N95" s="10" t="s">
        <v>21</v>
      </c>
      <c r="O95" s="17" t="s">
        <v>328</v>
      </c>
      <c r="P95" s="10" t="str">
        <f t="shared" si="38"/>
        <v>MPI-M-MPI-ESM-LR_Scaled_Cluster8_repl4.sqlite</v>
      </c>
      <c r="Q95" s="11">
        <f t="shared" si="39"/>
        <v>11</v>
      </c>
      <c r="R95" s="16" t="str">
        <f t="shared" si="40"/>
        <v>climate_db_MPI-M-MPI-ESM-LR_historical_v4.sqlite</v>
      </c>
      <c r="S95" s="16" t="str">
        <f t="shared" si="41"/>
        <v>log/MPI-M-MPI-ESM-LR_Scaled_Cluster8_repl4.txt</v>
      </c>
      <c r="T95" s="16" t="str">
        <f t="shared" si="42"/>
        <v>init/env_file_CLUSTER08_REPL4_MPI-M-MPI-ESM-LR_historical.csv</v>
      </c>
      <c r="U95" s="16" t="str">
        <f t="shared" si="43"/>
        <v>init/env_grid_CLUSTER08_REPL4.asc</v>
      </c>
      <c r="V95" s="16" t="str">
        <f t="shared" si="44"/>
        <v>init/env_grid_CLUSTER08_REPL4.asc</v>
      </c>
      <c r="W95" s="16" t="str">
        <f t="shared" si="45"/>
        <v>trees_CLUSTER08.csv</v>
      </c>
      <c r="X95" s="16" t="str">
        <f t="shared" si="46"/>
        <v>saplings_CLUSTER08.csv</v>
      </c>
      <c r="Y95" s="16">
        <f t="shared" si="47"/>
        <v>350</v>
      </c>
      <c r="Z95" s="16" t="str">
        <f t="shared" si="48"/>
        <v>abe/no_mgmt.csv</v>
      </c>
      <c r="AA95" s="16" t="str">
        <f t="shared" si="49"/>
        <v>gis/WindModifier_cl8.asc</v>
      </c>
      <c r="AB95" s="16">
        <f t="shared" si="50"/>
        <v>4.8134740840721199E-6</v>
      </c>
      <c r="AC95" s="16" t="str">
        <f t="shared" si="51"/>
        <v>MPI-M-MPI-ESM-LR_historical_point34253</v>
      </c>
      <c r="AD95" s="16" t="str">
        <f t="shared" si="52"/>
        <v>wind_Events/Scaled_cl8_repl4.txt</v>
      </c>
      <c r="AE95" s="16" t="str">
        <f t="shared" si="53"/>
        <v>MPI-M-MPI-ESM-LR_Scaled_Cluster8_repl4</v>
      </c>
      <c r="AF95" s="16" t="s">
        <v>578</v>
      </c>
      <c r="AG95" s="16" t="s">
        <v>579</v>
      </c>
    </row>
    <row r="96" spans="1:33" ht="13.8">
      <c r="A96" s="7" t="str">
        <f t="shared" si="36"/>
        <v>MPI-M-MPI-ESM-LR_Scaled_Cluster8_repl5</v>
      </c>
      <c r="B96" s="8" t="s">
        <v>16</v>
      </c>
      <c r="C96" s="8" t="s">
        <v>54</v>
      </c>
      <c r="D96" s="9" t="s">
        <v>17</v>
      </c>
      <c r="E96" s="9" t="str">
        <f t="shared" si="37"/>
        <v>historical</v>
      </c>
      <c r="F96" s="8">
        <v>350</v>
      </c>
      <c r="G96" s="8" t="s">
        <v>63</v>
      </c>
      <c r="H96" s="8">
        <v>2</v>
      </c>
      <c r="I96" s="19">
        <v>4.8133740840721197E-6</v>
      </c>
      <c r="J96" s="8">
        <v>8</v>
      </c>
      <c r="K96" s="8" t="s">
        <v>171</v>
      </c>
      <c r="L96" s="8">
        <v>5</v>
      </c>
      <c r="M96" s="8">
        <v>1</v>
      </c>
      <c r="N96" s="10" t="s">
        <v>21</v>
      </c>
      <c r="O96" s="17" t="s">
        <v>328</v>
      </c>
      <c r="P96" s="10" t="str">
        <f t="shared" si="38"/>
        <v>MPI-M-MPI-ESM-LR_Scaled_Cluster8_repl5.sqlite</v>
      </c>
      <c r="Q96" s="11">
        <f t="shared" si="39"/>
        <v>14</v>
      </c>
      <c r="R96" s="16" t="str">
        <f t="shared" si="40"/>
        <v>climate_db_MPI-M-MPI-ESM-LR_historical_v4.sqlite</v>
      </c>
      <c r="S96" s="16" t="str">
        <f t="shared" si="41"/>
        <v>log/MPI-M-MPI-ESM-LR_Scaled_Cluster8_repl5.txt</v>
      </c>
      <c r="T96" s="16" t="str">
        <f t="shared" si="42"/>
        <v>init/env_file_CLUSTER08_REPL5_MPI-M-MPI-ESM-LR_historical.csv</v>
      </c>
      <c r="U96" s="16" t="str">
        <f t="shared" si="43"/>
        <v>init/env_grid_CLUSTER08_REPL5.asc</v>
      </c>
      <c r="V96" s="16" t="str">
        <f t="shared" si="44"/>
        <v>init/env_grid_CLUSTER08_REPL5.asc</v>
      </c>
      <c r="W96" s="16" t="str">
        <f t="shared" si="45"/>
        <v>trees_CLUSTER08.csv</v>
      </c>
      <c r="X96" s="16" t="str">
        <f t="shared" si="46"/>
        <v>saplings_CLUSTER08.csv</v>
      </c>
      <c r="Y96" s="16">
        <f t="shared" si="47"/>
        <v>350</v>
      </c>
      <c r="Z96" s="16" t="str">
        <f t="shared" si="48"/>
        <v>abe/no_mgmt.csv</v>
      </c>
      <c r="AA96" s="16" t="str">
        <f t="shared" si="49"/>
        <v>gis/WindModifier_cl8.asc</v>
      </c>
      <c r="AB96" s="16">
        <f t="shared" si="50"/>
        <v>4.8134740840721199E-6</v>
      </c>
      <c r="AC96" s="16" t="str">
        <f t="shared" si="51"/>
        <v>MPI-M-MPI-ESM-LR_historical_point34253</v>
      </c>
      <c r="AD96" s="16" t="str">
        <f t="shared" si="52"/>
        <v>wind_Events/Scaled_cl8_repl5.txt</v>
      </c>
      <c r="AE96" s="16" t="str">
        <f t="shared" si="53"/>
        <v>MPI-M-MPI-ESM-LR_Scaled_Cluster8_repl5</v>
      </c>
      <c r="AF96" s="16" t="s">
        <v>580</v>
      </c>
      <c r="AG96" s="16" t="s">
        <v>581</v>
      </c>
    </row>
    <row r="97" spans="1:33" ht="13.8">
      <c r="A97" s="7" t="str">
        <f t="shared" si="36"/>
        <v>MPI-M-MPI-ESM-LR_Scaled_Cluster10_repl1</v>
      </c>
      <c r="B97" s="8" t="s">
        <v>16</v>
      </c>
      <c r="C97" s="8" t="s">
        <v>54</v>
      </c>
      <c r="D97" s="9" t="s">
        <v>17</v>
      </c>
      <c r="E97" s="9" t="str">
        <f t="shared" si="37"/>
        <v>historical</v>
      </c>
      <c r="F97" s="8">
        <v>350</v>
      </c>
      <c r="G97" s="8" t="s">
        <v>63</v>
      </c>
      <c r="H97" s="8">
        <v>2</v>
      </c>
      <c r="I97" s="19">
        <v>2.5405658160224899E-6</v>
      </c>
      <c r="J97" s="8">
        <v>10</v>
      </c>
      <c r="K97" s="8" t="s">
        <v>172</v>
      </c>
      <c r="L97" s="8">
        <v>1</v>
      </c>
      <c r="M97" s="8">
        <v>1</v>
      </c>
      <c r="N97" s="10" t="s">
        <v>21</v>
      </c>
      <c r="O97" s="17" t="s">
        <v>328</v>
      </c>
      <c r="P97" s="10" t="str">
        <f t="shared" si="38"/>
        <v>MPI-M-MPI-ESM-LR_Scaled_Cluster10_repl1.sqlite</v>
      </c>
      <c r="Q97" s="11">
        <f t="shared" si="39"/>
        <v>2</v>
      </c>
      <c r="R97" s="16" t="str">
        <f t="shared" si="40"/>
        <v>climate_db_MPI-M-MPI-ESM-LR_historical_v4.sqlite</v>
      </c>
      <c r="S97" s="16" t="str">
        <f t="shared" si="41"/>
        <v>log/MPI-M-MPI-ESM-LR_Scaled_Cluster10_repl1.txt</v>
      </c>
      <c r="T97" s="16" t="str">
        <f t="shared" si="42"/>
        <v>init/env_file_CLUSTER10_REPL1_MPI-M-MPI-ESM-LR_historical.csv</v>
      </c>
      <c r="U97" s="16" t="str">
        <f t="shared" si="43"/>
        <v>init/env_grid_CLUSTER10_REPL1.asc</v>
      </c>
      <c r="V97" s="16" t="str">
        <f t="shared" si="44"/>
        <v>init/env_grid_CLUSTER10_REPL1.asc</v>
      </c>
      <c r="W97" s="16" t="str">
        <f t="shared" si="45"/>
        <v>trees_CLUSTER10.csv</v>
      </c>
      <c r="X97" s="16" t="str">
        <f t="shared" si="46"/>
        <v>saplings_CLUSTER10.csv</v>
      </c>
      <c r="Y97" s="16">
        <f t="shared" si="47"/>
        <v>350</v>
      </c>
      <c r="Z97" s="16" t="str">
        <f t="shared" si="48"/>
        <v>abe/no_mgmt.csv</v>
      </c>
      <c r="AA97" s="16" t="str">
        <f t="shared" si="49"/>
        <v>gis/WindModifier_cl10.asc</v>
      </c>
      <c r="AB97" s="16">
        <f t="shared" si="50"/>
        <v>2.5406658160224897E-6</v>
      </c>
      <c r="AC97" s="16" t="str">
        <f t="shared" si="51"/>
        <v>MPI-M-MPI-ESM-LR_historical_point37861</v>
      </c>
      <c r="AD97" s="16" t="str">
        <f t="shared" si="52"/>
        <v>wind_Events/Scaled_cl10_repl1.txt</v>
      </c>
      <c r="AE97" s="16" t="str">
        <f t="shared" si="53"/>
        <v>MPI-M-MPI-ESM-LR_Scaled_Cluster10_repl1</v>
      </c>
      <c r="AF97" s="16" t="s">
        <v>372</v>
      </c>
      <c r="AG97" s="16" t="s">
        <v>82</v>
      </c>
    </row>
    <row r="98" spans="1:33" ht="13.8">
      <c r="A98" s="7" t="str">
        <f t="shared" ref="A98:A129" si="54" xml:space="preserve"> G98 &amp; "_" &amp; C98 &amp;"Cluster" &amp; J98 &amp; "_repl" &amp; L98</f>
        <v>MPI-M-MPI-ESM-LR_Scaled_Cluster10_repl2</v>
      </c>
      <c r="B98" s="8" t="s">
        <v>16</v>
      </c>
      <c r="C98" s="8" t="s">
        <v>54</v>
      </c>
      <c r="D98" s="9" t="s">
        <v>17</v>
      </c>
      <c r="E98" s="9" t="str">
        <f t="shared" ref="E98:E129" si="55">IF(D98="historical", "historical", IF(D98="RCP26", "rcp_2_6", IF(D98="RCP45", "rcp_4_5", "rcp_8_5")))</f>
        <v>historical</v>
      </c>
      <c r="F98" s="8">
        <v>350</v>
      </c>
      <c r="G98" s="8" t="s">
        <v>63</v>
      </c>
      <c r="H98" s="8">
        <v>2</v>
      </c>
      <c r="I98" s="19">
        <v>2.5405658160224899E-6</v>
      </c>
      <c r="J98" s="8">
        <v>10</v>
      </c>
      <c r="K98" s="8" t="s">
        <v>172</v>
      </c>
      <c r="L98" s="8">
        <v>2</v>
      </c>
      <c r="M98" s="8">
        <v>1</v>
      </c>
      <c r="N98" s="10" t="s">
        <v>21</v>
      </c>
      <c r="O98" s="17" t="s">
        <v>328</v>
      </c>
      <c r="P98" s="10" t="str">
        <f t="shared" ref="P98:P129" si="56">A98  &amp; ".sqlite"</f>
        <v>MPI-M-MPI-ESM-LR_Scaled_Cluster10_repl2.sqlite</v>
      </c>
      <c r="Q98" s="11">
        <f t="shared" ref="Q98:Q129" si="57">(L98-1)*3+H98</f>
        <v>5</v>
      </c>
      <c r="R98" s="16" t="str">
        <f t="shared" ref="R98:R129" si="58">"climate_db_" &amp; G98&amp; "_" &amp;  E98&amp; "_v4.sqlite"</f>
        <v>climate_db_MPI-M-MPI-ESM-LR_historical_v4.sqlite</v>
      </c>
      <c r="S98" s="16" t="str">
        <f t="shared" ref="S98:S129" si="59">"log/" &amp;A98  &amp; ".txt"</f>
        <v>log/MPI-M-MPI-ESM-LR_Scaled_Cluster10_repl2.txt</v>
      </c>
      <c r="T98" s="16" t="str">
        <f t="shared" ref="T98:T129" si="60">"init/env_file_CLUSTER" &amp; TEXT(J98, "00") &amp; "_REPL" &amp; L98 &amp; "_" &amp; G98 &amp; "_" &amp; E98 &amp; ".csv"</f>
        <v>init/env_file_CLUSTER10_REPL2_MPI-M-MPI-ESM-LR_historical.csv</v>
      </c>
      <c r="U98" s="16" t="str">
        <f t="shared" ref="U98:U129" si="61">"init/env_grid_CLUSTER" &amp; TEXT(J98, "00") &amp; "_REPL" &amp; L98 &amp; ".asc"</f>
        <v>init/env_grid_CLUSTER10_REPL2.asc</v>
      </c>
      <c r="V98" s="16" t="str">
        <f t="shared" ref="V98:V129" si="62">U98</f>
        <v>init/env_grid_CLUSTER10_REPL2.asc</v>
      </c>
      <c r="W98" s="16" t="str">
        <f t="shared" ref="W98:W129" si="63">"trees_CLUSTER" &amp; TEXT(J98, "00")  &amp; ".csv"</f>
        <v>trees_CLUSTER10.csv</v>
      </c>
      <c r="X98" s="16" t="str">
        <f t="shared" ref="X98:X129" si="64">"saplings_CLUSTER" &amp; TEXT(J98, "00")  &amp; ".csv"</f>
        <v>saplings_CLUSTER10.csv</v>
      </c>
      <c r="Y98" s="16">
        <f t="shared" ref="Y98:Y129" si="65">F98</f>
        <v>350</v>
      </c>
      <c r="Z98" s="16" t="str">
        <f t="shared" ref="Z98:Z129" si="66">"abe/no_mgmt.csv"</f>
        <v>abe/no_mgmt.csv</v>
      </c>
      <c r="AA98" s="16" t="str">
        <f t="shared" ref="AA98:AA129" si="67">"gis/WindModifier_cl" &amp; J98 &amp; ".asc"</f>
        <v>gis/WindModifier_cl10.asc</v>
      </c>
      <c r="AB98" s="16">
        <f t="shared" ref="AB98:AB129" si="68">IF(C98="Scaled_", I98+0.0000000001,  0.000685)</f>
        <v>2.5406658160224897E-6</v>
      </c>
      <c r="AC98" s="16" t="str">
        <f t="shared" ref="AC98:AC129" si="69">G98 &amp; "_" &amp; E98 &amp; "_point" &amp; K98</f>
        <v>MPI-M-MPI-ESM-LR_historical_point37861</v>
      </c>
      <c r="AD98" s="16" t="str">
        <f t="shared" ref="AD98:AD129" si="70">"wind_Events/" &amp; C98 &amp; "cl" &amp; J98 &amp; "_repl" &amp; L98 &amp; ".txt"</f>
        <v>wind_Events/Scaled_cl10_repl2.txt</v>
      </c>
      <c r="AE98" s="16" t="str">
        <f t="shared" ref="AE98:AE129" si="71">A98</f>
        <v>MPI-M-MPI-ESM-LR_Scaled_Cluster10_repl2</v>
      </c>
      <c r="AF98" s="16" t="s">
        <v>582</v>
      </c>
      <c r="AG98" s="16" t="s">
        <v>583</v>
      </c>
    </row>
    <row r="99" spans="1:33" ht="13.8">
      <c r="A99" s="7" t="str">
        <f t="shared" si="54"/>
        <v>MPI-M-MPI-ESM-LR_Scaled_Cluster10_repl3</v>
      </c>
      <c r="B99" s="8" t="s">
        <v>16</v>
      </c>
      <c r="C99" s="8" t="s">
        <v>54</v>
      </c>
      <c r="D99" s="9" t="s">
        <v>17</v>
      </c>
      <c r="E99" s="9" t="str">
        <f t="shared" si="55"/>
        <v>historical</v>
      </c>
      <c r="F99" s="8">
        <v>350</v>
      </c>
      <c r="G99" s="8" t="s">
        <v>63</v>
      </c>
      <c r="H99" s="8">
        <v>2</v>
      </c>
      <c r="I99" s="19">
        <v>2.5405658160224899E-6</v>
      </c>
      <c r="J99" s="8">
        <v>10</v>
      </c>
      <c r="K99" s="8" t="s">
        <v>172</v>
      </c>
      <c r="L99" s="8">
        <v>3</v>
      </c>
      <c r="M99" s="8">
        <v>1</v>
      </c>
      <c r="N99" s="10" t="s">
        <v>21</v>
      </c>
      <c r="O99" s="17" t="s">
        <v>328</v>
      </c>
      <c r="P99" s="10" t="str">
        <f t="shared" si="56"/>
        <v>MPI-M-MPI-ESM-LR_Scaled_Cluster10_repl3.sqlite</v>
      </c>
      <c r="Q99" s="11">
        <f t="shared" si="57"/>
        <v>8</v>
      </c>
      <c r="R99" s="16" t="str">
        <f t="shared" si="58"/>
        <v>climate_db_MPI-M-MPI-ESM-LR_historical_v4.sqlite</v>
      </c>
      <c r="S99" s="16" t="str">
        <f t="shared" si="59"/>
        <v>log/MPI-M-MPI-ESM-LR_Scaled_Cluster10_repl3.txt</v>
      </c>
      <c r="T99" s="16" t="str">
        <f t="shared" si="60"/>
        <v>init/env_file_CLUSTER10_REPL3_MPI-M-MPI-ESM-LR_historical.csv</v>
      </c>
      <c r="U99" s="16" t="str">
        <f t="shared" si="61"/>
        <v>init/env_grid_CLUSTER10_REPL3.asc</v>
      </c>
      <c r="V99" s="16" t="str">
        <f t="shared" si="62"/>
        <v>init/env_grid_CLUSTER10_REPL3.asc</v>
      </c>
      <c r="W99" s="16" t="str">
        <f t="shared" si="63"/>
        <v>trees_CLUSTER10.csv</v>
      </c>
      <c r="X99" s="16" t="str">
        <f t="shared" si="64"/>
        <v>saplings_CLUSTER10.csv</v>
      </c>
      <c r="Y99" s="16">
        <f t="shared" si="65"/>
        <v>350</v>
      </c>
      <c r="Z99" s="16" t="str">
        <f t="shared" si="66"/>
        <v>abe/no_mgmt.csv</v>
      </c>
      <c r="AA99" s="16" t="str">
        <f t="shared" si="67"/>
        <v>gis/WindModifier_cl10.asc</v>
      </c>
      <c r="AB99" s="16">
        <f t="shared" si="68"/>
        <v>2.5406658160224897E-6</v>
      </c>
      <c r="AC99" s="16" t="str">
        <f t="shared" si="69"/>
        <v>MPI-M-MPI-ESM-LR_historical_point37861</v>
      </c>
      <c r="AD99" s="16" t="str">
        <f t="shared" si="70"/>
        <v>wind_Events/Scaled_cl10_repl3.txt</v>
      </c>
      <c r="AE99" s="16" t="str">
        <f t="shared" si="71"/>
        <v>MPI-M-MPI-ESM-LR_Scaled_Cluster10_repl3</v>
      </c>
      <c r="AF99" s="16" t="s">
        <v>584</v>
      </c>
      <c r="AG99" s="16" t="s">
        <v>585</v>
      </c>
    </row>
    <row r="100" spans="1:33" ht="13.8">
      <c r="A100" s="7" t="str">
        <f t="shared" si="54"/>
        <v>MPI-M-MPI-ESM-LR_Scaled_Cluster10_repl4</v>
      </c>
      <c r="B100" s="8" t="s">
        <v>16</v>
      </c>
      <c r="C100" s="8" t="s">
        <v>54</v>
      </c>
      <c r="D100" s="9" t="s">
        <v>17</v>
      </c>
      <c r="E100" s="9" t="str">
        <f t="shared" si="55"/>
        <v>historical</v>
      </c>
      <c r="F100" s="8">
        <v>350</v>
      </c>
      <c r="G100" s="8" t="s">
        <v>63</v>
      </c>
      <c r="H100" s="8">
        <v>2</v>
      </c>
      <c r="I100" s="19">
        <v>2.5405658160224899E-6</v>
      </c>
      <c r="J100" s="8">
        <v>10</v>
      </c>
      <c r="K100" s="8" t="s">
        <v>172</v>
      </c>
      <c r="L100" s="8">
        <v>4</v>
      </c>
      <c r="M100" s="8">
        <v>1</v>
      </c>
      <c r="N100" s="10" t="s">
        <v>21</v>
      </c>
      <c r="O100" s="17" t="s">
        <v>328</v>
      </c>
      <c r="P100" s="10" t="str">
        <f t="shared" si="56"/>
        <v>MPI-M-MPI-ESM-LR_Scaled_Cluster10_repl4.sqlite</v>
      </c>
      <c r="Q100" s="11">
        <f t="shared" si="57"/>
        <v>11</v>
      </c>
      <c r="R100" s="16" t="str">
        <f t="shared" si="58"/>
        <v>climate_db_MPI-M-MPI-ESM-LR_historical_v4.sqlite</v>
      </c>
      <c r="S100" s="16" t="str">
        <f t="shared" si="59"/>
        <v>log/MPI-M-MPI-ESM-LR_Scaled_Cluster10_repl4.txt</v>
      </c>
      <c r="T100" s="16" t="str">
        <f t="shared" si="60"/>
        <v>init/env_file_CLUSTER10_REPL4_MPI-M-MPI-ESM-LR_historical.csv</v>
      </c>
      <c r="U100" s="16" t="str">
        <f t="shared" si="61"/>
        <v>init/env_grid_CLUSTER10_REPL4.asc</v>
      </c>
      <c r="V100" s="16" t="str">
        <f t="shared" si="62"/>
        <v>init/env_grid_CLUSTER10_REPL4.asc</v>
      </c>
      <c r="W100" s="16" t="str">
        <f t="shared" si="63"/>
        <v>trees_CLUSTER10.csv</v>
      </c>
      <c r="X100" s="16" t="str">
        <f t="shared" si="64"/>
        <v>saplings_CLUSTER10.csv</v>
      </c>
      <c r="Y100" s="16">
        <f t="shared" si="65"/>
        <v>350</v>
      </c>
      <c r="Z100" s="16" t="str">
        <f t="shared" si="66"/>
        <v>abe/no_mgmt.csv</v>
      </c>
      <c r="AA100" s="16" t="str">
        <f t="shared" si="67"/>
        <v>gis/WindModifier_cl10.asc</v>
      </c>
      <c r="AB100" s="16">
        <f t="shared" si="68"/>
        <v>2.5406658160224897E-6</v>
      </c>
      <c r="AC100" s="16" t="str">
        <f t="shared" si="69"/>
        <v>MPI-M-MPI-ESM-LR_historical_point37861</v>
      </c>
      <c r="AD100" s="16" t="str">
        <f t="shared" si="70"/>
        <v>wind_Events/Scaled_cl10_repl4.txt</v>
      </c>
      <c r="AE100" s="16" t="str">
        <f t="shared" si="71"/>
        <v>MPI-M-MPI-ESM-LR_Scaled_Cluster10_repl4</v>
      </c>
      <c r="AF100" s="16" t="s">
        <v>586</v>
      </c>
      <c r="AG100" s="16" t="s">
        <v>587</v>
      </c>
    </row>
    <row r="101" spans="1:33" ht="13.8">
      <c r="A101" s="7" t="str">
        <f t="shared" si="54"/>
        <v>MPI-M-MPI-ESM-LR_Scaled_Cluster10_repl5</v>
      </c>
      <c r="B101" s="8" t="s">
        <v>16</v>
      </c>
      <c r="C101" s="8" t="s">
        <v>54</v>
      </c>
      <c r="D101" s="9" t="s">
        <v>17</v>
      </c>
      <c r="E101" s="9" t="str">
        <f t="shared" si="55"/>
        <v>historical</v>
      </c>
      <c r="F101" s="8">
        <v>350</v>
      </c>
      <c r="G101" s="8" t="s">
        <v>63</v>
      </c>
      <c r="H101" s="8">
        <v>2</v>
      </c>
      <c r="I101" s="19">
        <v>2.5405658160224899E-6</v>
      </c>
      <c r="J101" s="8">
        <v>10</v>
      </c>
      <c r="K101" s="8" t="s">
        <v>172</v>
      </c>
      <c r="L101" s="8">
        <v>5</v>
      </c>
      <c r="M101" s="8">
        <v>1</v>
      </c>
      <c r="N101" s="10" t="s">
        <v>21</v>
      </c>
      <c r="O101" s="17" t="s">
        <v>328</v>
      </c>
      <c r="P101" s="10" t="str">
        <f t="shared" si="56"/>
        <v>MPI-M-MPI-ESM-LR_Scaled_Cluster10_repl5.sqlite</v>
      </c>
      <c r="Q101" s="11">
        <f t="shared" si="57"/>
        <v>14</v>
      </c>
      <c r="R101" s="16" t="str">
        <f t="shared" si="58"/>
        <v>climate_db_MPI-M-MPI-ESM-LR_historical_v4.sqlite</v>
      </c>
      <c r="S101" s="16" t="str">
        <f t="shared" si="59"/>
        <v>log/MPI-M-MPI-ESM-LR_Scaled_Cluster10_repl5.txt</v>
      </c>
      <c r="T101" s="16" t="str">
        <f t="shared" si="60"/>
        <v>init/env_file_CLUSTER10_REPL5_MPI-M-MPI-ESM-LR_historical.csv</v>
      </c>
      <c r="U101" s="16" t="str">
        <f t="shared" si="61"/>
        <v>init/env_grid_CLUSTER10_REPL5.asc</v>
      </c>
      <c r="V101" s="16" t="str">
        <f t="shared" si="62"/>
        <v>init/env_grid_CLUSTER10_REPL5.asc</v>
      </c>
      <c r="W101" s="16" t="str">
        <f t="shared" si="63"/>
        <v>trees_CLUSTER10.csv</v>
      </c>
      <c r="X101" s="16" t="str">
        <f t="shared" si="64"/>
        <v>saplings_CLUSTER10.csv</v>
      </c>
      <c r="Y101" s="16">
        <f t="shared" si="65"/>
        <v>350</v>
      </c>
      <c r="Z101" s="16" t="str">
        <f t="shared" si="66"/>
        <v>abe/no_mgmt.csv</v>
      </c>
      <c r="AA101" s="16" t="str">
        <f t="shared" si="67"/>
        <v>gis/WindModifier_cl10.asc</v>
      </c>
      <c r="AB101" s="16">
        <f t="shared" si="68"/>
        <v>2.5406658160224897E-6</v>
      </c>
      <c r="AC101" s="16" t="str">
        <f t="shared" si="69"/>
        <v>MPI-M-MPI-ESM-LR_historical_point37861</v>
      </c>
      <c r="AD101" s="16" t="str">
        <f t="shared" si="70"/>
        <v>wind_Events/Scaled_cl10_repl5.txt</v>
      </c>
      <c r="AE101" s="16" t="str">
        <f t="shared" si="71"/>
        <v>MPI-M-MPI-ESM-LR_Scaled_Cluster10_repl5</v>
      </c>
      <c r="AF101" s="16" t="s">
        <v>588</v>
      </c>
      <c r="AG101" s="16" t="s">
        <v>589</v>
      </c>
    </row>
    <row r="102" spans="1:33" ht="13.8">
      <c r="A102" s="7" t="str">
        <f t="shared" si="54"/>
        <v>MPI-M-MPI-ESM-LR_Scaled_Cluster11_repl1</v>
      </c>
      <c r="B102" s="8" t="s">
        <v>16</v>
      </c>
      <c r="C102" s="8" t="s">
        <v>54</v>
      </c>
      <c r="D102" s="9" t="s">
        <v>17</v>
      </c>
      <c r="E102" s="9" t="str">
        <f t="shared" si="55"/>
        <v>historical</v>
      </c>
      <c r="F102" s="8">
        <v>350</v>
      </c>
      <c r="G102" s="8" t="s">
        <v>63</v>
      </c>
      <c r="H102" s="8">
        <v>2</v>
      </c>
      <c r="I102" s="19">
        <v>1.2451908062161101E-5</v>
      </c>
      <c r="J102" s="8">
        <v>11</v>
      </c>
      <c r="K102" s="8" t="s">
        <v>165</v>
      </c>
      <c r="L102" s="8">
        <v>1</v>
      </c>
      <c r="M102" s="8">
        <v>1</v>
      </c>
      <c r="N102" s="10" t="s">
        <v>21</v>
      </c>
      <c r="O102" s="17" t="s">
        <v>328</v>
      </c>
      <c r="P102" s="10" t="str">
        <f t="shared" si="56"/>
        <v>MPI-M-MPI-ESM-LR_Scaled_Cluster11_repl1.sqlite</v>
      </c>
      <c r="Q102" s="11">
        <f t="shared" si="57"/>
        <v>2</v>
      </c>
      <c r="R102" s="16" t="str">
        <f t="shared" si="58"/>
        <v>climate_db_MPI-M-MPI-ESM-LR_historical_v4.sqlite</v>
      </c>
      <c r="S102" s="16" t="str">
        <f t="shared" si="59"/>
        <v>log/MPI-M-MPI-ESM-LR_Scaled_Cluster11_repl1.txt</v>
      </c>
      <c r="T102" s="16" t="str">
        <f t="shared" si="60"/>
        <v>init/env_file_CLUSTER11_REPL1_MPI-M-MPI-ESM-LR_historical.csv</v>
      </c>
      <c r="U102" s="16" t="str">
        <f t="shared" si="61"/>
        <v>init/env_grid_CLUSTER11_REPL1.asc</v>
      </c>
      <c r="V102" s="16" t="str">
        <f t="shared" si="62"/>
        <v>init/env_grid_CLUSTER11_REPL1.asc</v>
      </c>
      <c r="W102" s="16" t="str">
        <f t="shared" si="63"/>
        <v>trees_CLUSTER11.csv</v>
      </c>
      <c r="X102" s="16" t="str">
        <f t="shared" si="64"/>
        <v>saplings_CLUSTER11.csv</v>
      </c>
      <c r="Y102" s="16">
        <f t="shared" si="65"/>
        <v>350</v>
      </c>
      <c r="Z102" s="16" t="str">
        <f t="shared" si="66"/>
        <v>abe/no_mgmt.csv</v>
      </c>
      <c r="AA102" s="16" t="str">
        <f t="shared" si="67"/>
        <v>gis/WindModifier_cl11.asc</v>
      </c>
      <c r="AB102" s="16">
        <f t="shared" si="68"/>
        <v>1.2452008062161101E-5</v>
      </c>
      <c r="AC102" s="16" t="str">
        <f t="shared" si="69"/>
        <v>MPI-M-MPI-ESM-LR_historical_point29711</v>
      </c>
      <c r="AD102" s="16" t="str">
        <f t="shared" si="70"/>
        <v>wind_Events/Scaled_cl11_repl1.txt</v>
      </c>
      <c r="AE102" s="16" t="str">
        <f t="shared" si="71"/>
        <v>MPI-M-MPI-ESM-LR_Scaled_Cluster11_repl1</v>
      </c>
      <c r="AF102" s="16" t="s">
        <v>374</v>
      </c>
      <c r="AG102" s="16" t="s">
        <v>375</v>
      </c>
    </row>
    <row r="103" spans="1:33" ht="13.8">
      <c r="A103" s="7" t="str">
        <f t="shared" si="54"/>
        <v>MPI-M-MPI-ESM-LR_Scaled_Cluster11_repl2</v>
      </c>
      <c r="B103" s="8" t="s">
        <v>16</v>
      </c>
      <c r="C103" s="8" t="s">
        <v>54</v>
      </c>
      <c r="D103" s="9" t="s">
        <v>17</v>
      </c>
      <c r="E103" s="9" t="str">
        <f t="shared" si="55"/>
        <v>historical</v>
      </c>
      <c r="F103" s="8">
        <v>350</v>
      </c>
      <c r="G103" s="8" t="s">
        <v>63</v>
      </c>
      <c r="H103" s="8">
        <v>2</v>
      </c>
      <c r="I103" s="19">
        <v>1.2451908062161101E-5</v>
      </c>
      <c r="J103" s="8">
        <v>11</v>
      </c>
      <c r="K103" s="8" t="s">
        <v>165</v>
      </c>
      <c r="L103" s="8">
        <v>2</v>
      </c>
      <c r="M103" s="8">
        <v>1</v>
      </c>
      <c r="N103" s="10" t="s">
        <v>21</v>
      </c>
      <c r="O103" s="17" t="s">
        <v>328</v>
      </c>
      <c r="P103" s="10" t="str">
        <f t="shared" si="56"/>
        <v>MPI-M-MPI-ESM-LR_Scaled_Cluster11_repl2.sqlite</v>
      </c>
      <c r="Q103" s="11">
        <f t="shared" si="57"/>
        <v>5</v>
      </c>
      <c r="R103" s="16" t="str">
        <f t="shared" si="58"/>
        <v>climate_db_MPI-M-MPI-ESM-LR_historical_v4.sqlite</v>
      </c>
      <c r="S103" s="16" t="str">
        <f t="shared" si="59"/>
        <v>log/MPI-M-MPI-ESM-LR_Scaled_Cluster11_repl2.txt</v>
      </c>
      <c r="T103" s="16" t="str">
        <f t="shared" si="60"/>
        <v>init/env_file_CLUSTER11_REPL2_MPI-M-MPI-ESM-LR_historical.csv</v>
      </c>
      <c r="U103" s="16" t="str">
        <f t="shared" si="61"/>
        <v>init/env_grid_CLUSTER11_REPL2.asc</v>
      </c>
      <c r="V103" s="16" t="str">
        <f t="shared" si="62"/>
        <v>init/env_grid_CLUSTER11_REPL2.asc</v>
      </c>
      <c r="W103" s="16" t="str">
        <f t="shared" si="63"/>
        <v>trees_CLUSTER11.csv</v>
      </c>
      <c r="X103" s="16" t="str">
        <f t="shared" si="64"/>
        <v>saplings_CLUSTER11.csv</v>
      </c>
      <c r="Y103" s="16">
        <f t="shared" si="65"/>
        <v>350</v>
      </c>
      <c r="Z103" s="16" t="str">
        <f t="shared" si="66"/>
        <v>abe/no_mgmt.csv</v>
      </c>
      <c r="AA103" s="16" t="str">
        <f t="shared" si="67"/>
        <v>gis/WindModifier_cl11.asc</v>
      </c>
      <c r="AB103" s="16">
        <f t="shared" si="68"/>
        <v>1.2452008062161101E-5</v>
      </c>
      <c r="AC103" s="16" t="str">
        <f t="shared" si="69"/>
        <v>MPI-M-MPI-ESM-LR_historical_point29711</v>
      </c>
      <c r="AD103" s="16" t="str">
        <f t="shared" si="70"/>
        <v>wind_Events/Scaled_cl11_repl2.txt</v>
      </c>
      <c r="AE103" s="16" t="str">
        <f t="shared" si="71"/>
        <v>MPI-M-MPI-ESM-LR_Scaled_Cluster11_repl2</v>
      </c>
      <c r="AF103" s="16" t="s">
        <v>590</v>
      </c>
      <c r="AG103" s="16" t="s">
        <v>591</v>
      </c>
    </row>
    <row r="104" spans="1:33" ht="13.8">
      <c r="A104" s="7" t="str">
        <f t="shared" si="54"/>
        <v>MPI-M-MPI-ESM-LR_Scaled_Cluster11_repl3</v>
      </c>
      <c r="B104" s="8" t="s">
        <v>16</v>
      </c>
      <c r="C104" s="8" t="s">
        <v>54</v>
      </c>
      <c r="D104" s="9" t="s">
        <v>17</v>
      </c>
      <c r="E104" s="9" t="str">
        <f t="shared" si="55"/>
        <v>historical</v>
      </c>
      <c r="F104" s="8">
        <v>350</v>
      </c>
      <c r="G104" s="8" t="s">
        <v>63</v>
      </c>
      <c r="H104" s="8">
        <v>2</v>
      </c>
      <c r="I104" s="19">
        <v>1.2451908062161101E-5</v>
      </c>
      <c r="J104" s="8">
        <v>11</v>
      </c>
      <c r="K104" s="8" t="s">
        <v>165</v>
      </c>
      <c r="L104" s="8">
        <v>3</v>
      </c>
      <c r="M104" s="8">
        <v>1</v>
      </c>
      <c r="N104" s="10" t="s">
        <v>21</v>
      </c>
      <c r="O104" s="17" t="s">
        <v>328</v>
      </c>
      <c r="P104" s="10" t="str">
        <f t="shared" si="56"/>
        <v>MPI-M-MPI-ESM-LR_Scaled_Cluster11_repl3.sqlite</v>
      </c>
      <c r="Q104" s="11">
        <f t="shared" si="57"/>
        <v>8</v>
      </c>
      <c r="R104" s="16" t="str">
        <f t="shared" si="58"/>
        <v>climate_db_MPI-M-MPI-ESM-LR_historical_v4.sqlite</v>
      </c>
      <c r="S104" s="16" t="str">
        <f t="shared" si="59"/>
        <v>log/MPI-M-MPI-ESM-LR_Scaled_Cluster11_repl3.txt</v>
      </c>
      <c r="T104" s="16" t="str">
        <f t="shared" si="60"/>
        <v>init/env_file_CLUSTER11_REPL3_MPI-M-MPI-ESM-LR_historical.csv</v>
      </c>
      <c r="U104" s="16" t="str">
        <f t="shared" si="61"/>
        <v>init/env_grid_CLUSTER11_REPL3.asc</v>
      </c>
      <c r="V104" s="16" t="str">
        <f t="shared" si="62"/>
        <v>init/env_grid_CLUSTER11_REPL3.asc</v>
      </c>
      <c r="W104" s="16" t="str">
        <f t="shared" si="63"/>
        <v>trees_CLUSTER11.csv</v>
      </c>
      <c r="X104" s="16" t="str">
        <f t="shared" si="64"/>
        <v>saplings_CLUSTER11.csv</v>
      </c>
      <c r="Y104" s="16">
        <f t="shared" si="65"/>
        <v>350</v>
      </c>
      <c r="Z104" s="16" t="str">
        <f t="shared" si="66"/>
        <v>abe/no_mgmt.csv</v>
      </c>
      <c r="AA104" s="16" t="str">
        <f t="shared" si="67"/>
        <v>gis/WindModifier_cl11.asc</v>
      </c>
      <c r="AB104" s="16">
        <f t="shared" si="68"/>
        <v>1.2452008062161101E-5</v>
      </c>
      <c r="AC104" s="16" t="str">
        <f t="shared" si="69"/>
        <v>MPI-M-MPI-ESM-LR_historical_point29711</v>
      </c>
      <c r="AD104" s="16" t="str">
        <f t="shared" si="70"/>
        <v>wind_Events/Scaled_cl11_repl3.txt</v>
      </c>
      <c r="AE104" s="16" t="str">
        <f t="shared" si="71"/>
        <v>MPI-M-MPI-ESM-LR_Scaled_Cluster11_repl3</v>
      </c>
      <c r="AF104" s="16" t="s">
        <v>592</v>
      </c>
      <c r="AG104" s="16" t="s">
        <v>593</v>
      </c>
    </row>
    <row r="105" spans="1:33" ht="13.8">
      <c r="A105" s="7" t="str">
        <f t="shared" si="54"/>
        <v>MPI-M-MPI-ESM-LR_Scaled_Cluster11_repl4</v>
      </c>
      <c r="B105" s="8" t="s">
        <v>16</v>
      </c>
      <c r="C105" s="8" t="s">
        <v>54</v>
      </c>
      <c r="D105" s="9" t="s">
        <v>17</v>
      </c>
      <c r="E105" s="9" t="str">
        <f t="shared" si="55"/>
        <v>historical</v>
      </c>
      <c r="F105" s="8">
        <v>350</v>
      </c>
      <c r="G105" s="8" t="s">
        <v>63</v>
      </c>
      <c r="H105" s="8">
        <v>2</v>
      </c>
      <c r="I105" s="19">
        <v>1.2451908062161101E-5</v>
      </c>
      <c r="J105" s="8">
        <v>11</v>
      </c>
      <c r="K105" s="8" t="s">
        <v>165</v>
      </c>
      <c r="L105" s="8">
        <v>4</v>
      </c>
      <c r="M105" s="8">
        <v>1</v>
      </c>
      <c r="N105" s="10" t="s">
        <v>21</v>
      </c>
      <c r="O105" s="17" t="s">
        <v>328</v>
      </c>
      <c r="P105" s="10" t="str">
        <f t="shared" si="56"/>
        <v>MPI-M-MPI-ESM-LR_Scaled_Cluster11_repl4.sqlite</v>
      </c>
      <c r="Q105" s="11">
        <f t="shared" si="57"/>
        <v>11</v>
      </c>
      <c r="R105" s="16" t="str">
        <f t="shared" si="58"/>
        <v>climate_db_MPI-M-MPI-ESM-LR_historical_v4.sqlite</v>
      </c>
      <c r="S105" s="16" t="str">
        <f t="shared" si="59"/>
        <v>log/MPI-M-MPI-ESM-LR_Scaled_Cluster11_repl4.txt</v>
      </c>
      <c r="T105" s="16" t="str">
        <f t="shared" si="60"/>
        <v>init/env_file_CLUSTER11_REPL4_MPI-M-MPI-ESM-LR_historical.csv</v>
      </c>
      <c r="U105" s="16" t="str">
        <f t="shared" si="61"/>
        <v>init/env_grid_CLUSTER11_REPL4.asc</v>
      </c>
      <c r="V105" s="16" t="str">
        <f t="shared" si="62"/>
        <v>init/env_grid_CLUSTER11_REPL4.asc</v>
      </c>
      <c r="W105" s="16" t="str">
        <f t="shared" si="63"/>
        <v>trees_CLUSTER11.csv</v>
      </c>
      <c r="X105" s="16" t="str">
        <f t="shared" si="64"/>
        <v>saplings_CLUSTER11.csv</v>
      </c>
      <c r="Y105" s="16">
        <f t="shared" si="65"/>
        <v>350</v>
      </c>
      <c r="Z105" s="16" t="str">
        <f t="shared" si="66"/>
        <v>abe/no_mgmt.csv</v>
      </c>
      <c r="AA105" s="16" t="str">
        <f t="shared" si="67"/>
        <v>gis/WindModifier_cl11.asc</v>
      </c>
      <c r="AB105" s="16">
        <f t="shared" si="68"/>
        <v>1.2452008062161101E-5</v>
      </c>
      <c r="AC105" s="16" t="str">
        <f t="shared" si="69"/>
        <v>MPI-M-MPI-ESM-LR_historical_point29711</v>
      </c>
      <c r="AD105" s="16" t="str">
        <f t="shared" si="70"/>
        <v>wind_Events/Scaled_cl11_repl4.txt</v>
      </c>
      <c r="AE105" s="16" t="str">
        <f t="shared" si="71"/>
        <v>MPI-M-MPI-ESM-LR_Scaled_Cluster11_repl4</v>
      </c>
      <c r="AF105" s="16" t="s">
        <v>594</v>
      </c>
      <c r="AG105" s="16" t="s">
        <v>595</v>
      </c>
    </row>
    <row r="106" spans="1:33" ht="13.8">
      <c r="A106" s="7" t="str">
        <f t="shared" si="54"/>
        <v>MPI-M-MPI-ESM-LR_Scaled_Cluster11_repl5</v>
      </c>
      <c r="B106" s="8" t="s">
        <v>16</v>
      </c>
      <c r="C106" s="8" t="s">
        <v>54</v>
      </c>
      <c r="D106" s="9" t="s">
        <v>17</v>
      </c>
      <c r="E106" s="9" t="str">
        <f t="shared" si="55"/>
        <v>historical</v>
      </c>
      <c r="F106" s="8">
        <v>350</v>
      </c>
      <c r="G106" s="8" t="s">
        <v>63</v>
      </c>
      <c r="H106" s="8">
        <v>2</v>
      </c>
      <c r="I106" s="19">
        <v>1.2451908062161101E-5</v>
      </c>
      <c r="J106" s="8">
        <v>11</v>
      </c>
      <c r="K106" s="8" t="s">
        <v>165</v>
      </c>
      <c r="L106" s="8">
        <v>5</v>
      </c>
      <c r="M106" s="8">
        <v>1</v>
      </c>
      <c r="N106" s="10" t="s">
        <v>21</v>
      </c>
      <c r="O106" s="17" t="s">
        <v>328</v>
      </c>
      <c r="P106" s="10" t="str">
        <f t="shared" si="56"/>
        <v>MPI-M-MPI-ESM-LR_Scaled_Cluster11_repl5.sqlite</v>
      </c>
      <c r="Q106" s="11">
        <f t="shared" si="57"/>
        <v>14</v>
      </c>
      <c r="R106" s="16" t="str">
        <f t="shared" si="58"/>
        <v>climate_db_MPI-M-MPI-ESM-LR_historical_v4.sqlite</v>
      </c>
      <c r="S106" s="16" t="str">
        <f t="shared" si="59"/>
        <v>log/MPI-M-MPI-ESM-LR_Scaled_Cluster11_repl5.txt</v>
      </c>
      <c r="T106" s="16" t="str">
        <f t="shared" si="60"/>
        <v>init/env_file_CLUSTER11_REPL5_MPI-M-MPI-ESM-LR_historical.csv</v>
      </c>
      <c r="U106" s="16" t="str">
        <f t="shared" si="61"/>
        <v>init/env_grid_CLUSTER11_REPL5.asc</v>
      </c>
      <c r="V106" s="16" t="str">
        <f t="shared" si="62"/>
        <v>init/env_grid_CLUSTER11_REPL5.asc</v>
      </c>
      <c r="W106" s="16" t="str">
        <f t="shared" si="63"/>
        <v>trees_CLUSTER11.csv</v>
      </c>
      <c r="X106" s="16" t="str">
        <f t="shared" si="64"/>
        <v>saplings_CLUSTER11.csv</v>
      </c>
      <c r="Y106" s="16">
        <f t="shared" si="65"/>
        <v>350</v>
      </c>
      <c r="Z106" s="16" t="str">
        <f t="shared" si="66"/>
        <v>abe/no_mgmt.csv</v>
      </c>
      <c r="AA106" s="16" t="str">
        <f t="shared" si="67"/>
        <v>gis/WindModifier_cl11.asc</v>
      </c>
      <c r="AB106" s="16">
        <f t="shared" si="68"/>
        <v>1.2452008062161101E-5</v>
      </c>
      <c r="AC106" s="16" t="str">
        <f t="shared" si="69"/>
        <v>MPI-M-MPI-ESM-LR_historical_point29711</v>
      </c>
      <c r="AD106" s="16" t="str">
        <f t="shared" si="70"/>
        <v>wind_Events/Scaled_cl11_repl5.txt</v>
      </c>
      <c r="AE106" s="16" t="str">
        <f t="shared" si="71"/>
        <v>MPI-M-MPI-ESM-LR_Scaled_Cluster11_repl5</v>
      </c>
      <c r="AF106" s="16" t="s">
        <v>596</v>
      </c>
      <c r="AG106" s="16" t="s">
        <v>597</v>
      </c>
    </row>
    <row r="107" spans="1:33" ht="13.8">
      <c r="A107" s="7" t="str">
        <f t="shared" si="54"/>
        <v>MPI-M-MPI-ESM-LR_Scaled_Cluster12_repl1</v>
      </c>
      <c r="B107" s="8" t="s">
        <v>16</v>
      </c>
      <c r="C107" s="8" t="s">
        <v>54</v>
      </c>
      <c r="D107" s="9" t="s">
        <v>17</v>
      </c>
      <c r="E107" s="9" t="str">
        <f t="shared" si="55"/>
        <v>historical</v>
      </c>
      <c r="F107" s="8">
        <v>350</v>
      </c>
      <c r="G107" s="8" t="s">
        <v>63</v>
      </c>
      <c r="H107" s="8">
        <v>2</v>
      </c>
      <c r="I107" s="19">
        <v>5.7344370827609102E-6</v>
      </c>
      <c r="J107" s="8">
        <v>12</v>
      </c>
      <c r="K107" s="8" t="s">
        <v>166</v>
      </c>
      <c r="L107" s="8">
        <v>1</v>
      </c>
      <c r="M107" s="8">
        <v>1</v>
      </c>
      <c r="N107" s="10" t="s">
        <v>21</v>
      </c>
      <c r="O107" s="17" t="s">
        <v>328</v>
      </c>
      <c r="P107" s="10" t="str">
        <f t="shared" si="56"/>
        <v>MPI-M-MPI-ESM-LR_Scaled_Cluster12_repl1.sqlite</v>
      </c>
      <c r="Q107" s="11">
        <f t="shared" si="57"/>
        <v>2</v>
      </c>
      <c r="R107" s="16" t="str">
        <f t="shared" si="58"/>
        <v>climate_db_MPI-M-MPI-ESM-LR_historical_v4.sqlite</v>
      </c>
      <c r="S107" s="16" t="str">
        <f t="shared" si="59"/>
        <v>log/MPI-M-MPI-ESM-LR_Scaled_Cluster12_repl1.txt</v>
      </c>
      <c r="T107" s="16" t="str">
        <f t="shared" si="60"/>
        <v>init/env_file_CLUSTER12_REPL1_MPI-M-MPI-ESM-LR_historical.csv</v>
      </c>
      <c r="U107" s="16" t="str">
        <f t="shared" si="61"/>
        <v>init/env_grid_CLUSTER12_REPL1.asc</v>
      </c>
      <c r="V107" s="16" t="str">
        <f t="shared" si="62"/>
        <v>init/env_grid_CLUSTER12_REPL1.asc</v>
      </c>
      <c r="W107" s="16" t="str">
        <f t="shared" si="63"/>
        <v>trees_CLUSTER12.csv</v>
      </c>
      <c r="X107" s="16" t="str">
        <f t="shared" si="64"/>
        <v>saplings_CLUSTER12.csv</v>
      </c>
      <c r="Y107" s="16">
        <f t="shared" si="65"/>
        <v>350</v>
      </c>
      <c r="Z107" s="16" t="str">
        <f t="shared" si="66"/>
        <v>abe/no_mgmt.csv</v>
      </c>
      <c r="AA107" s="16" t="str">
        <f t="shared" si="67"/>
        <v>gis/WindModifier_cl12.asc</v>
      </c>
      <c r="AB107" s="16">
        <f t="shared" si="68"/>
        <v>5.7345370827609104E-6</v>
      </c>
      <c r="AC107" s="16" t="str">
        <f t="shared" si="69"/>
        <v>MPI-M-MPI-ESM-LR_historical_point32670</v>
      </c>
      <c r="AD107" s="16" t="str">
        <f t="shared" si="70"/>
        <v>wind_Events/Scaled_cl12_repl1.txt</v>
      </c>
      <c r="AE107" s="16" t="str">
        <f t="shared" si="71"/>
        <v>MPI-M-MPI-ESM-LR_Scaled_Cluster12_repl1</v>
      </c>
      <c r="AF107" s="16" t="s">
        <v>377</v>
      </c>
      <c r="AG107" s="16" t="s">
        <v>378</v>
      </c>
    </row>
    <row r="108" spans="1:33" ht="13.8">
      <c r="A108" s="7" t="str">
        <f t="shared" si="54"/>
        <v>MPI-M-MPI-ESM-LR_Scaled_Cluster12_repl2</v>
      </c>
      <c r="B108" s="8" t="s">
        <v>16</v>
      </c>
      <c r="C108" s="8" t="s">
        <v>54</v>
      </c>
      <c r="D108" s="9" t="s">
        <v>17</v>
      </c>
      <c r="E108" s="9" t="str">
        <f t="shared" si="55"/>
        <v>historical</v>
      </c>
      <c r="F108" s="8">
        <v>350</v>
      </c>
      <c r="G108" s="8" t="s">
        <v>63</v>
      </c>
      <c r="H108" s="8">
        <v>2</v>
      </c>
      <c r="I108" s="19">
        <v>5.7344370827609102E-6</v>
      </c>
      <c r="J108" s="8">
        <v>12</v>
      </c>
      <c r="K108" s="8" t="s">
        <v>166</v>
      </c>
      <c r="L108" s="8">
        <v>2</v>
      </c>
      <c r="M108" s="8">
        <v>1</v>
      </c>
      <c r="N108" s="10" t="s">
        <v>21</v>
      </c>
      <c r="O108" s="17" t="s">
        <v>328</v>
      </c>
      <c r="P108" s="10" t="str">
        <f t="shared" si="56"/>
        <v>MPI-M-MPI-ESM-LR_Scaled_Cluster12_repl2.sqlite</v>
      </c>
      <c r="Q108" s="11">
        <f t="shared" si="57"/>
        <v>5</v>
      </c>
      <c r="R108" s="16" t="str">
        <f t="shared" si="58"/>
        <v>climate_db_MPI-M-MPI-ESM-LR_historical_v4.sqlite</v>
      </c>
      <c r="S108" s="16" t="str">
        <f t="shared" si="59"/>
        <v>log/MPI-M-MPI-ESM-LR_Scaled_Cluster12_repl2.txt</v>
      </c>
      <c r="T108" s="16" t="str">
        <f t="shared" si="60"/>
        <v>init/env_file_CLUSTER12_REPL2_MPI-M-MPI-ESM-LR_historical.csv</v>
      </c>
      <c r="U108" s="16" t="str">
        <f t="shared" si="61"/>
        <v>init/env_grid_CLUSTER12_REPL2.asc</v>
      </c>
      <c r="V108" s="16" t="str">
        <f t="shared" si="62"/>
        <v>init/env_grid_CLUSTER12_REPL2.asc</v>
      </c>
      <c r="W108" s="16" t="str">
        <f t="shared" si="63"/>
        <v>trees_CLUSTER12.csv</v>
      </c>
      <c r="X108" s="16" t="str">
        <f t="shared" si="64"/>
        <v>saplings_CLUSTER12.csv</v>
      </c>
      <c r="Y108" s="16">
        <f t="shared" si="65"/>
        <v>350</v>
      </c>
      <c r="Z108" s="16" t="str">
        <f t="shared" si="66"/>
        <v>abe/no_mgmt.csv</v>
      </c>
      <c r="AA108" s="16" t="str">
        <f t="shared" si="67"/>
        <v>gis/WindModifier_cl12.asc</v>
      </c>
      <c r="AB108" s="16">
        <f t="shared" si="68"/>
        <v>5.7345370827609104E-6</v>
      </c>
      <c r="AC108" s="16" t="str">
        <f t="shared" si="69"/>
        <v>MPI-M-MPI-ESM-LR_historical_point32670</v>
      </c>
      <c r="AD108" s="16" t="str">
        <f t="shared" si="70"/>
        <v>wind_Events/Scaled_cl12_repl2.txt</v>
      </c>
      <c r="AE108" s="16" t="str">
        <f t="shared" si="71"/>
        <v>MPI-M-MPI-ESM-LR_Scaled_Cluster12_repl2</v>
      </c>
      <c r="AF108" s="16" t="s">
        <v>598</v>
      </c>
      <c r="AG108" s="16" t="s">
        <v>599</v>
      </c>
    </row>
    <row r="109" spans="1:33" ht="13.8">
      <c r="A109" s="7" t="str">
        <f t="shared" si="54"/>
        <v>MPI-M-MPI-ESM-LR_Scaled_Cluster12_repl3</v>
      </c>
      <c r="B109" s="8" t="s">
        <v>16</v>
      </c>
      <c r="C109" s="8" t="s">
        <v>54</v>
      </c>
      <c r="D109" s="9" t="s">
        <v>17</v>
      </c>
      <c r="E109" s="9" t="str">
        <f t="shared" si="55"/>
        <v>historical</v>
      </c>
      <c r="F109" s="8">
        <v>350</v>
      </c>
      <c r="G109" s="8" t="s">
        <v>63</v>
      </c>
      <c r="H109" s="8">
        <v>2</v>
      </c>
      <c r="I109" s="19">
        <v>5.7344370827609102E-6</v>
      </c>
      <c r="J109" s="8">
        <v>12</v>
      </c>
      <c r="K109" s="8" t="s">
        <v>166</v>
      </c>
      <c r="L109" s="8">
        <v>3</v>
      </c>
      <c r="M109" s="8">
        <v>1</v>
      </c>
      <c r="N109" s="10" t="s">
        <v>21</v>
      </c>
      <c r="O109" s="17" t="s">
        <v>328</v>
      </c>
      <c r="P109" s="10" t="str">
        <f t="shared" si="56"/>
        <v>MPI-M-MPI-ESM-LR_Scaled_Cluster12_repl3.sqlite</v>
      </c>
      <c r="Q109" s="11">
        <f t="shared" si="57"/>
        <v>8</v>
      </c>
      <c r="R109" s="16" t="str">
        <f t="shared" si="58"/>
        <v>climate_db_MPI-M-MPI-ESM-LR_historical_v4.sqlite</v>
      </c>
      <c r="S109" s="16" t="str">
        <f t="shared" si="59"/>
        <v>log/MPI-M-MPI-ESM-LR_Scaled_Cluster12_repl3.txt</v>
      </c>
      <c r="T109" s="16" t="str">
        <f t="shared" si="60"/>
        <v>init/env_file_CLUSTER12_REPL3_MPI-M-MPI-ESM-LR_historical.csv</v>
      </c>
      <c r="U109" s="16" t="str">
        <f t="shared" si="61"/>
        <v>init/env_grid_CLUSTER12_REPL3.asc</v>
      </c>
      <c r="V109" s="16" t="str">
        <f t="shared" si="62"/>
        <v>init/env_grid_CLUSTER12_REPL3.asc</v>
      </c>
      <c r="W109" s="16" t="str">
        <f t="shared" si="63"/>
        <v>trees_CLUSTER12.csv</v>
      </c>
      <c r="X109" s="16" t="str">
        <f t="shared" si="64"/>
        <v>saplings_CLUSTER12.csv</v>
      </c>
      <c r="Y109" s="16">
        <f t="shared" si="65"/>
        <v>350</v>
      </c>
      <c r="Z109" s="16" t="str">
        <f t="shared" si="66"/>
        <v>abe/no_mgmt.csv</v>
      </c>
      <c r="AA109" s="16" t="str">
        <f t="shared" si="67"/>
        <v>gis/WindModifier_cl12.asc</v>
      </c>
      <c r="AB109" s="16">
        <f t="shared" si="68"/>
        <v>5.7345370827609104E-6</v>
      </c>
      <c r="AC109" s="16" t="str">
        <f t="shared" si="69"/>
        <v>MPI-M-MPI-ESM-LR_historical_point32670</v>
      </c>
      <c r="AD109" s="16" t="str">
        <f t="shared" si="70"/>
        <v>wind_Events/Scaled_cl12_repl3.txt</v>
      </c>
      <c r="AE109" s="16" t="str">
        <f t="shared" si="71"/>
        <v>MPI-M-MPI-ESM-LR_Scaled_Cluster12_repl3</v>
      </c>
      <c r="AF109" s="16" t="s">
        <v>600</v>
      </c>
      <c r="AG109" s="16" t="s">
        <v>601</v>
      </c>
    </row>
    <row r="110" spans="1:33" ht="13.8">
      <c r="A110" s="7" t="str">
        <f t="shared" si="54"/>
        <v>MPI-M-MPI-ESM-LR_Scaled_Cluster12_repl4</v>
      </c>
      <c r="B110" s="8" t="s">
        <v>16</v>
      </c>
      <c r="C110" s="8" t="s">
        <v>54</v>
      </c>
      <c r="D110" s="9" t="s">
        <v>17</v>
      </c>
      <c r="E110" s="9" t="str">
        <f t="shared" si="55"/>
        <v>historical</v>
      </c>
      <c r="F110" s="8">
        <v>350</v>
      </c>
      <c r="G110" s="8" t="s">
        <v>63</v>
      </c>
      <c r="H110" s="8">
        <v>2</v>
      </c>
      <c r="I110" s="19">
        <v>5.7344370827609102E-6</v>
      </c>
      <c r="J110" s="8">
        <v>12</v>
      </c>
      <c r="K110" s="8" t="s">
        <v>166</v>
      </c>
      <c r="L110" s="8">
        <v>4</v>
      </c>
      <c r="M110" s="8">
        <v>1</v>
      </c>
      <c r="N110" s="10" t="s">
        <v>21</v>
      </c>
      <c r="O110" s="17" t="s">
        <v>328</v>
      </c>
      <c r="P110" s="10" t="str">
        <f t="shared" si="56"/>
        <v>MPI-M-MPI-ESM-LR_Scaled_Cluster12_repl4.sqlite</v>
      </c>
      <c r="Q110" s="11">
        <f t="shared" si="57"/>
        <v>11</v>
      </c>
      <c r="R110" s="16" t="str">
        <f t="shared" si="58"/>
        <v>climate_db_MPI-M-MPI-ESM-LR_historical_v4.sqlite</v>
      </c>
      <c r="S110" s="16" t="str">
        <f t="shared" si="59"/>
        <v>log/MPI-M-MPI-ESM-LR_Scaled_Cluster12_repl4.txt</v>
      </c>
      <c r="T110" s="16" t="str">
        <f t="shared" si="60"/>
        <v>init/env_file_CLUSTER12_REPL4_MPI-M-MPI-ESM-LR_historical.csv</v>
      </c>
      <c r="U110" s="16" t="str">
        <f t="shared" si="61"/>
        <v>init/env_grid_CLUSTER12_REPL4.asc</v>
      </c>
      <c r="V110" s="16" t="str">
        <f t="shared" si="62"/>
        <v>init/env_grid_CLUSTER12_REPL4.asc</v>
      </c>
      <c r="W110" s="16" t="str">
        <f t="shared" si="63"/>
        <v>trees_CLUSTER12.csv</v>
      </c>
      <c r="X110" s="16" t="str">
        <f t="shared" si="64"/>
        <v>saplings_CLUSTER12.csv</v>
      </c>
      <c r="Y110" s="16">
        <f t="shared" si="65"/>
        <v>350</v>
      </c>
      <c r="Z110" s="16" t="str">
        <f t="shared" si="66"/>
        <v>abe/no_mgmt.csv</v>
      </c>
      <c r="AA110" s="16" t="str">
        <f t="shared" si="67"/>
        <v>gis/WindModifier_cl12.asc</v>
      </c>
      <c r="AB110" s="16">
        <f t="shared" si="68"/>
        <v>5.7345370827609104E-6</v>
      </c>
      <c r="AC110" s="16" t="str">
        <f t="shared" si="69"/>
        <v>MPI-M-MPI-ESM-LR_historical_point32670</v>
      </c>
      <c r="AD110" s="16" t="str">
        <f t="shared" si="70"/>
        <v>wind_Events/Scaled_cl12_repl4.txt</v>
      </c>
      <c r="AE110" s="16" t="str">
        <f t="shared" si="71"/>
        <v>MPI-M-MPI-ESM-LR_Scaled_Cluster12_repl4</v>
      </c>
      <c r="AF110" s="16" t="s">
        <v>602</v>
      </c>
      <c r="AG110" s="16" t="s">
        <v>603</v>
      </c>
    </row>
    <row r="111" spans="1:33" ht="13.8">
      <c r="A111" s="7" t="str">
        <f t="shared" si="54"/>
        <v>MPI-M-MPI-ESM-LR_Scaled_Cluster12_repl5</v>
      </c>
      <c r="B111" s="8" t="s">
        <v>16</v>
      </c>
      <c r="C111" s="8" t="s">
        <v>54</v>
      </c>
      <c r="D111" s="9" t="s">
        <v>17</v>
      </c>
      <c r="E111" s="9" t="str">
        <f t="shared" si="55"/>
        <v>historical</v>
      </c>
      <c r="F111" s="8">
        <v>350</v>
      </c>
      <c r="G111" s="8" t="s">
        <v>63</v>
      </c>
      <c r="H111" s="8">
        <v>2</v>
      </c>
      <c r="I111" s="19">
        <v>5.7344370827609102E-6</v>
      </c>
      <c r="J111" s="8">
        <v>12</v>
      </c>
      <c r="K111" s="8" t="s">
        <v>166</v>
      </c>
      <c r="L111" s="8">
        <v>5</v>
      </c>
      <c r="M111" s="8">
        <v>1</v>
      </c>
      <c r="N111" s="10" t="s">
        <v>21</v>
      </c>
      <c r="O111" s="17" t="s">
        <v>328</v>
      </c>
      <c r="P111" s="10" t="str">
        <f t="shared" si="56"/>
        <v>MPI-M-MPI-ESM-LR_Scaled_Cluster12_repl5.sqlite</v>
      </c>
      <c r="Q111" s="11">
        <f t="shared" si="57"/>
        <v>14</v>
      </c>
      <c r="R111" s="16" t="str">
        <f t="shared" si="58"/>
        <v>climate_db_MPI-M-MPI-ESM-LR_historical_v4.sqlite</v>
      </c>
      <c r="S111" s="16" t="str">
        <f t="shared" si="59"/>
        <v>log/MPI-M-MPI-ESM-LR_Scaled_Cluster12_repl5.txt</v>
      </c>
      <c r="T111" s="16" t="str">
        <f t="shared" si="60"/>
        <v>init/env_file_CLUSTER12_REPL5_MPI-M-MPI-ESM-LR_historical.csv</v>
      </c>
      <c r="U111" s="16" t="str">
        <f t="shared" si="61"/>
        <v>init/env_grid_CLUSTER12_REPL5.asc</v>
      </c>
      <c r="V111" s="16" t="str">
        <f t="shared" si="62"/>
        <v>init/env_grid_CLUSTER12_REPL5.asc</v>
      </c>
      <c r="W111" s="16" t="str">
        <f t="shared" si="63"/>
        <v>trees_CLUSTER12.csv</v>
      </c>
      <c r="X111" s="16" t="str">
        <f t="shared" si="64"/>
        <v>saplings_CLUSTER12.csv</v>
      </c>
      <c r="Y111" s="16">
        <f t="shared" si="65"/>
        <v>350</v>
      </c>
      <c r="Z111" s="16" t="str">
        <f t="shared" si="66"/>
        <v>abe/no_mgmt.csv</v>
      </c>
      <c r="AA111" s="16" t="str">
        <f t="shared" si="67"/>
        <v>gis/WindModifier_cl12.asc</v>
      </c>
      <c r="AB111" s="16">
        <f t="shared" si="68"/>
        <v>5.7345370827609104E-6</v>
      </c>
      <c r="AC111" s="16" t="str">
        <f t="shared" si="69"/>
        <v>MPI-M-MPI-ESM-LR_historical_point32670</v>
      </c>
      <c r="AD111" s="16" t="str">
        <f t="shared" si="70"/>
        <v>wind_Events/Scaled_cl12_repl5.txt</v>
      </c>
      <c r="AE111" s="16" t="str">
        <f t="shared" si="71"/>
        <v>MPI-M-MPI-ESM-LR_Scaled_Cluster12_repl5</v>
      </c>
      <c r="AF111" s="16" t="s">
        <v>604</v>
      </c>
      <c r="AG111" s="16" t="s">
        <v>605</v>
      </c>
    </row>
    <row r="112" spans="1:33" ht="13.8">
      <c r="A112" s="7" t="str">
        <f t="shared" si="54"/>
        <v>MPI-M-MPI-ESM-LR_Scaled_Cluster13_repl1</v>
      </c>
      <c r="B112" s="8" t="s">
        <v>16</v>
      </c>
      <c r="C112" s="8" t="s">
        <v>54</v>
      </c>
      <c r="D112" s="9" t="s">
        <v>17</v>
      </c>
      <c r="E112" s="9" t="str">
        <f t="shared" si="55"/>
        <v>historical</v>
      </c>
      <c r="F112" s="8">
        <v>350</v>
      </c>
      <c r="G112" s="8" t="s">
        <v>63</v>
      </c>
      <c r="H112" s="8">
        <v>2</v>
      </c>
      <c r="I112" s="19">
        <v>4.1181188616223502E-7</v>
      </c>
      <c r="J112" s="8">
        <v>13</v>
      </c>
      <c r="K112" s="8" t="s">
        <v>167</v>
      </c>
      <c r="L112" s="8">
        <v>1</v>
      </c>
      <c r="M112" s="8">
        <v>1</v>
      </c>
      <c r="N112" s="10" t="s">
        <v>21</v>
      </c>
      <c r="O112" s="17" t="s">
        <v>328</v>
      </c>
      <c r="P112" s="10" t="str">
        <f t="shared" si="56"/>
        <v>MPI-M-MPI-ESM-LR_Scaled_Cluster13_repl1.sqlite</v>
      </c>
      <c r="Q112" s="11">
        <f t="shared" si="57"/>
        <v>2</v>
      </c>
      <c r="R112" s="16" t="str">
        <f t="shared" si="58"/>
        <v>climate_db_MPI-M-MPI-ESM-LR_historical_v4.sqlite</v>
      </c>
      <c r="S112" s="16" t="str">
        <f t="shared" si="59"/>
        <v>log/MPI-M-MPI-ESM-LR_Scaled_Cluster13_repl1.txt</v>
      </c>
      <c r="T112" s="16" t="str">
        <f t="shared" si="60"/>
        <v>init/env_file_CLUSTER13_REPL1_MPI-M-MPI-ESM-LR_historical.csv</v>
      </c>
      <c r="U112" s="16" t="str">
        <f t="shared" si="61"/>
        <v>init/env_grid_CLUSTER13_REPL1.asc</v>
      </c>
      <c r="V112" s="16" t="str">
        <f t="shared" si="62"/>
        <v>init/env_grid_CLUSTER13_REPL1.asc</v>
      </c>
      <c r="W112" s="16" t="str">
        <f t="shared" si="63"/>
        <v>trees_CLUSTER13.csv</v>
      </c>
      <c r="X112" s="16" t="str">
        <f t="shared" si="64"/>
        <v>saplings_CLUSTER13.csv</v>
      </c>
      <c r="Y112" s="16">
        <f t="shared" si="65"/>
        <v>350</v>
      </c>
      <c r="Z112" s="16" t="str">
        <f t="shared" si="66"/>
        <v>abe/no_mgmt.csv</v>
      </c>
      <c r="AA112" s="16" t="str">
        <f t="shared" si="67"/>
        <v>gis/WindModifier_cl13.asc</v>
      </c>
      <c r="AB112" s="16">
        <f t="shared" si="68"/>
        <v>4.1191188616223503E-7</v>
      </c>
      <c r="AC112" s="16" t="str">
        <f t="shared" si="69"/>
        <v>MPI-M-MPI-ESM-LR_historical_point33292</v>
      </c>
      <c r="AD112" s="16" t="str">
        <f t="shared" si="70"/>
        <v>wind_Events/Scaled_cl13_repl1.txt</v>
      </c>
      <c r="AE112" s="16" t="str">
        <f t="shared" si="71"/>
        <v>MPI-M-MPI-ESM-LR_Scaled_Cluster13_repl1</v>
      </c>
      <c r="AF112" s="16" t="s">
        <v>380</v>
      </c>
      <c r="AG112" s="16" t="s">
        <v>381</v>
      </c>
    </row>
    <row r="113" spans="1:33" ht="13.8">
      <c r="A113" s="7" t="str">
        <f t="shared" si="54"/>
        <v>MPI-M-MPI-ESM-LR_Scaled_Cluster13_repl2</v>
      </c>
      <c r="B113" s="8" t="s">
        <v>16</v>
      </c>
      <c r="C113" s="8" t="s">
        <v>54</v>
      </c>
      <c r="D113" s="9" t="s">
        <v>17</v>
      </c>
      <c r="E113" s="9" t="str">
        <f t="shared" si="55"/>
        <v>historical</v>
      </c>
      <c r="F113" s="8">
        <v>350</v>
      </c>
      <c r="G113" s="8" t="s">
        <v>63</v>
      </c>
      <c r="H113" s="8">
        <v>2</v>
      </c>
      <c r="I113" s="19">
        <v>4.1181188616223502E-7</v>
      </c>
      <c r="J113" s="8">
        <v>13</v>
      </c>
      <c r="K113" s="8" t="s">
        <v>167</v>
      </c>
      <c r="L113" s="8">
        <v>2</v>
      </c>
      <c r="M113" s="8">
        <v>1</v>
      </c>
      <c r="N113" s="10" t="s">
        <v>21</v>
      </c>
      <c r="O113" s="17" t="s">
        <v>328</v>
      </c>
      <c r="P113" s="10" t="str">
        <f t="shared" si="56"/>
        <v>MPI-M-MPI-ESM-LR_Scaled_Cluster13_repl2.sqlite</v>
      </c>
      <c r="Q113" s="11">
        <f t="shared" si="57"/>
        <v>5</v>
      </c>
      <c r="R113" s="16" t="str">
        <f t="shared" si="58"/>
        <v>climate_db_MPI-M-MPI-ESM-LR_historical_v4.sqlite</v>
      </c>
      <c r="S113" s="16" t="str">
        <f t="shared" si="59"/>
        <v>log/MPI-M-MPI-ESM-LR_Scaled_Cluster13_repl2.txt</v>
      </c>
      <c r="T113" s="16" t="str">
        <f t="shared" si="60"/>
        <v>init/env_file_CLUSTER13_REPL2_MPI-M-MPI-ESM-LR_historical.csv</v>
      </c>
      <c r="U113" s="16" t="str">
        <f t="shared" si="61"/>
        <v>init/env_grid_CLUSTER13_REPL2.asc</v>
      </c>
      <c r="V113" s="16" t="str">
        <f t="shared" si="62"/>
        <v>init/env_grid_CLUSTER13_REPL2.asc</v>
      </c>
      <c r="W113" s="16" t="str">
        <f t="shared" si="63"/>
        <v>trees_CLUSTER13.csv</v>
      </c>
      <c r="X113" s="16" t="str">
        <f t="shared" si="64"/>
        <v>saplings_CLUSTER13.csv</v>
      </c>
      <c r="Y113" s="16">
        <f t="shared" si="65"/>
        <v>350</v>
      </c>
      <c r="Z113" s="16" t="str">
        <f t="shared" si="66"/>
        <v>abe/no_mgmt.csv</v>
      </c>
      <c r="AA113" s="16" t="str">
        <f t="shared" si="67"/>
        <v>gis/WindModifier_cl13.asc</v>
      </c>
      <c r="AB113" s="16">
        <f t="shared" si="68"/>
        <v>4.1191188616223503E-7</v>
      </c>
      <c r="AC113" s="16" t="str">
        <f t="shared" si="69"/>
        <v>MPI-M-MPI-ESM-LR_historical_point33292</v>
      </c>
      <c r="AD113" s="16" t="str">
        <f t="shared" si="70"/>
        <v>wind_Events/Scaled_cl13_repl2.txt</v>
      </c>
      <c r="AE113" s="16" t="str">
        <f t="shared" si="71"/>
        <v>MPI-M-MPI-ESM-LR_Scaled_Cluster13_repl2</v>
      </c>
      <c r="AF113" s="16" t="s">
        <v>606</v>
      </c>
      <c r="AG113" s="16" t="s">
        <v>607</v>
      </c>
    </row>
    <row r="114" spans="1:33" ht="13.8">
      <c r="A114" s="7" t="str">
        <f t="shared" si="54"/>
        <v>MPI-M-MPI-ESM-LR_Scaled_Cluster13_repl3</v>
      </c>
      <c r="B114" s="8" t="s">
        <v>16</v>
      </c>
      <c r="C114" s="8" t="s">
        <v>54</v>
      </c>
      <c r="D114" s="9" t="s">
        <v>17</v>
      </c>
      <c r="E114" s="9" t="str">
        <f t="shared" si="55"/>
        <v>historical</v>
      </c>
      <c r="F114" s="8">
        <v>350</v>
      </c>
      <c r="G114" s="8" t="s">
        <v>63</v>
      </c>
      <c r="H114" s="8">
        <v>2</v>
      </c>
      <c r="I114" s="19">
        <v>4.1181188616223502E-7</v>
      </c>
      <c r="J114" s="8">
        <v>13</v>
      </c>
      <c r="K114" s="8" t="s">
        <v>167</v>
      </c>
      <c r="L114" s="8">
        <v>3</v>
      </c>
      <c r="M114" s="8">
        <v>1</v>
      </c>
      <c r="N114" s="10" t="s">
        <v>21</v>
      </c>
      <c r="O114" s="17" t="s">
        <v>328</v>
      </c>
      <c r="P114" s="10" t="str">
        <f t="shared" si="56"/>
        <v>MPI-M-MPI-ESM-LR_Scaled_Cluster13_repl3.sqlite</v>
      </c>
      <c r="Q114" s="11">
        <f t="shared" si="57"/>
        <v>8</v>
      </c>
      <c r="R114" s="16" t="str">
        <f t="shared" si="58"/>
        <v>climate_db_MPI-M-MPI-ESM-LR_historical_v4.sqlite</v>
      </c>
      <c r="S114" s="16" t="str">
        <f t="shared" si="59"/>
        <v>log/MPI-M-MPI-ESM-LR_Scaled_Cluster13_repl3.txt</v>
      </c>
      <c r="T114" s="16" t="str">
        <f t="shared" si="60"/>
        <v>init/env_file_CLUSTER13_REPL3_MPI-M-MPI-ESM-LR_historical.csv</v>
      </c>
      <c r="U114" s="16" t="str">
        <f t="shared" si="61"/>
        <v>init/env_grid_CLUSTER13_REPL3.asc</v>
      </c>
      <c r="V114" s="16" t="str">
        <f t="shared" si="62"/>
        <v>init/env_grid_CLUSTER13_REPL3.asc</v>
      </c>
      <c r="W114" s="16" t="str">
        <f t="shared" si="63"/>
        <v>trees_CLUSTER13.csv</v>
      </c>
      <c r="X114" s="16" t="str">
        <f t="shared" si="64"/>
        <v>saplings_CLUSTER13.csv</v>
      </c>
      <c r="Y114" s="16">
        <f t="shared" si="65"/>
        <v>350</v>
      </c>
      <c r="Z114" s="16" t="str">
        <f t="shared" si="66"/>
        <v>abe/no_mgmt.csv</v>
      </c>
      <c r="AA114" s="16" t="str">
        <f t="shared" si="67"/>
        <v>gis/WindModifier_cl13.asc</v>
      </c>
      <c r="AB114" s="16">
        <f t="shared" si="68"/>
        <v>4.1191188616223503E-7</v>
      </c>
      <c r="AC114" s="16" t="str">
        <f t="shared" si="69"/>
        <v>MPI-M-MPI-ESM-LR_historical_point33292</v>
      </c>
      <c r="AD114" s="16" t="str">
        <f t="shared" si="70"/>
        <v>wind_Events/Scaled_cl13_repl3.txt</v>
      </c>
      <c r="AE114" s="16" t="str">
        <f t="shared" si="71"/>
        <v>MPI-M-MPI-ESM-LR_Scaled_Cluster13_repl3</v>
      </c>
      <c r="AF114" s="16" t="s">
        <v>608</v>
      </c>
      <c r="AG114" s="16" t="s">
        <v>609</v>
      </c>
    </row>
    <row r="115" spans="1:33" ht="13.8">
      <c r="A115" s="7" t="str">
        <f t="shared" si="54"/>
        <v>MPI-M-MPI-ESM-LR_Scaled_Cluster13_repl4</v>
      </c>
      <c r="B115" s="8" t="s">
        <v>16</v>
      </c>
      <c r="C115" s="8" t="s">
        <v>54</v>
      </c>
      <c r="D115" s="9" t="s">
        <v>17</v>
      </c>
      <c r="E115" s="9" t="str">
        <f t="shared" si="55"/>
        <v>historical</v>
      </c>
      <c r="F115" s="8">
        <v>350</v>
      </c>
      <c r="G115" s="8" t="s">
        <v>63</v>
      </c>
      <c r="H115" s="8">
        <v>2</v>
      </c>
      <c r="I115" s="19">
        <v>4.1181188616223502E-7</v>
      </c>
      <c r="J115" s="8">
        <v>13</v>
      </c>
      <c r="K115" s="8" t="s">
        <v>167</v>
      </c>
      <c r="L115" s="8">
        <v>4</v>
      </c>
      <c r="M115" s="8">
        <v>1</v>
      </c>
      <c r="N115" s="10" t="s">
        <v>21</v>
      </c>
      <c r="O115" s="17" t="s">
        <v>328</v>
      </c>
      <c r="P115" s="10" t="str">
        <f t="shared" si="56"/>
        <v>MPI-M-MPI-ESM-LR_Scaled_Cluster13_repl4.sqlite</v>
      </c>
      <c r="Q115" s="11">
        <f t="shared" si="57"/>
        <v>11</v>
      </c>
      <c r="R115" s="16" t="str">
        <f t="shared" si="58"/>
        <v>climate_db_MPI-M-MPI-ESM-LR_historical_v4.sqlite</v>
      </c>
      <c r="S115" s="16" t="str">
        <f t="shared" si="59"/>
        <v>log/MPI-M-MPI-ESM-LR_Scaled_Cluster13_repl4.txt</v>
      </c>
      <c r="T115" s="16" t="str">
        <f t="shared" si="60"/>
        <v>init/env_file_CLUSTER13_REPL4_MPI-M-MPI-ESM-LR_historical.csv</v>
      </c>
      <c r="U115" s="16" t="str">
        <f t="shared" si="61"/>
        <v>init/env_grid_CLUSTER13_REPL4.asc</v>
      </c>
      <c r="V115" s="16" t="str">
        <f t="shared" si="62"/>
        <v>init/env_grid_CLUSTER13_REPL4.asc</v>
      </c>
      <c r="W115" s="16" t="str">
        <f t="shared" si="63"/>
        <v>trees_CLUSTER13.csv</v>
      </c>
      <c r="X115" s="16" t="str">
        <f t="shared" si="64"/>
        <v>saplings_CLUSTER13.csv</v>
      </c>
      <c r="Y115" s="16">
        <f t="shared" si="65"/>
        <v>350</v>
      </c>
      <c r="Z115" s="16" t="str">
        <f t="shared" si="66"/>
        <v>abe/no_mgmt.csv</v>
      </c>
      <c r="AA115" s="16" t="str">
        <f t="shared" si="67"/>
        <v>gis/WindModifier_cl13.asc</v>
      </c>
      <c r="AB115" s="16">
        <f t="shared" si="68"/>
        <v>4.1191188616223503E-7</v>
      </c>
      <c r="AC115" s="16" t="str">
        <f t="shared" si="69"/>
        <v>MPI-M-MPI-ESM-LR_historical_point33292</v>
      </c>
      <c r="AD115" s="16" t="str">
        <f t="shared" si="70"/>
        <v>wind_Events/Scaled_cl13_repl4.txt</v>
      </c>
      <c r="AE115" s="16" t="str">
        <f t="shared" si="71"/>
        <v>MPI-M-MPI-ESM-LR_Scaled_Cluster13_repl4</v>
      </c>
      <c r="AF115" s="16" t="s">
        <v>610</v>
      </c>
      <c r="AG115" s="16" t="s">
        <v>611</v>
      </c>
    </row>
    <row r="116" spans="1:33" ht="13.8">
      <c r="A116" s="7" t="str">
        <f t="shared" si="54"/>
        <v>MPI-M-MPI-ESM-LR_Scaled_Cluster13_repl5</v>
      </c>
      <c r="B116" s="8" t="s">
        <v>16</v>
      </c>
      <c r="C116" s="8" t="s">
        <v>54</v>
      </c>
      <c r="D116" s="9" t="s">
        <v>17</v>
      </c>
      <c r="E116" s="9" t="str">
        <f t="shared" si="55"/>
        <v>historical</v>
      </c>
      <c r="F116" s="8">
        <v>350</v>
      </c>
      <c r="G116" s="8" t="s">
        <v>63</v>
      </c>
      <c r="H116" s="8">
        <v>2</v>
      </c>
      <c r="I116" s="19">
        <v>4.1181188616223502E-7</v>
      </c>
      <c r="J116" s="8">
        <v>13</v>
      </c>
      <c r="K116" s="8" t="s">
        <v>167</v>
      </c>
      <c r="L116" s="8">
        <v>5</v>
      </c>
      <c r="M116" s="8">
        <v>1</v>
      </c>
      <c r="N116" s="10" t="s">
        <v>21</v>
      </c>
      <c r="O116" s="17" t="s">
        <v>328</v>
      </c>
      <c r="P116" s="10" t="str">
        <f t="shared" si="56"/>
        <v>MPI-M-MPI-ESM-LR_Scaled_Cluster13_repl5.sqlite</v>
      </c>
      <c r="Q116" s="11">
        <f t="shared" si="57"/>
        <v>14</v>
      </c>
      <c r="R116" s="16" t="str">
        <f t="shared" si="58"/>
        <v>climate_db_MPI-M-MPI-ESM-LR_historical_v4.sqlite</v>
      </c>
      <c r="S116" s="16" t="str">
        <f t="shared" si="59"/>
        <v>log/MPI-M-MPI-ESM-LR_Scaled_Cluster13_repl5.txt</v>
      </c>
      <c r="T116" s="16" t="str">
        <f t="shared" si="60"/>
        <v>init/env_file_CLUSTER13_REPL5_MPI-M-MPI-ESM-LR_historical.csv</v>
      </c>
      <c r="U116" s="16" t="str">
        <f t="shared" si="61"/>
        <v>init/env_grid_CLUSTER13_REPL5.asc</v>
      </c>
      <c r="V116" s="16" t="str">
        <f t="shared" si="62"/>
        <v>init/env_grid_CLUSTER13_REPL5.asc</v>
      </c>
      <c r="W116" s="16" t="str">
        <f t="shared" si="63"/>
        <v>trees_CLUSTER13.csv</v>
      </c>
      <c r="X116" s="16" t="str">
        <f t="shared" si="64"/>
        <v>saplings_CLUSTER13.csv</v>
      </c>
      <c r="Y116" s="16">
        <f t="shared" si="65"/>
        <v>350</v>
      </c>
      <c r="Z116" s="16" t="str">
        <f t="shared" si="66"/>
        <v>abe/no_mgmt.csv</v>
      </c>
      <c r="AA116" s="16" t="str">
        <f t="shared" si="67"/>
        <v>gis/WindModifier_cl13.asc</v>
      </c>
      <c r="AB116" s="16">
        <f t="shared" si="68"/>
        <v>4.1191188616223503E-7</v>
      </c>
      <c r="AC116" s="16" t="str">
        <f t="shared" si="69"/>
        <v>MPI-M-MPI-ESM-LR_historical_point33292</v>
      </c>
      <c r="AD116" s="16" t="str">
        <f t="shared" si="70"/>
        <v>wind_Events/Scaled_cl13_repl5.txt</v>
      </c>
      <c r="AE116" s="16" t="str">
        <f t="shared" si="71"/>
        <v>MPI-M-MPI-ESM-LR_Scaled_Cluster13_repl5</v>
      </c>
      <c r="AF116" s="16" t="s">
        <v>612</v>
      </c>
      <c r="AG116" s="16" t="s">
        <v>613</v>
      </c>
    </row>
    <row r="117" spans="1:33" ht="13.8">
      <c r="A117" s="7" t="str">
        <f t="shared" si="54"/>
        <v>MPI-M-MPI-ESM-LR_Scaled_Cluster14_repl1</v>
      </c>
      <c r="B117" s="8" t="s">
        <v>16</v>
      </c>
      <c r="C117" s="8" t="s">
        <v>54</v>
      </c>
      <c r="D117" s="9" t="s">
        <v>17</v>
      </c>
      <c r="E117" s="9" t="str">
        <f t="shared" si="55"/>
        <v>historical</v>
      </c>
      <c r="F117" s="8">
        <v>350</v>
      </c>
      <c r="G117" s="8" t="s">
        <v>63</v>
      </c>
      <c r="H117" s="8">
        <v>2</v>
      </c>
      <c r="I117" s="19">
        <v>2.19455891293013E-6</v>
      </c>
      <c r="J117" s="8">
        <v>14</v>
      </c>
      <c r="K117" s="8" t="s">
        <v>173</v>
      </c>
      <c r="L117" s="8">
        <v>1</v>
      </c>
      <c r="M117" s="8">
        <v>1</v>
      </c>
      <c r="N117" s="10" t="s">
        <v>21</v>
      </c>
      <c r="O117" s="17" t="s">
        <v>328</v>
      </c>
      <c r="P117" s="10" t="str">
        <f t="shared" si="56"/>
        <v>MPI-M-MPI-ESM-LR_Scaled_Cluster14_repl1.sqlite</v>
      </c>
      <c r="Q117" s="11">
        <f t="shared" si="57"/>
        <v>2</v>
      </c>
      <c r="R117" s="16" t="str">
        <f t="shared" si="58"/>
        <v>climate_db_MPI-M-MPI-ESM-LR_historical_v4.sqlite</v>
      </c>
      <c r="S117" s="16" t="str">
        <f t="shared" si="59"/>
        <v>log/MPI-M-MPI-ESM-LR_Scaled_Cluster14_repl1.txt</v>
      </c>
      <c r="T117" s="16" t="str">
        <f t="shared" si="60"/>
        <v>init/env_file_CLUSTER14_REPL1_MPI-M-MPI-ESM-LR_historical.csv</v>
      </c>
      <c r="U117" s="16" t="str">
        <f t="shared" si="61"/>
        <v>init/env_grid_CLUSTER14_REPL1.asc</v>
      </c>
      <c r="V117" s="16" t="str">
        <f t="shared" si="62"/>
        <v>init/env_grid_CLUSTER14_REPL1.asc</v>
      </c>
      <c r="W117" s="16" t="str">
        <f t="shared" si="63"/>
        <v>trees_CLUSTER14.csv</v>
      </c>
      <c r="X117" s="16" t="str">
        <f t="shared" si="64"/>
        <v>saplings_CLUSTER14.csv</v>
      </c>
      <c r="Y117" s="16">
        <f t="shared" si="65"/>
        <v>350</v>
      </c>
      <c r="Z117" s="16" t="str">
        <f t="shared" si="66"/>
        <v>abe/no_mgmt.csv</v>
      </c>
      <c r="AA117" s="16" t="str">
        <f t="shared" si="67"/>
        <v>gis/WindModifier_cl14.asc</v>
      </c>
      <c r="AB117" s="16">
        <f t="shared" si="68"/>
        <v>2.1946589129301298E-6</v>
      </c>
      <c r="AC117" s="16" t="str">
        <f t="shared" si="69"/>
        <v>MPI-M-MPI-ESM-LR_historical_point36494</v>
      </c>
      <c r="AD117" s="16" t="str">
        <f t="shared" si="70"/>
        <v>wind_Events/Scaled_cl14_repl1.txt</v>
      </c>
      <c r="AE117" s="16" t="str">
        <f t="shared" si="71"/>
        <v>MPI-M-MPI-ESM-LR_Scaled_Cluster14_repl1</v>
      </c>
      <c r="AF117" s="16" t="s">
        <v>383</v>
      </c>
      <c r="AG117" s="16" t="s">
        <v>384</v>
      </c>
    </row>
    <row r="118" spans="1:33" ht="13.8">
      <c r="A118" s="7" t="str">
        <f t="shared" si="54"/>
        <v>MPI-M-MPI-ESM-LR_Scaled_Cluster14_repl2</v>
      </c>
      <c r="B118" s="8" t="s">
        <v>16</v>
      </c>
      <c r="C118" s="8" t="s">
        <v>54</v>
      </c>
      <c r="D118" s="9" t="s">
        <v>17</v>
      </c>
      <c r="E118" s="9" t="str">
        <f t="shared" si="55"/>
        <v>historical</v>
      </c>
      <c r="F118" s="8">
        <v>350</v>
      </c>
      <c r="G118" s="8" t="s">
        <v>63</v>
      </c>
      <c r="H118" s="8">
        <v>2</v>
      </c>
      <c r="I118" s="19">
        <v>2.19455891293013E-6</v>
      </c>
      <c r="J118" s="8">
        <v>14</v>
      </c>
      <c r="K118" s="8" t="s">
        <v>173</v>
      </c>
      <c r="L118" s="8">
        <v>2</v>
      </c>
      <c r="M118" s="8">
        <v>1</v>
      </c>
      <c r="N118" s="10" t="s">
        <v>21</v>
      </c>
      <c r="O118" s="17" t="s">
        <v>328</v>
      </c>
      <c r="P118" s="10" t="str">
        <f t="shared" si="56"/>
        <v>MPI-M-MPI-ESM-LR_Scaled_Cluster14_repl2.sqlite</v>
      </c>
      <c r="Q118" s="11">
        <f t="shared" si="57"/>
        <v>5</v>
      </c>
      <c r="R118" s="16" t="str">
        <f t="shared" si="58"/>
        <v>climate_db_MPI-M-MPI-ESM-LR_historical_v4.sqlite</v>
      </c>
      <c r="S118" s="16" t="str">
        <f t="shared" si="59"/>
        <v>log/MPI-M-MPI-ESM-LR_Scaled_Cluster14_repl2.txt</v>
      </c>
      <c r="T118" s="16" t="str">
        <f t="shared" si="60"/>
        <v>init/env_file_CLUSTER14_REPL2_MPI-M-MPI-ESM-LR_historical.csv</v>
      </c>
      <c r="U118" s="16" t="str">
        <f t="shared" si="61"/>
        <v>init/env_grid_CLUSTER14_REPL2.asc</v>
      </c>
      <c r="V118" s="16" t="str">
        <f t="shared" si="62"/>
        <v>init/env_grid_CLUSTER14_REPL2.asc</v>
      </c>
      <c r="W118" s="16" t="str">
        <f t="shared" si="63"/>
        <v>trees_CLUSTER14.csv</v>
      </c>
      <c r="X118" s="16" t="str">
        <f t="shared" si="64"/>
        <v>saplings_CLUSTER14.csv</v>
      </c>
      <c r="Y118" s="16">
        <f t="shared" si="65"/>
        <v>350</v>
      </c>
      <c r="Z118" s="16" t="str">
        <f t="shared" si="66"/>
        <v>abe/no_mgmt.csv</v>
      </c>
      <c r="AA118" s="16" t="str">
        <f t="shared" si="67"/>
        <v>gis/WindModifier_cl14.asc</v>
      </c>
      <c r="AB118" s="16">
        <f t="shared" si="68"/>
        <v>2.1946589129301298E-6</v>
      </c>
      <c r="AC118" s="16" t="str">
        <f t="shared" si="69"/>
        <v>MPI-M-MPI-ESM-LR_historical_point36494</v>
      </c>
      <c r="AD118" s="16" t="str">
        <f t="shared" si="70"/>
        <v>wind_Events/Scaled_cl14_repl2.txt</v>
      </c>
      <c r="AE118" s="16" t="str">
        <f t="shared" si="71"/>
        <v>MPI-M-MPI-ESM-LR_Scaled_Cluster14_repl2</v>
      </c>
      <c r="AF118" s="16" t="s">
        <v>614</v>
      </c>
      <c r="AG118" s="16" t="s">
        <v>615</v>
      </c>
    </row>
    <row r="119" spans="1:33" ht="13.8">
      <c r="A119" s="7" t="str">
        <f t="shared" si="54"/>
        <v>MPI-M-MPI-ESM-LR_Scaled_Cluster14_repl3</v>
      </c>
      <c r="B119" s="8" t="s">
        <v>16</v>
      </c>
      <c r="C119" s="8" t="s">
        <v>54</v>
      </c>
      <c r="D119" s="9" t="s">
        <v>17</v>
      </c>
      <c r="E119" s="9" t="str">
        <f t="shared" si="55"/>
        <v>historical</v>
      </c>
      <c r="F119" s="8">
        <v>350</v>
      </c>
      <c r="G119" s="8" t="s">
        <v>63</v>
      </c>
      <c r="H119" s="8">
        <v>2</v>
      </c>
      <c r="I119" s="19">
        <v>2.19455891293013E-6</v>
      </c>
      <c r="J119" s="8">
        <v>14</v>
      </c>
      <c r="K119" s="8" t="s">
        <v>173</v>
      </c>
      <c r="L119" s="8">
        <v>3</v>
      </c>
      <c r="M119" s="8">
        <v>1</v>
      </c>
      <c r="N119" s="10" t="s">
        <v>21</v>
      </c>
      <c r="O119" s="17" t="s">
        <v>328</v>
      </c>
      <c r="P119" s="10" t="str">
        <f t="shared" si="56"/>
        <v>MPI-M-MPI-ESM-LR_Scaled_Cluster14_repl3.sqlite</v>
      </c>
      <c r="Q119" s="11">
        <f t="shared" si="57"/>
        <v>8</v>
      </c>
      <c r="R119" s="16" t="str">
        <f t="shared" si="58"/>
        <v>climate_db_MPI-M-MPI-ESM-LR_historical_v4.sqlite</v>
      </c>
      <c r="S119" s="16" t="str">
        <f t="shared" si="59"/>
        <v>log/MPI-M-MPI-ESM-LR_Scaled_Cluster14_repl3.txt</v>
      </c>
      <c r="T119" s="16" t="str">
        <f t="shared" si="60"/>
        <v>init/env_file_CLUSTER14_REPL3_MPI-M-MPI-ESM-LR_historical.csv</v>
      </c>
      <c r="U119" s="16" t="str">
        <f t="shared" si="61"/>
        <v>init/env_grid_CLUSTER14_REPL3.asc</v>
      </c>
      <c r="V119" s="16" t="str">
        <f t="shared" si="62"/>
        <v>init/env_grid_CLUSTER14_REPL3.asc</v>
      </c>
      <c r="W119" s="16" t="str">
        <f t="shared" si="63"/>
        <v>trees_CLUSTER14.csv</v>
      </c>
      <c r="X119" s="16" t="str">
        <f t="shared" si="64"/>
        <v>saplings_CLUSTER14.csv</v>
      </c>
      <c r="Y119" s="16">
        <f t="shared" si="65"/>
        <v>350</v>
      </c>
      <c r="Z119" s="16" t="str">
        <f t="shared" si="66"/>
        <v>abe/no_mgmt.csv</v>
      </c>
      <c r="AA119" s="16" t="str">
        <f t="shared" si="67"/>
        <v>gis/WindModifier_cl14.asc</v>
      </c>
      <c r="AB119" s="16">
        <f t="shared" si="68"/>
        <v>2.1946589129301298E-6</v>
      </c>
      <c r="AC119" s="16" t="str">
        <f t="shared" si="69"/>
        <v>MPI-M-MPI-ESM-LR_historical_point36494</v>
      </c>
      <c r="AD119" s="16" t="str">
        <f t="shared" si="70"/>
        <v>wind_Events/Scaled_cl14_repl3.txt</v>
      </c>
      <c r="AE119" s="16" t="str">
        <f t="shared" si="71"/>
        <v>MPI-M-MPI-ESM-LR_Scaled_Cluster14_repl3</v>
      </c>
      <c r="AF119" s="16" t="s">
        <v>616</v>
      </c>
      <c r="AG119" s="16" t="s">
        <v>617</v>
      </c>
    </row>
    <row r="120" spans="1:33" ht="13.8">
      <c r="A120" s="7" t="str">
        <f t="shared" si="54"/>
        <v>MPI-M-MPI-ESM-LR_Scaled_Cluster14_repl4</v>
      </c>
      <c r="B120" s="8" t="s">
        <v>16</v>
      </c>
      <c r="C120" s="8" t="s">
        <v>54</v>
      </c>
      <c r="D120" s="9" t="s">
        <v>17</v>
      </c>
      <c r="E120" s="9" t="str">
        <f t="shared" si="55"/>
        <v>historical</v>
      </c>
      <c r="F120" s="8">
        <v>350</v>
      </c>
      <c r="G120" s="8" t="s">
        <v>63</v>
      </c>
      <c r="H120" s="8">
        <v>2</v>
      </c>
      <c r="I120" s="19">
        <v>2.19455891293013E-6</v>
      </c>
      <c r="J120" s="8">
        <v>14</v>
      </c>
      <c r="K120" s="8" t="s">
        <v>173</v>
      </c>
      <c r="L120" s="8">
        <v>4</v>
      </c>
      <c r="M120" s="8">
        <v>1</v>
      </c>
      <c r="N120" s="10" t="s">
        <v>21</v>
      </c>
      <c r="O120" s="17" t="s">
        <v>328</v>
      </c>
      <c r="P120" s="10" t="str">
        <f t="shared" si="56"/>
        <v>MPI-M-MPI-ESM-LR_Scaled_Cluster14_repl4.sqlite</v>
      </c>
      <c r="Q120" s="11">
        <f t="shared" si="57"/>
        <v>11</v>
      </c>
      <c r="R120" s="16" t="str">
        <f t="shared" si="58"/>
        <v>climate_db_MPI-M-MPI-ESM-LR_historical_v4.sqlite</v>
      </c>
      <c r="S120" s="16" t="str">
        <f t="shared" si="59"/>
        <v>log/MPI-M-MPI-ESM-LR_Scaled_Cluster14_repl4.txt</v>
      </c>
      <c r="T120" s="16" t="str">
        <f t="shared" si="60"/>
        <v>init/env_file_CLUSTER14_REPL4_MPI-M-MPI-ESM-LR_historical.csv</v>
      </c>
      <c r="U120" s="16" t="str">
        <f t="shared" si="61"/>
        <v>init/env_grid_CLUSTER14_REPL4.asc</v>
      </c>
      <c r="V120" s="16" t="str">
        <f t="shared" si="62"/>
        <v>init/env_grid_CLUSTER14_REPL4.asc</v>
      </c>
      <c r="W120" s="16" t="str">
        <f t="shared" si="63"/>
        <v>trees_CLUSTER14.csv</v>
      </c>
      <c r="X120" s="16" t="str">
        <f t="shared" si="64"/>
        <v>saplings_CLUSTER14.csv</v>
      </c>
      <c r="Y120" s="16">
        <f t="shared" si="65"/>
        <v>350</v>
      </c>
      <c r="Z120" s="16" t="str">
        <f t="shared" si="66"/>
        <v>abe/no_mgmt.csv</v>
      </c>
      <c r="AA120" s="16" t="str">
        <f t="shared" si="67"/>
        <v>gis/WindModifier_cl14.asc</v>
      </c>
      <c r="AB120" s="16">
        <f t="shared" si="68"/>
        <v>2.1946589129301298E-6</v>
      </c>
      <c r="AC120" s="16" t="str">
        <f t="shared" si="69"/>
        <v>MPI-M-MPI-ESM-LR_historical_point36494</v>
      </c>
      <c r="AD120" s="16" t="str">
        <f t="shared" si="70"/>
        <v>wind_Events/Scaled_cl14_repl4.txt</v>
      </c>
      <c r="AE120" s="16" t="str">
        <f t="shared" si="71"/>
        <v>MPI-M-MPI-ESM-LR_Scaled_Cluster14_repl4</v>
      </c>
      <c r="AF120" s="16" t="s">
        <v>618</v>
      </c>
      <c r="AG120" s="16" t="s">
        <v>619</v>
      </c>
    </row>
    <row r="121" spans="1:33" ht="13.8">
      <c r="A121" s="7" t="str">
        <f t="shared" si="54"/>
        <v>MPI-M-MPI-ESM-LR_Scaled_Cluster14_repl5</v>
      </c>
      <c r="B121" s="8" t="s">
        <v>16</v>
      </c>
      <c r="C121" s="8" t="s">
        <v>54</v>
      </c>
      <c r="D121" s="9" t="s">
        <v>17</v>
      </c>
      <c r="E121" s="9" t="str">
        <f t="shared" si="55"/>
        <v>historical</v>
      </c>
      <c r="F121" s="8">
        <v>350</v>
      </c>
      <c r="G121" s="8" t="s">
        <v>63</v>
      </c>
      <c r="H121" s="8">
        <v>2</v>
      </c>
      <c r="I121" s="19">
        <v>2.19455891293013E-6</v>
      </c>
      <c r="J121" s="8">
        <v>14</v>
      </c>
      <c r="K121" s="8" t="s">
        <v>173</v>
      </c>
      <c r="L121" s="8">
        <v>5</v>
      </c>
      <c r="M121" s="8">
        <v>1</v>
      </c>
      <c r="N121" s="10" t="s">
        <v>21</v>
      </c>
      <c r="O121" s="17" t="s">
        <v>328</v>
      </c>
      <c r="P121" s="10" t="str">
        <f t="shared" si="56"/>
        <v>MPI-M-MPI-ESM-LR_Scaled_Cluster14_repl5.sqlite</v>
      </c>
      <c r="Q121" s="11">
        <f t="shared" si="57"/>
        <v>14</v>
      </c>
      <c r="R121" s="16" t="str">
        <f t="shared" si="58"/>
        <v>climate_db_MPI-M-MPI-ESM-LR_historical_v4.sqlite</v>
      </c>
      <c r="S121" s="16" t="str">
        <f t="shared" si="59"/>
        <v>log/MPI-M-MPI-ESM-LR_Scaled_Cluster14_repl5.txt</v>
      </c>
      <c r="T121" s="16" t="str">
        <f t="shared" si="60"/>
        <v>init/env_file_CLUSTER14_REPL5_MPI-M-MPI-ESM-LR_historical.csv</v>
      </c>
      <c r="U121" s="16" t="str">
        <f t="shared" si="61"/>
        <v>init/env_grid_CLUSTER14_REPL5.asc</v>
      </c>
      <c r="V121" s="16" t="str">
        <f t="shared" si="62"/>
        <v>init/env_grid_CLUSTER14_REPL5.asc</v>
      </c>
      <c r="W121" s="16" t="str">
        <f t="shared" si="63"/>
        <v>trees_CLUSTER14.csv</v>
      </c>
      <c r="X121" s="16" t="str">
        <f t="shared" si="64"/>
        <v>saplings_CLUSTER14.csv</v>
      </c>
      <c r="Y121" s="16">
        <f t="shared" si="65"/>
        <v>350</v>
      </c>
      <c r="Z121" s="16" t="str">
        <f t="shared" si="66"/>
        <v>abe/no_mgmt.csv</v>
      </c>
      <c r="AA121" s="16" t="str">
        <f t="shared" si="67"/>
        <v>gis/WindModifier_cl14.asc</v>
      </c>
      <c r="AB121" s="16">
        <f t="shared" si="68"/>
        <v>2.1946589129301298E-6</v>
      </c>
      <c r="AC121" s="16" t="str">
        <f t="shared" si="69"/>
        <v>MPI-M-MPI-ESM-LR_historical_point36494</v>
      </c>
      <c r="AD121" s="16" t="str">
        <f t="shared" si="70"/>
        <v>wind_Events/Scaled_cl14_repl5.txt</v>
      </c>
      <c r="AE121" s="16" t="str">
        <f t="shared" si="71"/>
        <v>MPI-M-MPI-ESM-LR_Scaled_Cluster14_repl5</v>
      </c>
      <c r="AF121" s="16" t="s">
        <v>620</v>
      </c>
      <c r="AG121" s="16" t="s">
        <v>621</v>
      </c>
    </row>
    <row r="122" spans="1:33" ht="13.8">
      <c r="A122" s="7" t="str">
        <f t="shared" si="54"/>
        <v>NCC-NorESM1-M_Scaled_Cluster2_repl1</v>
      </c>
      <c r="B122" s="8" t="s">
        <v>16</v>
      </c>
      <c r="C122" s="8" t="s">
        <v>54</v>
      </c>
      <c r="D122" s="9" t="s">
        <v>17</v>
      </c>
      <c r="E122" s="9" t="str">
        <f t="shared" si="55"/>
        <v>historical</v>
      </c>
      <c r="F122" s="8">
        <v>350</v>
      </c>
      <c r="G122" s="8" t="s">
        <v>60</v>
      </c>
      <c r="H122" s="8">
        <v>3</v>
      </c>
      <c r="I122" s="19">
        <v>6.2493566238876597E-6</v>
      </c>
      <c r="J122" s="8">
        <v>2</v>
      </c>
      <c r="K122" s="8" t="s">
        <v>157</v>
      </c>
      <c r="L122" s="8">
        <v>1</v>
      </c>
      <c r="M122" s="8">
        <v>1</v>
      </c>
      <c r="N122" s="10" t="s">
        <v>21</v>
      </c>
      <c r="O122" s="17" t="s">
        <v>328</v>
      </c>
      <c r="P122" s="10" t="str">
        <f t="shared" si="56"/>
        <v>NCC-NorESM1-M_Scaled_Cluster2_repl1.sqlite</v>
      </c>
      <c r="Q122" s="11">
        <f t="shared" si="57"/>
        <v>3</v>
      </c>
      <c r="R122" s="16" t="str">
        <f t="shared" si="58"/>
        <v>climate_db_NCC-NorESM1-M_historical_v4.sqlite</v>
      </c>
      <c r="S122" s="16" t="str">
        <f t="shared" si="59"/>
        <v>log/NCC-NorESM1-M_Scaled_Cluster2_repl1.txt</v>
      </c>
      <c r="T122" s="16" t="str">
        <f t="shared" si="60"/>
        <v>init/env_file_CLUSTER02_REPL1_NCC-NorESM1-M_historical.csv</v>
      </c>
      <c r="U122" s="16" t="str">
        <f t="shared" si="61"/>
        <v>init/env_grid_CLUSTER02_REPL1.asc</v>
      </c>
      <c r="V122" s="16" t="str">
        <f t="shared" si="62"/>
        <v>init/env_grid_CLUSTER02_REPL1.asc</v>
      </c>
      <c r="W122" s="16" t="str">
        <f t="shared" si="63"/>
        <v>trees_CLUSTER02.csv</v>
      </c>
      <c r="X122" s="16" t="str">
        <f t="shared" si="64"/>
        <v>saplings_CLUSTER02.csv</v>
      </c>
      <c r="Y122" s="16">
        <f t="shared" si="65"/>
        <v>350</v>
      </c>
      <c r="Z122" s="16" t="str">
        <f t="shared" si="66"/>
        <v>abe/no_mgmt.csv</v>
      </c>
      <c r="AA122" s="16" t="str">
        <f t="shared" si="67"/>
        <v>gis/WindModifier_cl2.asc</v>
      </c>
      <c r="AB122" s="16">
        <f t="shared" si="68"/>
        <v>6.24945662388766E-6</v>
      </c>
      <c r="AC122" s="16" t="str">
        <f t="shared" si="69"/>
        <v>NCC-NorESM1-M_historical_point38526</v>
      </c>
      <c r="AD122" s="16" t="str">
        <f t="shared" si="70"/>
        <v>wind_Events/Scaled_cl2_repl1.txt</v>
      </c>
      <c r="AE122" s="16" t="str">
        <f t="shared" si="71"/>
        <v>NCC-NorESM1-M_Scaled_Cluster2_repl1</v>
      </c>
      <c r="AF122" s="16" t="s">
        <v>386</v>
      </c>
      <c r="AG122" s="16" t="s">
        <v>387</v>
      </c>
    </row>
    <row r="123" spans="1:33" ht="13.8">
      <c r="A123" s="7" t="str">
        <f t="shared" si="54"/>
        <v>NCC-NorESM1-M_Scaled_Cluster2_repl2</v>
      </c>
      <c r="B123" s="8" t="s">
        <v>16</v>
      </c>
      <c r="C123" s="8" t="s">
        <v>54</v>
      </c>
      <c r="D123" s="9" t="s">
        <v>17</v>
      </c>
      <c r="E123" s="9" t="str">
        <f t="shared" si="55"/>
        <v>historical</v>
      </c>
      <c r="F123" s="8">
        <v>350</v>
      </c>
      <c r="G123" s="8" t="s">
        <v>60</v>
      </c>
      <c r="H123" s="8">
        <v>3</v>
      </c>
      <c r="I123" s="19">
        <v>6.2493566238876597E-6</v>
      </c>
      <c r="J123" s="8">
        <v>2</v>
      </c>
      <c r="K123" s="8" t="s">
        <v>157</v>
      </c>
      <c r="L123" s="8">
        <v>2</v>
      </c>
      <c r="M123" s="8">
        <v>1</v>
      </c>
      <c r="N123" s="10" t="s">
        <v>21</v>
      </c>
      <c r="O123" s="17" t="s">
        <v>328</v>
      </c>
      <c r="P123" s="10" t="str">
        <f t="shared" si="56"/>
        <v>NCC-NorESM1-M_Scaled_Cluster2_repl2.sqlite</v>
      </c>
      <c r="Q123" s="11">
        <f t="shared" si="57"/>
        <v>6</v>
      </c>
      <c r="R123" s="16" t="str">
        <f t="shared" si="58"/>
        <v>climate_db_NCC-NorESM1-M_historical_v4.sqlite</v>
      </c>
      <c r="S123" s="16" t="str">
        <f t="shared" si="59"/>
        <v>log/NCC-NorESM1-M_Scaled_Cluster2_repl2.txt</v>
      </c>
      <c r="T123" s="16" t="str">
        <f t="shared" si="60"/>
        <v>init/env_file_CLUSTER02_REPL2_NCC-NorESM1-M_historical.csv</v>
      </c>
      <c r="U123" s="16" t="str">
        <f t="shared" si="61"/>
        <v>init/env_grid_CLUSTER02_REPL2.asc</v>
      </c>
      <c r="V123" s="16" t="str">
        <f t="shared" si="62"/>
        <v>init/env_grid_CLUSTER02_REPL2.asc</v>
      </c>
      <c r="W123" s="16" t="str">
        <f t="shared" si="63"/>
        <v>trees_CLUSTER02.csv</v>
      </c>
      <c r="X123" s="16" t="str">
        <f t="shared" si="64"/>
        <v>saplings_CLUSTER02.csv</v>
      </c>
      <c r="Y123" s="16">
        <f t="shared" si="65"/>
        <v>350</v>
      </c>
      <c r="Z123" s="16" t="str">
        <f t="shared" si="66"/>
        <v>abe/no_mgmt.csv</v>
      </c>
      <c r="AA123" s="16" t="str">
        <f t="shared" si="67"/>
        <v>gis/WindModifier_cl2.asc</v>
      </c>
      <c r="AB123" s="16">
        <f t="shared" si="68"/>
        <v>6.24945662388766E-6</v>
      </c>
      <c r="AC123" s="16" t="str">
        <f t="shared" si="69"/>
        <v>NCC-NorESM1-M_historical_point38526</v>
      </c>
      <c r="AD123" s="16" t="str">
        <f t="shared" si="70"/>
        <v>wind_Events/Scaled_cl2_repl2.txt</v>
      </c>
      <c r="AE123" s="16" t="str">
        <f t="shared" si="71"/>
        <v>NCC-NorESM1-M_Scaled_Cluster2_repl2</v>
      </c>
      <c r="AF123" s="16" t="s">
        <v>622</v>
      </c>
      <c r="AG123" s="16" t="s">
        <v>623</v>
      </c>
    </row>
    <row r="124" spans="1:33" ht="13.8">
      <c r="A124" s="7" t="str">
        <f t="shared" si="54"/>
        <v>NCC-NorESM1-M_Scaled_Cluster2_repl3</v>
      </c>
      <c r="B124" s="8" t="s">
        <v>16</v>
      </c>
      <c r="C124" s="8" t="s">
        <v>54</v>
      </c>
      <c r="D124" s="9" t="s">
        <v>17</v>
      </c>
      <c r="E124" s="9" t="str">
        <f t="shared" si="55"/>
        <v>historical</v>
      </c>
      <c r="F124" s="8">
        <v>350</v>
      </c>
      <c r="G124" s="8" t="s">
        <v>60</v>
      </c>
      <c r="H124" s="8">
        <v>3</v>
      </c>
      <c r="I124" s="19">
        <v>6.2493566238876597E-6</v>
      </c>
      <c r="J124" s="8">
        <v>2</v>
      </c>
      <c r="K124" s="8" t="s">
        <v>157</v>
      </c>
      <c r="L124" s="8">
        <v>3</v>
      </c>
      <c r="M124" s="8">
        <v>1</v>
      </c>
      <c r="N124" s="10" t="s">
        <v>21</v>
      </c>
      <c r="O124" s="17" t="s">
        <v>328</v>
      </c>
      <c r="P124" s="10" t="str">
        <f t="shared" si="56"/>
        <v>NCC-NorESM1-M_Scaled_Cluster2_repl3.sqlite</v>
      </c>
      <c r="Q124" s="11">
        <f t="shared" si="57"/>
        <v>9</v>
      </c>
      <c r="R124" s="16" t="str">
        <f t="shared" si="58"/>
        <v>climate_db_NCC-NorESM1-M_historical_v4.sqlite</v>
      </c>
      <c r="S124" s="16" t="str">
        <f t="shared" si="59"/>
        <v>log/NCC-NorESM1-M_Scaled_Cluster2_repl3.txt</v>
      </c>
      <c r="T124" s="16" t="str">
        <f t="shared" si="60"/>
        <v>init/env_file_CLUSTER02_REPL3_NCC-NorESM1-M_historical.csv</v>
      </c>
      <c r="U124" s="16" t="str">
        <f t="shared" si="61"/>
        <v>init/env_grid_CLUSTER02_REPL3.asc</v>
      </c>
      <c r="V124" s="16" t="str">
        <f t="shared" si="62"/>
        <v>init/env_grid_CLUSTER02_REPL3.asc</v>
      </c>
      <c r="W124" s="16" t="str">
        <f t="shared" si="63"/>
        <v>trees_CLUSTER02.csv</v>
      </c>
      <c r="X124" s="16" t="str">
        <f t="shared" si="64"/>
        <v>saplings_CLUSTER02.csv</v>
      </c>
      <c r="Y124" s="16">
        <f t="shared" si="65"/>
        <v>350</v>
      </c>
      <c r="Z124" s="16" t="str">
        <f t="shared" si="66"/>
        <v>abe/no_mgmt.csv</v>
      </c>
      <c r="AA124" s="16" t="str">
        <f t="shared" si="67"/>
        <v>gis/WindModifier_cl2.asc</v>
      </c>
      <c r="AB124" s="16">
        <f t="shared" si="68"/>
        <v>6.24945662388766E-6</v>
      </c>
      <c r="AC124" s="16" t="str">
        <f t="shared" si="69"/>
        <v>NCC-NorESM1-M_historical_point38526</v>
      </c>
      <c r="AD124" s="16" t="str">
        <f t="shared" si="70"/>
        <v>wind_Events/Scaled_cl2_repl3.txt</v>
      </c>
      <c r="AE124" s="16" t="str">
        <f t="shared" si="71"/>
        <v>NCC-NorESM1-M_Scaled_Cluster2_repl3</v>
      </c>
      <c r="AF124" s="16" t="s">
        <v>624</v>
      </c>
      <c r="AG124" s="16" t="s">
        <v>625</v>
      </c>
    </row>
    <row r="125" spans="1:33" ht="13.8">
      <c r="A125" s="7" t="str">
        <f t="shared" si="54"/>
        <v>NCC-NorESM1-M_Scaled_Cluster2_repl4</v>
      </c>
      <c r="B125" s="8" t="s">
        <v>16</v>
      </c>
      <c r="C125" s="8" t="s">
        <v>54</v>
      </c>
      <c r="D125" s="9" t="s">
        <v>17</v>
      </c>
      <c r="E125" s="9" t="str">
        <f t="shared" si="55"/>
        <v>historical</v>
      </c>
      <c r="F125" s="8">
        <v>350</v>
      </c>
      <c r="G125" s="8" t="s">
        <v>60</v>
      </c>
      <c r="H125" s="8">
        <v>3</v>
      </c>
      <c r="I125" s="19">
        <v>6.2493566238876597E-6</v>
      </c>
      <c r="J125" s="8">
        <v>2</v>
      </c>
      <c r="K125" s="8" t="s">
        <v>157</v>
      </c>
      <c r="L125" s="8">
        <v>4</v>
      </c>
      <c r="M125" s="8">
        <v>1</v>
      </c>
      <c r="N125" s="10" t="s">
        <v>21</v>
      </c>
      <c r="O125" s="17" t="s">
        <v>328</v>
      </c>
      <c r="P125" s="10" t="str">
        <f t="shared" si="56"/>
        <v>NCC-NorESM1-M_Scaled_Cluster2_repl4.sqlite</v>
      </c>
      <c r="Q125" s="11">
        <f t="shared" si="57"/>
        <v>12</v>
      </c>
      <c r="R125" s="16" t="str">
        <f t="shared" si="58"/>
        <v>climate_db_NCC-NorESM1-M_historical_v4.sqlite</v>
      </c>
      <c r="S125" s="16" t="str">
        <f t="shared" si="59"/>
        <v>log/NCC-NorESM1-M_Scaled_Cluster2_repl4.txt</v>
      </c>
      <c r="T125" s="16" t="str">
        <f t="shared" si="60"/>
        <v>init/env_file_CLUSTER02_REPL4_NCC-NorESM1-M_historical.csv</v>
      </c>
      <c r="U125" s="16" t="str">
        <f t="shared" si="61"/>
        <v>init/env_grid_CLUSTER02_REPL4.asc</v>
      </c>
      <c r="V125" s="16" t="str">
        <f t="shared" si="62"/>
        <v>init/env_grid_CLUSTER02_REPL4.asc</v>
      </c>
      <c r="W125" s="16" t="str">
        <f t="shared" si="63"/>
        <v>trees_CLUSTER02.csv</v>
      </c>
      <c r="X125" s="16" t="str">
        <f t="shared" si="64"/>
        <v>saplings_CLUSTER02.csv</v>
      </c>
      <c r="Y125" s="16">
        <f t="shared" si="65"/>
        <v>350</v>
      </c>
      <c r="Z125" s="16" t="str">
        <f t="shared" si="66"/>
        <v>abe/no_mgmt.csv</v>
      </c>
      <c r="AA125" s="16" t="str">
        <f t="shared" si="67"/>
        <v>gis/WindModifier_cl2.asc</v>
      </c>
      <c r="AB125" s="16">
        <f t="shared" si="68"/>
        <v>6.24945662388766E-6</v>
      </c>
      <c r="AC125" s="16" t="str">
        <f t="shared" si="69"/>
        <v>NCC-NorESM1-M_historical_point38526</v>
      </c>
      <c r="AD125" s="16" t="str">
        <f t="shared" si="70"/>
        <v>wind_Events/Scaled_cl2_repl4.txt</v>
      </c>
      <c r="AE125" s="16" t="str">
        <f t="shared" si="71"/>
        <v>NCC-NorESM1-M_Scaled_Cluster2_repl4</v>
      </c>
      <c r="AF125" s="16" t="s">
        <v>626</v>
      </c>
      <c r="AG125" s="16" t="s">
        <v>627</v>
      </c>
    </row>
    <row r="126" spans="1:33" ht="13.8">
      <c r="A126" s="7" t="str">
        <f t="shared" si="54"/>
        <v>NCC-NorESM1-M_Scaled_Cluster2_repl5</v>
      </c>
      <c r="B126" s="8" t="s">
        <v>16</v>
      </c>
      <c r="C126" s="8" t="s">
        <v>54</v>
      </c>
      <c r="D126" s="9" t="s">
        <v>17</v>
      </c>
      <c r="E126" s="9" t="str">
        <f t="shared" si="55"/>
        <v>historical</v>
      </c>
      <c r="F126" s="8">
        <v>350</v>
      </c>
      <c r="G126" s="8" t="s">
        <v>60</v>
      </c>
      <c r="H126" s="8">
        <v>3</v>
      </c>
      <c r="I126" s="19">
        <v>6.2493566238876597E-6</v>
      </c>
      <c r="J126" s="8">
        <v>2</v>
      </c>
      <c r="K126" s="8" t="s">
        <v>157</v>
      </c>
      <c r="L126" s="8">
        <v>5</v>
      </c>
      <c r="M126" s="8">
        <v>1</v>
      </c>
      <c r="N126" s="10" t="s">
        <v>21</v>
      </c>
      <c r="O126" s="17" t="s">
        <v>328</v>
      </c>
      <c r="P126" s="10" t="str">
        <f t="shared" si="56"/>
        <v>NCC-NorESM1-M_Scaled_Cluster2_repl5.sqlite</v>
      </c>
      <c r="Q126" s="11">
        <f t="shared" si="57"/>
        <v>15</v>
      </c>
      <c r="R126" s="16" t="str">
        <f t="shared" si="58"/>
        <v>climate_db_NCC-NorESM1-M_historical_v4.sqlite</v>
      </c>
      <c r="S126" s="16" t="str">
        <f t="shared" si="59"/>
        <v>log/NCC-NorESM1-M_Scaled_Cluster2_repl5.txt</v>
      </c>
      <c r="T126" s="16" t="str">
        <f t="shared" si="60"/>
        <v>init/env_file_CLUSTER02_REPL5_NCC-NorESM1-M_historical.csv</v>
      </c>
      <c r="U126" s="16" t="str">
        <f t="shared" si="61"/>
        <v>init/env_grid_CLUSTER02_REPL5.asc</v>
      </c>
      <c r="V126" s="16" t="str">
        <f t="shared" si="62"/>
        <v>init/env_grid_CLUSTER02_REPL5.asc</v>
      </c>
      <c r="W126" s="16" t="str">
        <f t="shared" si="63"/>
        <v>trees_CLUSTER02.csv</v>
      </c>
      <c r="X126" s="16" t="str">
        <f t="shared" si="64"/>
        <v>saplings_CLUSTER02.csv</v>
      </c>
      <c r="Y126" s="16">
        <f t="shared" si="65"/>
        <v>350</v>
      </c>
      <c r="Z126" s="16" t="str">
        <f t="shared" si="66"/>
        <v>abe/no_mgmt.csv</v>
      </c>
      <c r="AA126" s="16" t="str">
        <f t="shared" si="67"/>
        <v>gis/WindModifier_cl2.asc</v>
      </c>
      <c r="AB126" s="16">
        <f t="shared" si="68"/>
        <v>6.24945662388766E-6</v>
      </c>
      <c r="AC126" s="16" t="str">
        <f t="shared" si="69"/>
        <v>NCC-NorESM1-M_historical_point38526</v>
      </c>
      <c r="AD126" s="16" t="str">
        <f t="shared" si="70"/>
        <v>wind_Events/Scaled_cl2_repl5.txt</v>
      </c>
      <c r="AE126" s="16" t="str">
        <f t="shared" si="71"/>
        <v>NCC-NorESM1-M_Scaled_Cluster2_repl5</v>
      </c>
      <c r="AF126" s="16" t="s">
        <v>628</v>
      </c>
      <c r="AG126" s="16" t="s">
        <v>629</v>
      </c>
    </row>
    <row r="127" spans="1:33" ht="13.8">
      <c r="A127" s="7" t="str">
        <f t="shared" si="54"/>
        <v>NCC-NorESM1-M_Scaled_Cluster3_repl1</v>
      </c>
      <c r="B127" s="8" t="s">
        <v>16</v>
      </c>
      <c r="C127" s="8" t="s">
        <v>54</v>
      </c>
      <c r="D127" s="9" t="s">
        <v>17</v>
      </c>
      <c r="E127" s="9" t="str">
        <f t="shared" si="55"/>
        <v>historical</v>
      </c>
      <c r="F127" s="8">
        <v>350</v>
      </c>
      <c r="G127" s="8" t="s">
        <v>60</v>
      </c>
      <c r="H127" s="8">
        <v>3</v>
      </c>
      <c r="I127" s="19">
        <v>7.5959355299492701E-9</v>
      </c>
      <c r="J127" s="8">
        <v>3</v>
      </c>
      <c r="K127" s="8" t="s">
        <v>174</v>
      </c>
      <c r="L127" s="8">
        <v>1</v>
      </c>
      <c r="M127" s="8">
        <v>1</v>
      </c>
      <c r="N127" s="10" t="s">
        <v>21</v>
      </c>
      <c r="O127" s="17" t="s">
        <v>328</v>
      </c>
      <c r="P127" s="10" t="str">
        <f t="shared" si="56"/>
        <v>NCC-NorESM1-M_Scaled_Cluster3_repl1.sqlite</v>
      </c>
      <c r="Q127" s="11">
        <f t="shared" si="57"/>
        <v>3</v>
      </c>
      <c r="R127" s="16" t="str">
        <f t="shared" si="58"/>
        <v>climate_db_NCC-NorESM1-M_historical_v4.sqlite</v>
      </c>
      <c r="S127" s="16" t="str">
        <f t="shared" si="59"/>
        <v>log/NCC-NorESM1-M_Scaled_Cluster3_repl1.txt</v>
      </c>
      <c r="T127" s="16" t="str">
        <f t="shared" si="60"/>
        <v>init/env_file_CLUSTER03_REPL1_NCC-NorESM1-M_historical.csv</v>
      </c>
      <c r="U127" s="16" t="str">
        <f t="shared" si="61"/>
        <v>init/env_grid_CLUSTER03_REPL1.asc</v>
      </c>
      <c r="V127" s="16" t="str">
        <f t="shared" si="62"/>
        <v>init/env_grid_CLUSTER03_REPL1.asc</v>
      </c>
      <c r="W127" s="16" t="str">
        <f t="shared" si="63"/>
        <v>trees_CLUSTER03.csv</v>
      </c>
      <c r="X127" s="16" t="str">
        <f t="shared" si="64"/>
        <v>saplings_CLUSTER03.csv</v>
      </c>
      <c r="Y127" s="16">
        <f t="shared" si="65"/>
        <v>350</v>
      </c>
      <c r="Z127" s="16" t="str">
        <f t="shared" si="66"/>
        <v>abe/no_mgmt.csv</v>
      </c>
      <c r="AA127" s="16" t="str">
        <f t="shared" si="67"/>
        <v>gis/WindModifier_cl3.asc</v>
      </c>
      <c r="AB127" s="16">
        <f t="shared" si="68"/>
        <v>7.6959355299492694E-9</v>
      </c>
      <c r="AC127" s="16" t="str">
        <f t="shared" si="69"/>
        <v>NCC-NorESM1-M_historical_point31354</v>
      </c>
      <c r="AD127" s="16" t="str">
        <f t="shared" si="70"/>
        <v>wind_Events/Scaled_cl3_repl1.txt</v>
      </c>
      <c r="AE127" s="16" t="str">
        <f t="shared" si="71"/>
        <v>NCC-NorESM1-M_Scaled_Cluster3_repl1</v>
      </c>
      <c r="AF127" s="16" t="s">
        <v>389</v>
      </c>
      <c r="AG127" s="16" t="s">
        <v>390</v>
      </c>
    </row>
    <row r="128" spans="1:33" ht="13.8">
      <c r="A128" s="7" t="str">
        <f t="shared" si="54"/>
        <v>NCC-NorESM1-M_Scaled_Cluster3_repl2</v>
      </c>
      <c r="B128" s="8" t="s">
        <v>16</v>
      </c>
      <c r="C128" s="8" t="s">
        <v>54</v>
      </c>
      <c r="D128" s="9" t="s">
        <v>17</v>
      </c>
      <c r="E128" s="9" t="str">
        <f t="shared" si="55"/>
        <v>historical</v>
      </c>
      <c r="F128" s="8">
        <v>350</v>
      </c>
      <c r="G128" s="8" t="s">
        <v>60</v>
      </c>
      <c r="H128" s="8">
        <v>3</v>
      </c>
      <c r="I128" s="19">
        <v>7.5959355299492701E-9</v>
      </c>
      <c r="J128" s="8">
        <v>3</v>
      </c>
      <c r="K128" s="8" t="s">
        <v>174</v>
      </c>
      <c r="L128" s="8">
        <v>2</v>
      </c>
      <c r="M128" s="8">
        <v>1</v>
      </c>
      <c r="N128" s="10" t="s">
        <v>21</v>
      </c>
      <c r="O128" s="17" t="s">
        <v>328</v>
      </c>
      <c r="P128" s="10" t="str">
        <f t="shared" si="56"/>
        <v>NCC-NorESM1-M_Scaled_Cluster3_repl2.sqlite</v>
      </c>
      <c r="Q128" s="11">
        <f t="shared" si="57"/>
        <v>6</v>
      </c>
      <c r="R128" s="16" t="str">
        <f t="shared" si="58"/>
        <v>climate_db_NCC-NorESM1-M_historical_v4.sqlite</v>
      </c>
      <c r="S128" s="16" t="str">
        <f t="shared" si="59"/>
        <v>log/NCC-NorESM1-M_Scaled_Cluster3_repl2.txt</v>
      </c>
      <c r="T128" s="16" t="str">
        <f t="shared" si="60"/>
        <v>init/env_file_CLUSTER03_REPL2_NCC-NorESM1-M_historical.csv</v>
      </c>
      <c r="U128" s="16" t="str">
        <f t="shared" si="61"/>
        <v>init/env_grid_CLUSTER03_REPL2.asc</v>
      </c>
      <c r="V128" s="16" t="str">
        <f t="shared" si="62"/>
        <v>init/env_grid_CLUSTER03_REPL2.asc</v>
      </c>
      <c r="W128" s="16" t="str">
        <f t="shared" si="63"/>
        <v>trees_CLUSTER03.csv</v>
      </c>
      <c r="X128" s="16" t="str">
        <f t="shared" si="64"/>
        <v>saplings_CLUSTER03.csv</v>
      </c>
      <c r="Y128" s="16">
        <f t="shared" si="65"/>
        <v>350</v>
      </c>
      <c r="Z128" s="16" t="str">
        <f t="shared" si="66"/>
        <v>abe/no_mgmt.csv</v>
      </c>
      <c r="AA128" s="16" t="str">
        <f t="shared" si="67"/>
        <v>gis/WindModifier_cl3.asc</v>
      </c>
      <c r="AB128" s="16">
        <f t="shared" si="68"/>
        <v>7.6959355299492694E-9</v>
      </c>
      <c r="AC128" s="16" t="str">
        <f t="shared" si="69"/>
        <v>NCC-NorESM1-M_historical_point31354</v>
      </c>
      <c r="AD128" s="16" t="str">
        <f t="shared" si="70"/>
        <v>wind_Events/Scaled_cl3_repl2.txt</v>
      </c>
      <c r="AE128" s="16" t="str">
        <f t="shared" si="71"/>
        <v>NCC-NorESM1-M_Scaled_Cluster3_repl2</v>
      </c>
      <c r="AF128" s="16" t="s">
        <v>630</v>
      </c>
      <c r="AG128" s="16" t="s">
        <v>631</v>
      </c>
    </row>
    <row r="129" spans="1:33" ht="13.8">
      <c r="A129" s="7" t="str">
        <f t="shared" si="54"/>
        <v>NCC-NorESM1-M_Scaled_Cluster3_repl3</v>
      </c>
      <c r="B129" s="8" t="s">
        <v>16</v>
      </c>
      <c r="C129" s="8" t="s">
        <v>54</v>
      </c>
      <c r="D129" s="9" t="s">
        <v>17</v>
      </c>
      <c r="E129" s="9" t="str">
        <f t="shared" si="55"/>
        <v>historical</v>
      </c>
      <c r="F129" s="8">
        <v>350</v>
      </c>
      <c r="G129" s="8" t="s">
        <v>60</v>
      </c>
      <c r="H129" s="8">
        <v>3</v>
      </c>
      <c r="I129" s="19">
        <v>7.5959355299492701E-9</v>
      </c>
      <c r="J129" s="8">
        <v>3</v>
      </c>
      <c r="K129" s="8" t="s">
        <v>174</v>
      </c>
      <c r="L129" s="8">
        <v>3</v>
      </c>
      <c r="M129" s="8">
        <v>1</v>
      </c>
      <c r="N129" s="10" t="s">
        <v>21</v>
      </c>
      <c r="O129" s="17" t="s">
        <v>328</v>
      </c>
      <c r="P129" s="10" t="str">
        <f t="shared" si="56"/>
        <v>NCC-NorESM1-M_Scaled_Cluster3_repl3.sqlite</v>
      </c>
      <c r="Q129" s="11">
        <f t="shared" si="57"/>
        <v>9</v>
      </c>
      <c r="R129" s="16" t="str">
        <f t="shared" si="58"/>
        <v>climate_db_NCC-NorESM1-M_historical_v4.sqlite</v>
      </c>
      <c r="S129" s="16" t="str">
        <f t="shared" si="59"/>
        <v>log/NCC-NorESM1-M_Scaled_Cluster3_repl3.txt</v>
      </c>
      <c r="T129" s="16" t="str">
        <f t="shared" si="60"/>
        <v>init/env_file_CLUSTER03_REPL3_NCC-NorESM1-M_historical.csv</v>
      </c>
      <c r="U129" s="16" t="str">
        <f t="shared" si="61"/>
        <v>init/env_grid_CLUSTER03_REPL3.asc</v>
      </c>
      <c r="V129" s="16" t="str">
        <f t="shared" si="62"/>
        <v>init/env_grid_CLUSTER03_REPL3.asc</v>
      </c>
      <c r="W129" s="16" t="str">
        <f t="shared" si="63"/>
        <v>trees_CLUSTER03.csv</v>
      </c>
      <c r="X129" s="16" t="str">
        <f t="shared" si="64"/>
        <v>saplings_CLUSTER03.csv</v>
      </c>
      <c r="Y129" s="16">
        <f t="shared" si="65"/>
        <v>350</v>
      </c>
      <c r="Z129" s="16" t="str">
        <f t="shared" si="66"/>
        <v>abe/no_mgmt.csv</v>
      </c>
      <c r="AA129" s="16" t="str">
        <f t="shared" si="67"/>
        <v>gis/WindModifier_cl3.asc</v>
      </c>
      <c r="AB129" s="16">
        <f t="shared" si="68"/>
        <v>7.6959355299492694E-9</v>
      </c>
      <c r="AC129" s="16" t="str">
        <f t="shared" si="69"/>
        <v>NCC-NorESM1-M_historical_point31354</v>
      </c>
      <c r="AD129" s="16" t="str">
        <f t="shared" si="70"/>
        <v>wind_Events/Scaled_cl3_repl3.txt</v>
      </c>
      <c r="AE129" s="16" t="str">
        <f t="shared" si="71"/>
        <v>NCC-NorESM1-M_Scaled_Cluster3_repl3</v>
      </c>
      <c r="AF129" s="16" t="s">
        <v>632</v>
      </c>
      <c r="AG129" s="16" t="s">
        <v>633</v>
      </c>
    </row>
    <row r="130" spans="1:33" ht="13.8">
      <c r="A130" s="7" t="str">
        <f t="shared" ref="A130:A161" si="72" xml:space="preserve"> G130 &amp; "_" &amp; C130 &amp;"Cluster" &amp; J130 &amp; "_repl" &amp; L130</f>
        <v>NCC-NorESM1-M_Scaled_Cluster3_repl4</v>
      </c>
      <c r="B130" s="8" t="s">
        <v>16</v>
      </c>
      <c r="C130" s="8" t="s">
        <v>54</v>
      </c>
      <c r="D130" s="9" t="s">
        <v>17</v>
      </c>
      <c r="E130" s="9" t="str">
        <f t="shared" ref="E130:E161" si="73">IF(D130="historical", "historical", IF(D130="RCP26", "rcp_2_6", IF(D130="RCP45", "rcp_4_5", "rcp_8_5")))</f>
        <v>historical</v>
      </c>
      <c r="F130" s="8">
        <v>350</v>
      </c>
      <c r="G130" s="8" t="s">
        <v>60</v>
      </c>
      <c r="H130" s="8">
        <v>3</v>
      </c>
      <c r="I130" s="19">
        <v>7.5959355299492701E-9</v>
      </c>
      <c r="J130" s="8">
        <v>3</v>
      </c>
      <c r="K130" s="8" t="s">
        <v>174</v>
      </c>
      <c r="L130" s="8">
        <v>4</v>
      </c>
      <c r="M130" s="8">
        <v>1</v>
      </c>
      <c r="N130" s="10" t="s">
        <v>21</v>
      </c>
      <c r="O130" s="17" t="s">
        <v>328</v>
      </c>
      <c r="P130" s="10" t="str">
        <f t="shared" ref="P130:P161" si="74">A130  &amp; ".sqlite"</f>
        <v>NCC-NorESM1-M_Scaled_Cluster3_repl4.sqlite</v>
      </c>
      <c r="Q130" s="11">
        <f t="shared" ref="Q130:Q161" si="75">(L130-1)*3+H130</f>
        <v>12</v>
      </c>
      <c r="R130" s="16" t="str">
        <f t="shared" ref="R130:R161" si="76">"climate_db_" &amp; G130&amp; "_" &amp;  E130&amp; "_v4.sqlite"</f>
        <v>climate_db_NCC-NorESM1-M_historical_v4.sqlite</v>
      </c>
      <c r="S130" s="16" t="str">
        <f t="shared" ref="S130:S161" si="77">"log/" &amp;A130  &amp; ".txt"</f>
        <v>log/NCC-NorESM1-M_Scaled_Cluster3_repl4.txt</v>
      </c>
      <c r="T130" s="16" t="str">
        <f t="shared" ref="T130:T161" si="78">"init/env_file_CLUSTER" &amp; TEXT(J130, "00") &amp; "_REPL" &amp; L130 &amp; "_" &amp; G130 &amp; "_" &amp; E130 &amp; ".csv"</f>
        <v>init/env_file_CLUSTER03_REPL4_NCC-NorESM1-M_historical.csv</v>
      </c>
      <c r="U130" s="16" t="str">
        <f t="shared" ref="U130:U161" si="79">"init/env_grid_CLUSTER" &amp; TEXT(J130, "00") &amp; "_REPL" &amp; L130 &amp; ".asc"</f>
        <v>init/env_grid_CLUSTER03_REPL4.asc</v>
      </c>
      <c r="V130" s="16" t="str">
        <f t="shared" ref="V130:V161" si="80">U130</f>
        <v>init/env_grid_CLUSTER03_REPL4.asc</v>
      </c>
      <c r="W130" s="16" t="str">
        <f t="shared" ref="W130:W161" si="81">"trees_CLUSTER" &amp; TEXT(J130, "00")  &amp; ".csv"</f>
        <v>trees_CLUSTER03.csv</v>
      </c>
      <c r="X130" s="16" t="str">
        <f t="shared" ref="X130:X161" si="82">"saplings_CLUSTER" &amp; TEXT(J130, "00")  &amp; ".csv"</f>
        <v>saplings_CLUSTER03.csv</v>
      </c>
      <c r="Y130" s="16">
        <f t="shared" ref="Y130:Y161" si="83">F130</f>
        <v>350</v>
      </c>
      <c r="Z130" s="16" t="str">
        <f t="shared" ref="Z130:Z161" si="84">"abe/no_mgmt.csv"</f>
        <v>abe/no_mgmt.csv</v>
      </c>
      <c r="AA130" s="16" t="str">
        <f t="shared" ref="AA130:AA161" si="85">"gis/WindModifier_cl" &amp; J130 &amp; ".asc"</f>
        <v>gis/WindModifier_cl3.asc</v>
      </c>
      <c r="AB130" s="16">
        <f t="shared" ref="AB130:AB161" si="86">IF(C130="Scaled_", I130+0.0000000001,  0.000685)</f>
        <v>7.6959355299492694E-9</v>
      </c>
      <c r="AC130" s="16" t="str">
        <f t="shared" ref="AC130:AC161" si="87">G130 &amp; "_" &amp; E130 &amp; "_point" &amp; K130</f>
        <v>NCC-NorESM1-M_historical_point31354</v>
      </c>
      <c r="AD130" s="16" t="str">
        <f t="shared" ref="AD130:AD161" si="88">"wind_Events/" &amp; C130 &amp; "cl" &amp; J130 &amp; "_repl" &amp; L130 &amp; ".txt"</f>
        <v>wind_Events/Scaled_cl3_repl4.txt</v>
      </c>
      <c r="AE130" s="16" t="str">
        <f t="shared" ref="AE130:AE161" si="89">A130</f>
        <v>NCC-NorESM1-M_Scaled_Cluster3_repl4</v>
      </c>
      <c r="AF130" s="16" t="s">
        <v>634</v>
      </c>
      <c r="AG130" s="16" t="s">
        <v>635</v>
      </c>
    </row>
    <row r="131" spans="1:33" ht="13.8">
      <c r="A131" s="7" t="str">
        <f t="shared" si="72"/>
        <v>NCC-NorESM1-M_Scaled_Cluster3_repl5</v>
      </c>
      <c r="B131" s="8" t="s">
        <v>16</v>
      </c>
      <c r="C131" s="8" t="s">
        <v>54</v>
      </c>
      <c r="D131" s="9" t="s">
        <v>17</v>
      </c>
      <c r="E131" s="9" t="str">
        <f t="shared" si="73"/>
        <v>historical</v>
      </c>
      <c r="F131" s="8">
        <v>350</v>
      </c>
      <c r="G131" s="8" t="s">
        <v>60</v>
      </c>
      <c r="H131" s="8">
        <v>3</v>
      </c>
      <c r="I131" s="19">
        <v>7.5959355299492701E-9</v>
      </c>
      <c r="J131" s="8">
        <v>3</v>
      </c>
      <c r="K131" s="8" t="s">
        <v>174</v>
      </c>
      <c r="L131" s="8">
        <v>5</v>
      </c>
      <c r="M131" s="8">
        <v>1</v>
      </c>
      <c r="N131" s="10" t="s">
        <v>21</v>
      </c>
      <c r="O131" s="17" t="s">
        <v>328</v>
      </c>
      <c r="P131" s="10" t="str">
        <f t="shared" si="74"/>
        <v>NCC-NorESM1-M_Scaled_Cluster3_repl5.sqlite</v>
      </c>
      <c r="Q131" s="11">
        <f t="shared" si="75"/>
        <v>15</v>
      </c>
      <c r="R131" s="16" t="str">
        <f t="shared" si="76"/>
        <v>climate_db_NCC-NorESM1-M_historical_v4.sqlite</v>
      </c>
      <c r="S131" s="16" t="str">
        <f t="shared" si="77"/>
        <v>log/NCC-NorESM1-M_Scaled_Cluster3_repl5.txt</v>
      </c>
      <c r="T131" s="16" t="str">
        <f t="shared" si="78"/>
        <v>init/env_file_CLUSTER03_REPL5_NCC-NorESM1-M_historical.csv</v>
      </c>
      <c r="U131" s="16" t="str">
        <f t="shared" si="79"/>
        <v>init/env_grid_CLUSTER03_REPL5.asc</v>
      </c>
      <c r="V131" s="16" t="str">
        <f t="shared" si="80"/>
        <v>init/env_grid_CLUSTER03_REPL5.asc</v>
      </c>
      <c r="W131" s="16" t="str">
        <f t="shared" si="81"/>
        <v>trees_CLUSTER03.csv</v>
      </c>
      <c r="X131" s="16" t="str">
        <f t="shared" si="82"/>
        <v>saplings_CLUSTER03.csv</v>
      </c>
      <c r="Y131" s="16">
        <f t="shared" si="83"/>
        <v>350</v>
      </c>
      <c r="Z131" s="16" t="str">
        <f t="shared" si="84"/>
        <v>abe/no_mgmt.csv</v>
      </c>
      <c r="AA131" s="16" t="str">
        <f t="shared" si="85"/>
        <v>gis/WindModifier_cl3.asc</v>
      </c>
      <c r="AB131" s="16">
        <f t="shared" si="86"/>
        <v>7.6959355299492694E-9</v>
      </c>
      <c r="AC131" s="16" t="str">
        <f t="shared" si="87"/>
        <v>NCC-NorESM1-M_historical_point31354</v>
      </c>
      <c r="AD131" s="16" t="str">
        <f t="shared" si="88"/>
        <v>wind_Events/Scaled_cl3_repl5.txt</v>
      </c>
      <c r="AE131" s="16" t="str">
        <f t="shared" si="89"/>
        <v>NCC-NorESM1-M_Scaled_Cluster3_repl5</v>
      </c>
      <c r="AF131" s="16" t="s">
        <v>636</v>
      </c>
      <c r="AG131" s="16" t="s">
        <v>637</v>
      </c>
    </row>
    <row r="132" spans="1:33" ht="13.8">
      <c r="A132" s="7" t="str">
        <f t="shared" si="72"/>
        <v>NCC-NorESM1-M_Scaled_Cluster4_repl1</v>
      </c>
      <c r="B132" s="8" t="s">
        <v>16</v>
      </c>
      <c r="C132" s="8" t="s">
        <v>54</v>
      </c>
      <c r="D132" s="9" t="s">
        <v>17</v>
      </c>
      <c r="E132" s="9" t="str">
        <f t="shared" si="73"/>
        <v>historical</v>
      </c>
      <c r="F132" s="8">
        <v>350</v>
      </c>
      <c r="G132" s="8" t="s">
        <v>60</v>
      </c>
      <c r="H132" s="8">
        <v>3</v>
      </c>
      <c r="I132" s="19">
        <v>5.0254403465713305E-7</v>
      </c>
      <c r="J132" s="8">
        <v>4</v>
      </c>
      <c r="K132" s="8" t="s">
        <v>159</v>
      </c>
      <c r="L132" s="8">
        <v>1</v>
      </c>
      <c r="M132" s="8">
        <v>1</v>
      </c>
      <c r="N132" s="10" t="s">
        <v>21</v>
      </c>
      <c r="O132" s="17" t="s">
        <v>328</v>
      </c>
      <c r="P132" s="10" t="str">
        <f t="shared" si="74"/>
        <v>NCC-NorESM1-M_Scaled_Cluster4_repl1.sqlite</v>
      </c>
      <c r="Q132" s="11">
        <f t="shared" si="75"/>
        <v>3</v>
      </c>
      <c r="R132" s="16" t="str">
        <f t="shared" si="76"/>
        <v>climate_db_NCC-NorESM1-M_historical_v4.sqlite</v>
      </c>
      <c r="S132" s="16" t="str">
        <f t="shared" si="77"/>
        <v>log/NCC-NorESM1-M_Scaled_Cluster4_repl1.txt</v>
      </c>
      <c r="T132" s="16" t="str">
        <f t="shared" si="78"/>
        <v>init/env_file_CLUSTER04_REPL1_NCC-NorESM1-M_historical.csv</v>
      </c>
      <c r="U132" s="16" t="str">
        <f t="shared" si="79"/>
        <v>init/env_grid_CLUSTER04_REPL1.asc</v>
      </c>
      <c r="V132" s="16" t="str">
        <f t="shared" si="80"/>
        <v>init/env_grid_CLUSTER04_REPL1.asc</v>
      </c>
      <c r="W132" s="16" t="str">
        <f t="shared" si="81"/>
        <v>trees_CLUSTER04.csv</v>
      </c>
      <c r="X132" s="16" t="str">
        <f t="shared" si="82"/>
        <v>saplings_CLUSTER04.csv</v>
      </c>
      <c r="Y132" s="16">
        <f t="shared" si="83"/>
        <v>350</v>
      </c>
      <c r="Z132" s="16" t="str">
        <f t="shared" si="84"/>
        <v>abe/no_mgmt.csv</v>
      </c>
      <c r="AA132" s="16" t="str">
        <f t="shared" si="85"/>
        <v>gis/WindModifier_cl4.asc</v>
      </c>
      <c r="AB132" s="16">
        <f t="shared" si="86"/>
        <v>5.0264403465713306E-7</v>
      </c>
      <c r="AC132" s="16" t="str">
        <f t="shared" si="87"/>
        <v>NCC-NorESM1-M_historical_point26511</v>
      </c>
      <c r="AD132" s="16" t="str">
        <f t="shared" si="88"/>
        <v>wind_Events/Scaled_cl4_repl1.txt</v>
      </c>
      <c r="AE132" s="16" t="str">
        <f t="shared" si="89"/>
        <v>NCC-NorESM1-M_Scaled_Cluster4_repl1</v>
      </c>
      <c r="AF132" s="16" t="s">
        <v>392</v>
      </c>
      <c r="AG132" s="16" t="s">
        <v>393</v>
      </c>
    </row>
    <row r="133" spans="1:33" ht="13.8">
      <c r="A133" s="7" t="str">
        <f t="shared" si="72"/>
        <v>NCC-NorESM1-M_Scaled_Cluster4_repl2</v>
      </c>
      <c r="B133" s="8" t="s">
        <v>16</v>
      </c>
      <c r="C133" s="8" t="s">
        <v>54</v>
      </c>
      <c r="D133" s="9" t="s">
        <v>17</v>
      </c>
      <c r="E133" s="9" t="str">
        <f t="shared" si="73"/>
        <v>historical</v>
      </c>
      <c r="F133" s="8">
        <v>350</v>
      </c>
      <c r="G133" s="8" t="s">
        <v>60</v>
      </c>
      <c r="H133" s="8">
        <v>3</v>
      </c>
      <c r="I133" s="19">
        <v>5.0254403465713305E-7</v>
      </c>
      <c r="J133" s="8">
        <v>4</v>
      </c>
      <c r="K133" s="8" t="s">
        <v>159</v>
      </c>
      <c r="L133" s="8">
        <v>2</v>
      </c>
      <c r="M133" s="8">
        <v>1</v>
      </c>
      <c r="N133" s="10" t="s">
        <v>21</v>
      </c>
      <c r="O133" s="17" t="s">
        <v>328</v>
      </c>
      <c r="P133" s="10" t="str">
        <f t="shared" si="74"/>
        <v>NCC-NorESM1-M_Scaled_Cluster4_repl2.sqlite</v>
      </c>
      <c r="Q133" s="11">
        <f t="shared" si="75"/>
        <v>6</v>
      </c>
      <c r="R133" s="16" t="str">
        <f t="shared" si="76"/>
        <v>climate_db_NCC-NorESM1-M_historical_v4.sqlite</v>
      </c>
      <c r="S133" s="16" t="str">
        <f t="shared" si="77"/>
        <v>log/NCC-NorESM1-M_Scaled_Cluster4_repl2.txt</v>
      </c>
      <c r="T133" s="16" t="str">
        <f t="shared" si="78"/>
        <v>init/env_file_CLUSTER04_REPL2_NCC-NorESM1-M_historical.csv</v>
      </c>
      <c r="U133" s="16" t="str">
        <f t="shared" si="79"/>
        <v>init/env_grid_CLUSTER04_REPL2.asc</v>
      </c>
      <c r="V133" s="16" t="str">
        <f t="shared" si="80"/>
        <v>init/env_grid_CLUSTER04_REPL2.asc</v>
      </c>
      <c r="W133" s="16" t="str">
        <f t="shared" si="81"/>
        <v>trees_CLUSTER04.csv</v>
      </c>
      <c r="X133" s="16" t="str">
        <f t="shared" si="82"/>
        <v>saplings_CLUSTER04.csv</v>
      </c>
      <c r="Y133" s="16">
        <f t="shared" si="83"/>
        <v>350</v>
      </c>
      <c r="Z133" s="16" t="str">
        <f t="shared" si="84"/>
        <v>abe/no_mgmt.csv</v>
      </c>
      <c r="AA133" s="16" t="str">
        <f t="shared" si="85"/>
        <v>gis/WindModifier_cl4.asc</v>
      </c>
      <c r="AB133" s="16">
        <f t="shared" si="86"/>
        <v>5.0264403465713306E-7</v>
      </c>
      <c r="AC133" s="16" t="str">
        <f t="shared" si="87"/>
        <v>NCC-NorESM1-M_historical_point26511</v>
      </c>
      <c r="AD133" s="16" t="str">
        <f t="shared" si="88"/>
        <v>wind_Events/Scaled_cl4_repl2.txt</v>
      </c>
      <c r="AE133" s="16" t="str">
        <f t="shared" si="89"/>
        <v>NCC-NorESM1-M_Scaled_Cluster4_repl2</v>
      </c>
      <c r="AF133" s="16" t="s">
        <v>638</v>
      </c>
      <c r="AG133" s="16" t="s">
        <v>639</v>
      </c>
    </row>
    <row r="134" spans="1:33" ht="13.8">
      <c r="A134" s="7" t="str">
        <f t="shared" si="72"/>
        <v>NCC-NorESM1-M_Scaled_Cluster4_repl3</v>
      </c>
      <c r="B134" s="8" t="s">
        <v>16</v>
      </c>
      <c r="C134" s="8" t="s">
        <v>54</v>
      </c>
      <c r="D134" s="9" t="s">
        <v>17</v>
      </c>
      <c r="E134" s="9" t="str">
        <f t="shared" si="73"/>
        <v>historical</v>
      </c>
      <c r="F134" s="8">
        <v>350</v>
      </c>
      <c r="G134" s="8" t="s">
        <v>60</v>
      </c>
      <c r="H134" s="8">
        <v>3</v>
      </c>
      <c r="I134" s="19">
        <v>5.0254403465713305E-7</v>
      </c>
      <c r="J134" s="8">
        <v>4</v>
      </c>
      <c r="K134" s="8" t="s">
        <v>159</v>
      </c>
      <c r="L134" s="8">
        <v>3</v>
      </c>
      <c r="M134" s="8">
        <v>1</v>
      </c>
      <c r="N134" s="10" t="s">
        <v>21</v>
      </c>
      <c r="O134" s="17" t="s">
        <v>328</v>
      </c>
      <c r="P134" s="10" t="str">
        <f t="shared" si="74"/>
        <v>NCC-NorESM1-M_Scaled_Cluster4_repl3.sqlite</v>
      </c>
      <c r="Q134" s="11">
        <f t="shared" si="75"/>
        <v>9</v>
      </c>
      <c r="R134" s="16" t="str">
        <f t="shared" si="76"/>
        <v>climate_db_NCC-NorESM1-M_historical_v4.sqlite</v>
      </c>
      <c r="S134" s="16" t="str">
        <f t="shared" si="77"/>
        <v>log/NCC-NorESM1-M_Scaled_Cluster4_repl3.txt</v>
      </c>
      <c r="T134" s="16" t="str">
        <f t="shared" si="78"/>
        <v>init/env_file_CLUSTER04_REPL3_NCC-NorESM1-M_historical.csv</v>
      </c>
      <c r="U134" s="16" t="str">
        <f t="shared" si="79"/>
        <v>init/env_grid_CLUSTER04_REPL3.asc</v>
      </c>
      <c r="V134" s="16" t="str">
        <f t="shared" si="80"/>
        <v>init/env_grid_CLUSTER04_REPL3.asc</v>
      </c>
      <c r="W134" s="16" t="str">
        <f t="shared" si="81"/>
        <v>trees_CLUSTER04.csv</v>
      </c>
      <c r="X134" s="16" t="str">
        <f t="shared" si="82"/>
        <v>saplings_CLUSTER04.csv</v>
      </c>
      <c r="Y134" s="16">
        <f t="shared" si="83"/>
        <v>350</v>
      </c>
      <c r="Z134" s="16" t="str">
        <f t="shared" si="84"/>
        <v>abe/no_mgmt.csv</v>
      </c>
      <c r="AA134" s="16" t="str">
        <f t="shared" si="85"/>
        <v>gis/WindModifier_cl4.asc</v>
      </c>
      <c r="AB134" s="16">
        <f t="shared" si="86"/>
        <v>5.0264403465713306E-7</v>
      </c>
      <c r="AC134" s="16" t="str">
        <f t="shared" si="87"/>
        <v>NCC-NorESM1-M_historical_point26511</v>
      </c>
      <c r="AD134" s="16" t="str">
        <f t="shared" si="88"/>
        <v>wind_Events/Scaled_cl4_repl3.txt</v>
      </c>
      <c r="AE134" s="16" t="str">
        <f t="shared" si="89"/>
        <v>NCC-NorESM1-M_Scaled_Cluster4_repl3</v>
      </c>
      <c r="AF134" s="16" t="s">
        <v>640</v>
      </c>
      <c r="AG134" s="16" t="s">
        <v>641</v>
      </c>
    </row>
    <row r="135" spans="1:33" ht="13.8">
      <c r="A135" s="7" t="str">
        <f t="shared" si="72"/>
        <v>NCC-NorESM1-M_Scaled_Cluster4_repl4</v>
      </c>
      <c r="B135" s="8" t="s">
        <v>16</v>
      </c>
      <c r="C135" s="8" t="s">
        <v>54</v>
      </c>
      <c r="D135" s="9" t="s">
        <v>17</v>
      </c>
      <c r="E135" s="9" t="str">
        <f t="shared" si="73"/>
        <v>historical</v>
      </c>
      <c r="F135" s="8">
        <v>350</v>
      </c>
      <c r="G135" s="8" t="s">
        <v>60</v>
      </c>
      <c r="H135" s="8">
        <v>3</v>
      </c>
      <c r="I135" s="19">
        <v>5.0254403465713305E-7</v>
      </c>
      <c r="J135" s="8">
        <v>4</v>
      </c>
      <c r="K135" s="8" t="s">
        <v>159</v>
      </c>
      <c r="L135" s="8">
        <v>4</v>
      </c>
      <c r="M135" s="8">
        <v>1</v>
      </c>
      <c r="N135" s="10" t="s">
        <v>21</v>
      </c>
      <c r="O135" s="17" t="s">
        <v>328</v>
      </c>
      <c r="P135" s="10" t="str">
        <f t="shared" si="74"/>
        <v>NCC-NorESM1-M_Scaled_Cluster4_repl4.sqlite</v>
      </c>
      <c r="Q135" s="11">
        <f t="shared" si="75"/>
        <v>12</v>
      </c>
      <c r="R135" s="16" t="str">
        <f t="shared" si="76"/>
        <v>climate_db_NCC-NorESM1-M_historical_v4.sqlite</v>
      </c>
      <c r="S135" s="16" t="str">
        <f t="shared" si="77"/>
        <v>log/NCC-NorESM1-M_Scaled_Cluster4_repl4.txt</v>
      </c>
      <c r="T135" s="16" t="str">
        <f t="shared" si="78"/>
        <v>init/env_file_CLUSTER04_REPL4_NCC-NorESM1-M_historical.csv</v>
      </c>
      <c r="U135" s="16" t="str">
        <f t="shared" si="79"/>
        <v>init/env_grid_CLUSTER04_REPL4.asc</v>
      </c>
      <c r="V135" s="16" t="str">
        <f t="shared" si="80"/>
        <v>init/env_grid_CLUSTER04_REPL4.asc</v>
      </c>
      <c r="W135" s="16" t="str">
        <f t="shared" si="81"/>
        <v>trees_CLUSTER04.csv</v>
      </c>
      <c r="X135" s="16" t="str">
        <f t="shared" si="82"/>
        <v>saplings_CLUSTER04.csv</v>
      </c>
      <c r="Y135" s="16">
        <f t="shared" si="83"/>
        <v>350</v>
      </c>
      <c r="Z135" s="16" t="str">
        <f t="shared" si="84"/>
        <v>abe/no_mgmt.csv</v>
      </c>
      <c r="AA135" s="16" t="str">
        <f t="shared" si="85"/>
        <v>gis/WindModifier_cl4.asc</v>
      </c>
      <c r="AB135" s="16">
        <f t="shared" si="86"/>
        <v>5.0264403465713306E-7</v>
      </c>
      <c r="AC135" s="16" t="str">
        <f t="shared" si="87"/>
        <v>NCC-NorESM1-M_historical_point26511</v>
      </c>
      <c r="AD135" s="16" t="str">
        <f t="shared" si="88"/>
        <v>wind_Events/Scaled_cl4_repl4.txt</v>
      </c>
      <c r="AE135" s="16" t="str">
        <f t="shared" si="89"/>
        <v>NCC-NorESM1-M_Scaled_Cluster4_repl4</v>
      </c>
      <c r="AF135" s="16" t="s">
        <v>642</v>
      </c>
      <c r="AG135" s="16" t="s">
        <v>643</v>
      </c>
    </row>
    <row r="136" spans="1:33" ht="13.8">
      <c r="A136" s="7" t="str">
        <f t="shared" si="72"/>
        <v>NCC-NorESM1-M_Scaled_Cluster4_repl5</v>
      </c>
      <c r="B136" s="8" t="s">
        <v>16</v>
      </c>
      <c r="C136" s="8" t="s">
        <v>54</v>
      </c>
      <c r="D136" s="9" t="s">
        <v>17</v>
      </c>
      <c r="E136" s="9" t="str">
        <f t="shared" si="73"/>
        <v>historical</v>
      </c>
      <c r="F136" s="8">
        <v>350</v>
      </c>
      <c r="G136" s="8" t="s">
        <v>60</v>
      </c>
      <c r="H136" s="8">
        <v>3</v>
      </c>
      <c r="I136" s="19">
        <v>5.0254403465713305E-7</v>
      </c>
      <c r="J136" s="8">
        <v>4</v>
      </c>
      <c r="K136" s="8" t="s">
        <v>159</v>
      </c>
      <c r="L136" s="8">
        <v>5</v>
      </c>
      <c r="M136" s="8">
        <v>1</v>
      </c>
      <c r="N136" s="10" t="s">
        <v>21</v>
      </c>
      <c r="O136" s="17" t="s">
        <v>328</v>
      </c>
      <c r="P136" s="10" t="str">
        <f t="shared" si="74"/>
        <v>NCC-NorESM1-M_Scaled_Cluster4_repl5.sqlite</v>
      </c>
      <c r="Q136" s="11">
        <f t="shared" si="75"/>
        <v>15</v>
      </c>
      <c r="R136" s="16" t="str">
        <f t="shared" si="76"/>
        <v>climate_db_NCC-NorESM1-M_historical_v4.sqlite</v>
      </c>
      <c r="S136" s="16" t="str">
        <f t="shared" si="77"/>
        <v>log/NCC-NorESM1-M_Scaled_Cluster4_repl5.txt</v>
      </c>
      <c r="T136" s="16" t="str">
        <f t="shared" si="78"/>
        <v>init/env_file_CLUSTER04_REPL5_NCC-NorESM1-M_historical.csv</v>
      </c>
      <c r="U136" s="16" t="str">
        <f t="shared" si="79"/>
        <v>init/env_grid_CLUSTER04_REPL5.asc</v>
      </c>
      <c r="V136" s="16" t="str">
        <f t="shared" si="80"/>
        <v>init/env_grid_CLUSTER04_REPL5.asc</v>
      </c>
      <c r="W136" s="16" t="str">
        <f t="shared" si="81"/>
        <v>trees_CLUSTER04.csv</v>
      </c>
      <c r="X136" s="16" t="str">
        <f t="shared" si="82"/>
        <v>saplings_CLUSTER04.csv</v>
      </c>
      <c r="Y136" s="16">
        <f t="shared" si="83"/>
        <v>350</v>
      </c>
      <c r="Z136" s="16" t="str">
        <f t="shared" si="84"/>
        <v>abe/no_mgmt.csv</v>
      </c>
      <c r="AA136" s="16" t="str">
        <f t="shared" si="85"/>
        <v>gis/WindModifier_cl4.asc</v>
      </c>
      <c r="AB136" s="16">
        <f t="shared" si="86"/>
        <v>5.0264403465713306E-7</v>
      </c>
      <c r="AC136" s="16" t="str">
        <f t="shared" si="87"/>
        <v>NCC-NorESM1-M_historical_point26511</v>
      </c>
      <c r="AD136" s="16" t="str">
        <f t="shared" si="88"/>
        <v>wind_Events/Scaled_cl4_repl5.txt</v>
      </c>
      <c r="AE136" s="16" t="str">
        <f t="shared" si="89"/>
        <v>NCC-NorESM1-M_Scaled_Cluster4_repl5</v>
      </c>
      <c r="AF136" s="16" t="s">
        <v>644</v>
      </c>
      <c r="AG136" s="16" t="s">
        <v>645</v>
      </c>
    </row>
    <row r="137" spans="1:33" ht="13.8">
      <c r="A137" s="7" t="str">
        <f t="shared" si="72"/>
        <v>NCC-NorESM1-M_Scaled_Cluster5_repl1</v>
      </c>
      <c r="B137" s="8" t="s">
        <v>16</v>
      </c>
      <c r="C137" s="8" t="s">
        <v>54</v>
      </c>
      <c r="D137" s="9" t="s">
        <v>17</v>
      </c>
      <c r="E137" s="9" t="str">
        <f t="shared" si="73"/>
        <v>historical</v>
      </c>
      <c r="F137" s="8">
        <v>350</v>
      </c>
      <c r="G137" s="8" t="s">
        <v>60</v>
      </c>
      <c r="H137" s="8">
        <v>3</v>
      </c>
      <c r="I137" s="19">
        <v>9.9999999999999995E-8</v>
      </c>
      <c r="J137" s="8">
        <v>5</v>
      </c>
      <c r="K137" s="8" t="s">
        <v>175</v>
      </c>
      <c r="L137" s="8">
        <v>1</v>
      </c>
      <c r="M137" s="8">
        <v>1</v>
      </c>
      <c r="N137" s="10" t="s">
        <v>21</v>
      </c>
      <c r="O137" s="17" t="s">
        <v>328</v>
      </c>
      <c r="P137" s="10" t="str">
        <f t="shared" si="74"/>
        <v>NCC-NorESM1-M_Scaled_Cluster5_repl1.sqlite</v>
      </c>
      <c r="Q137" s="11">
        <f t="shared" si="75"/>
        <v>3</v>
      </c>
      <c r="R137" s="16" t="str">
        <f t="shared" si="76"/>
        <v>climate_db_NCC-NorESM1-M_historical_v4.sqlite</v>
      </c>
      <c r="S137" s="16" t="str">
        <f t="shared" si="77"/>
        <v>log/NCC-NorESM1-M_Scaled_Cluster5_repl1.txt</v>
      </c>
      <c r="T137" s="16" t="str">
        <f t="shared" si="78"/>
        <v>init/env_file_CLUSTER05_REPL1_NCC-NorESM1-M_historical.csv</v>
      </c>
      <c r="U137" s="16" t="str">
        <f t="shared" si="79"/>
        <v>init/env_grid_CLUSTER05_REPL1.asc</v>
      </c>
      <c r="V137" s="16" t="str">
        <f t="shared" si="80"/>
        <v>init/env_grid_CLUSTER05_REPL1.asc</v>
      </c>
      <c r="W137" s="16" t="str">
        <f t="shared" si="81"/>
        <v>trees_CLUSTER05.csv</v>
      </c>
      <c r="X137" s="16" t="str">
        <f t="shared" si="82"/>
        <v>saplings_CLUSTER05.csv</v>
      </c>
      <c r="Y137" s="16">
        <f t="shared" si="83"/>
        <v>350</v>
      </c>
      <c r="Z137" s="16" t="str">
        <f t="shared" si="84"/>
        <v>abe/no_mgmt.csv</v>
      </c>
      <c r="AA137" s="16" t="str">
        <f t="shared" si="85"/>
        <v>gis/WindModifier_cl5.asc</v>
      </c>
      <c r="AB137" s="16">
        <f t="shared" si="86"/>
        <v>1.0009999999999999E-7</v>
      </c>
      <c r="AC137" s="16" t="str">
        <f t="shared" si="87"/>
        <v>NCC-NorESM1-M_historical_point29016</v>
      </c>
      <c r="AD137" s="16" t="str">
        <f t="shared" si="88"/>
        <v>wind_Events/Scaled_cl5_repl1.txt</v>
      </c>
      <c r="AE137" s="16" t="str">
        <f t="shared" si="89"/>
        <v>NCC-NorESM1-M_Scaled_Cluster5_repl1</v>
      </c>
      <c r="AF137" s="16" t="s">
        <v>395</v>
      </c>
      <c r="AG137" s="16" t="s">
        <v>396</v>
      </c>
    </row>
    <row r="138" spans="1:33" ht="13.8">
      <c r="A138" s="7" t="str">
        <f t="shared" si="72"/>
        <v>NCC-NorESM1-M_Scaled_Cluster5_repl2</v>
      </c>
      <c r="B138" s="8" t="s">
        <v>16</v>
      </c>
      <c r="C138" s="8" t="s">
        <v>54</v>
      </c>
      <c r="D138" s="9" t="s">
        <v>17</v>
      </c>
      <c r="E138" s="9" t="str">
        <f t="shared" si="73"/>
        <v>historical</v>
      </c>
      <c r="F138" s="8">
        <v>350</v>
      </c>
      <c r="G138" s="8" t="s">
        <v>60</v>
      </c>
      <c r="H138" s="8">
        <v>3</v>
      </c>
      <c r="I138" s="19">
        <v>9.9999999999999995E-8</v>
      </c>
      <c r="J138" s="8">
        <v>5</v>
      </c>
      <c r="K138" s="8" t="s">
        <v>175</v>
      </c>
      <c r="L138" s="8">
        <v>2</v>
      </c>
      <c r="M138" s="8">
        <v>1</v>
      </c>
      <c r="N138" s="10" t="s">
        <v>21</v>
      </c>
      <c r="O138" s="17" t="s">
        <v>328</v>
      </c>
      <c r="P138" s="10" t="str">
        <f t="shared" si="74"/>
        <v>NCC-NorESM1-M_Scaled_Cluster5_repl2.sqlite</v>
      </c>
      <c r="Q138" s="11">
        <f t="shared" si="75"/>
        <v>6</v>
      </c>
      <c r="R138" s="16" t="str">
        <f t="shared" si="76"/>
        <v>climate_db_NCC-NorESM1-M_historical_v4.sqlite</v>
      </c>
      <c r="S138" s="16" t="str">
        <f t="shared" si="77"/>
        <v>log/NCC-NorESM1-M_Scaled_Cluster5_repl2.txt</v>
      </c>
      <c r="T138" s="16" t="str">
        <f t="shared" si="78"/>
        <v>init/env_file_CLUSTER05_REPL2_NCC-NorESM1-M_historical.csv</v>
      </c>
      <c r="U138" s="16" t="str">
        <f t="shared" si="79"/>
        <v>init/env_grid_CLUSTER05_REPL2.asc</v>
      </c>
      <c r="V138" s="16" t="str">
        <f t="shared" si="80"/>
        <v>init/env_grid_CLUSTER05_REPL2.asc</v>
      </c>
      <c r="W138" s="16" t="str">
        <f t="shared" si="81"/>
        <v>trees_CLUSTER05.csv</v>
      </c>
      <c r="X138" s="16" t="str">
        <f t="shared" si="82"/>
        <v>saplings_CLUSTER05.csv</v>
      </c>
      <c r="Y138" s="16">
        <f t="shared" si="83"/>
        <v>350</v>
      </c>
      <c r="Z138" s="16" t="str">
        <f t="shared" si="84"/>
        <v>abe/no_mgmt.csv</v>
      </c>
      <c r="AA138" s="16" t="str">
        <f t="shared" si="85"/>
        <v>gis/WindModifier_cl5.asc</v>
      </c>
      <c r="AB138" s="16">
        <f t="shared" si="86"/>
        <v>1.0009999999999999E-7</v>
      </c>
      <c r="AC138" s="16" t="str">
        <f t="shared" si="87"/>
        <v>NCC-NorESM1-M_historical_point29016</v>
      </c>
      <c r="AD138" s="16" t="str">
        <f t="shared" si="88"/>
        <v>wind_Events/Scaled_cl5_repl2.txt</v>
      </c>
      <c r="AE138" s="16" t="str">
        <f t="shared" si="89"/>
        <v>NCC-NorESM1-M_Scaled_Cluster5_repl2</v>
      </c>
      <c r="AF138" s="16" t="s">
        <v>646</v>
      </c>
      <c r="AG138" s="16" t="s">
        <v>647</v>
      </c>
    </row>
    <row r="139" spans="1:33" ht="13.8">
      <c r="A139" s="7" t="str">
        <f t="shared" si="72"/>
        <v>NCC-NorESM1-M_Scaled_Cluster5_repl3</v>
      </c>
      <c r="B139" s="8" t="s">
        <v>16</v>
      </c>
      <c r="C139" s="8" t="s">
        <v>54</v>
      </c>
      <c r="D139" s="9" t="s">
        <v>17</v>
      </c>
      <c r="E139" s="9" t="str">
        <f t="shared" si="73"/>
        <v>historical</v>
      </c>
      <c r="F139" s="8">
        <v>350</v>
      </c>
      <c r="G139" s="8" t="s">
        <v>60</v>
      </c>
      <c r="H139" s="8">
        <v>3</v>
      </c>
      <c r="I139" s="19">
        <v>9.9999999999999995E-8</v>
      </c>
      <c r="J139" s="8">
        <v>5</v>
      </c>
      <c r="K139" s="8" t="s">
        <v>175</v>
      </c>
      <c r="L139" s="8">
        <v>3</v>
      </c>
      <c r="M139" s="8">
        <v>1</v>
      </c>
      <c r="N139" s="10" t="s">
        <v>21</v>
      </c>
      <c r="O139" s="17" t="s">
        <v>328</v>
      </c>
      <c r="P139" s="10" t="str">
        <f t="shared" si="74"/>
        <v>NCC-NorESM1-M_Scaled_Cluster5_repl3.sqlite</v>
      </c>
      <c r="Q139" s="11">
        <f t="shared" si="75"/>
        <v>9</v>
      </c>
      <c r="R139" s="16" t="str">
        <f t="shared" si="76"/>
        <v>climate_db_NCC-NorESM1-M_historical_v4.sqlite</v>
      </c>
      <c r="S139" s="16" t="str">
        <f t="shared" si="77"/>
        <v>log/NCC-NorESM1-M_Scaled_Cluster5_repl3.txt</v>
      </c>
      <c r="T139" s="16" t="str">
        <f t="shared" si="78"/>
        <v>init/env_file_CLUSTER05_REPL3_NCC-NorESM1-M_historical.csv</v>
      </c>
      <c r="U139" s="16" t="str">
        <f t="shared" si="79"/>
        <v>init/env_grid_CLUSTER05_REPL3.asc</v>
      </c>
      <c r="V139" s="16" t="str">
        <f t="shared" si="80"/>
        <v>init/env_grid_CLUSTER05_REPL3.asc</v>
      </c>
      <c r="W139" s="16" t="str">
        <f t="shared" si="81"/>
        <v>trees_CLUSTER05.csv</v>
      </c>
      <c r="X139" s="16" t="str">
        <f t="shared" si="82"/>
        <v>saplings_CLUSTER05.csv</v>
      </c>
      <c r="Y139" s="16">
        <f t="shared" si="83"/>
        <v>350</v>
      </c>
      <c r="Z139" s="16" t="str">
        <f t="shared" si="84"/>
        <v>abe/no_mgmt.csv</v>
      </c>
      <c r="AA139" s="16" t="str">
        <f t="shared" si="85"/>
        <v>gis/WindModifier_cl5.asc</v>
      </c>
      <c r="AB139" s="16">
        <f t="shared" si="86"/>
        <v>1.0009999999999999E-7</v>
      </c>
      <c r="AC139" s="16" t="str">
        <f t="shared" si="87"/>
        <v>NCC-NorESM1-M_historical_point29016</v>
      </c>
      <c r="AD139" s="16" t="str">
        <f t="shared" si="88"/>
        <v>wind_Events/Scaled_cl5_repl3.txt</v>
      </c>
      <c r="AE139" s="16" t="str">
        <f t="shared" si="89"/>
        <v>NCC-NorESM1-M_Scaled_Cluster5_repl3</v>
      </c>
      <c r="AF139" s="16" t="s">
        <v>648</v>
      </c>
      <c r="AG139" s="16" t="s">
        <v>649</v>
      </c>
    </row>
    <row r="140" spans="1:33" ht="13.8">
      <c r="A140" s="7" t="str">
        <f t="shared" si="72"/>
        <v>NCC-NorESM1-M_Scaled_Cluster5_repl4</v>
      </c>
      <c r="B140" s="8" t="s">
        <v>16</v>
      </c>
      <c r="C140" s="8" t="s">
        <v>54</v>
      </c>
      <c r="D140" s="9" t="s">
        <v>17</v>
      </c>
      <c r="E140" s="9" t="str">
        <f t="shared" si="73"/>
        <v>historical</v>
      </c>
      <c r="F140" s="8">
        <v>350</v>
      </c>
      <c r="G140" s="8" t="s">
        <v>60</v>
      </c>
      <c r="H140" s="8">
        <v>3</v>
      </c>
      <c r="I140" s="19">
        <v>9.9999999999999995E-8</v>
      </c>
      <c r="J140" s="8">
        <v>5</v>
      </c>
      <c r="K140" s="8" t="s">
        <v>175</v>
      </c>
      <c r="L140" s="8">
        <v>4</v>
      </c>
      <c r="M140" s="8">
        <v>1</v>
      </c>
      <c r="N140" s="10" t="s">
        <v>21</v>
      </c>
      <c r="O140" s="17" t="s">
        <v>328</v>
      </c>
      <c r="P140" s="10" t="str">
        <f t="shared" si="74"/>
        <v>NCC-NorESM1-M_Scaled_Cluster5_repl4.sqlite</v>
      </c>
      <c r="Q140" s="11">
        <f t="shared" si="75"/>
        <v>12</v>
      </c>
      <c r="R140" s="16" t="str">
        <f t="shared" si="76"/>
        <v>climate_db_NCC-NorESM1-M_historical_v4.sqlite</v>
      </c>
      <c r="S140" s="16" t="str">
        <f t="shared" si="77"/>
        <v>log/NCC-NorESM1-M_Scaled_Cluster5_repl4.txt</v>
      </c>
      <c r="T140" s="16" t="str">
        <f t="shared" si="78"/>
        <v>init/env_file_CLUSTER05_REPL4_NCC-NorESM1-M_historical.csv</v>
      </c>
      <c r="U140" s="16" t="str">
        <f t="shared" si="79"/>
        <v>init/env_grid_CLUSTER05_REPL4.asc</v>
      </c>
      <c r="V140" s="16" t="str">
        <f t="shared" si="80"/>
        <v>init/env_grid_CLUSTER05_REPL4.asc</v>
      </c>
      <c r="W140" s="16" t="str">
        <f t="shared" si="81"/>
        <v>trees_CLUSTER05.csv</v>
      </c>
      <c r="X140" s="16" t="str">
        <f t="shared" si="82"/>
        <v>saplings_CLUSTER05.csv</v>
      </c>
      <c r="Y140" s="16">
        <f t="shared" si="83"/>
        <v>350</v>
      </c>
      <c r="Z140" s="16" t="str">
        <f t="shared" si="84"/>
        <v>abe/no_mgmt.csv</v>
      </c>
      <c r="AA140" s="16" t="str">
        <f t="shared" si="85"/>
        <v>gis/WindModifier_cl5.asc</v>
      </c>
      <c r="AB140" s="16">
        <f t="shared" si="86"/>
        <v>1.0009999999999999E-7</v>
      </c>
      <c r="AC140" s="16" t="str">
        <f t="shared" si="87"/>
        <v>NCC-NorESM1-M_historical_point29016</v>
      </c>
      <c r="AD140" s="16" t="str">
        <f t="shared" si="88"/>
        <v>wind_Events/Scaled_cl5_repl4.txt</v>
      </c>
      <c r="AE140" s="16" t="str">
        <f t="shared" si="89"/>
        <v>NCC-NorESM1-M_Scaled_Cluster5_repl4</v>
      </c>
      <c r="AF140" s="16" t="s">
        <v>650</v>
      </c>
      <c r="AG140" s="16" t="s">
        <v>651</v>
      </c>
    </row>
    <row r="141" spans="1:33" ht="13.8">
      <c r="A141" s="7" t="str">
        <f t="shared" si="72"/>
        <v>NCC-NorESM1-M_Scaled_Cluster5_repl5</v>
      </c>
      <c r="B141" s="8" t="s">
        <v>16</v>
      </c>
      <c r="C141" s="8" t="s">
        <v>54</v>
      </c>
      <c r="D141" s="9" t="s">
        <v>17</v>
      </c>
      <c r="E141" s="9" t="str">
        <f t="shared" si="73"/>
        <v>historical</v>
      </c>
      <c r="F141" s="8">
        <v>350</v>
      </c>
      <c r="G141" s="8" t="s">
        <v>60</v>
      </c>
      <c r="H141" s="8">
        <v>3</v>
      </c>
      <c r="I141" s="19">
        <v>9.9999999999999995E-8</v>
      </c>
      <c r="J141" s="8">
        <v>5</v>
      </c>
      <c r="K141" s="8" t="s">
        <v>175</v>
      </c>
      <c r="L141" s="8">
        <v>5</v>
      </c>
      <c r="M141" s="8">
        <v>1</v>
      </c>
      <c r="N141" s="10" t="s">
        <v>21</v>
      </c>
      <c r="O141" s="17" t="s">
        <v>328</v>
      </c>
      <c r="P141" s="10" t="str">
        <f t="shared" si="74"/>
        <v>NCC-NorESM1-M_Scaled_Cluster5_repl5.sqlite</v>
      </c>
      <c r="Q141" s="11">
        <f t="shared" si="75"/>
        <v>15</v>
      </c>
      <c r="R141" s="16" t="str">
        <f t="shared" si="76"/>
        <v>climate_db_NCC-NorESM1-M_historical_v4.sqlite</v>
      </c>
      <c r="S141" s="16" t="str">
        <f t="shared" si="77"/>
        <v>log/NCC-NorESM1-M_Scaled_Cluster5_repl5.txt</v>
      </c>
      <c r="T141" s="16" t="str">
        <f t="shared" si="78"/>
        <v>init/env_file_CLUSTER05_REPL5_NCC-NorESM1-M_historical.csv</v>
      </c>
      <c r="U141" s="16" t="str">
        <f t="shared" si="79"/>
        <v>init/env_grid_CLUSTER05_REPL5.asc</v>
      </c>
      <c r="V141" s="16" t="str">
        <f t="shared" si="80"/>
        <v>init/env_grid_CLUSTER05_REPL5.asc</v>
      </c>
      <c r="W141" s="16" t="str">
        <f t="shared" si="81"/>
        <v>trees_CLUSTER05.csv</v>
      </c>
      <c r="X141" s="16" t="str">
        <f t="shared" si="82"/>
        <v>saplings_CLUSTER05.csv</v>
      </c>
      <c r="Y141" s="16">
        <f t="shared" si="83"/>
        <v>350</v>
      </c>
      <c r="Z141" s="16" t="str">
        <f t="shared" si="84"/>
        <v>abe/no_mgmt.csv</v>
      </c>
      <c r="AA141" s="16" t="str">
        <f t="shared" si="85"/>
        <v>gis/WindModifier_cl5.asc</v>
      </c>
      <c r="AB141" s="16">
        <f t="shared" si="86"/>
        <v>1.0009999999999999E-7</v>
      </c>
      <c r="AC141" s="16" t="str">
        <f t="shared" si="87"/>
        <v>NCC-NorESM1-M_historical_point29016</v>
      </c>
      <c r="AD141" s="16" t="str">
        <f t="shared" si="88"/>
        <v>wind_Events/Scaled_cl5_repl5.txt</v>
      </c>
      <c r="AE141" s="16" t="str">
        <f t="shared" si="89"/>
        <v>NCC-NorESM1-M_Scaled_Cluster5_repl5</v>
      </c>
      <c r="AF141" s="16" t="s">
        <v>652</v>
      </c>
      <c r="AG141" s="16" t="s">
        <v>653</v>
      </c>
    </row>
    <row r="142" spans="1:33" ht="13.8">
      <c r="A142" s="7" t="str">
        <f t="shared" si="72"/>
        <v>NCC-NorESM1-M_Scaled_Cluster6_repl1</v>
      </c>
      <c r="B142" s="8" t="s">
        <v>16</v>
      </c>
      <c r="C142" s="8" t="s">
        <v>54</v>
      </c>
      <c r="D142" s="9" t="s">
        <v>17</v>
      </c>
      <c r="E142" s="9" t="str">
        <f t="shared" si="73"/>
        <v>historical</v>
      </c>
      <c r="F142" s="8">
        <v>350</v>
      </c>
      <c r="G142" s="8" t="s">
        <v>60</v>
      </c>
      <c r="H142" s="8">
        <v>3</v>
      </c>
      <c r="I142" s="19">
        <v>1.2364860585627399E-7</v>
      </c>
      <c r="J142" s="8">
        <v>6</v>
      </c>
      <c r="K142" s="8" t="s">
        <v>176</v>
      </c>
      <c r="L142" s="8">
        <v>1</v>
      </c>
      <c r="M142" s="8">
        <v>1</v>
      </c>
      <c r="N142" s="10" t="s">
        <v>21</v>
      </c>
      <c r="O142" s="17" t="s">
        <v>328</v>
      </c>
      <c r="P142" s="10" t="str">
        <f t="shared" si="74"/>
        <v>NCC-NorESM1-M_Scaled_Cluster6_repl1.sqlite</v>
      </c>
      <c r="Q142" s="11">
        <f t="shared" si="75"/>
        <v>3</v>
      </c>
      <c r="R142" s="16" t="str">
        <f t="shared" si="76"/>
        <v>climate_db_NCC-NorESM1-M_historical_v4.sqlite</v>
      </c>
      <c r="S142" s="16" t="str">
        <f t="shared" si="77"/>
        <v>log/NCC-NorESM1-M_Scaled_Cluster6_repl1.txt</v>
      </c>
      <c r="T142" s="16" t="str">
        <f t="shared" si="78"/>
        <v>init/env_file_CLUSTER06_REPL1_NCC-NorESM1-M_historical.csv</v>
      </c>
      <c r="U142" s="16" t="str">
        <f t="shared" si="79"/>
        <v>init/env_grid_CLUSTER06_REPL1.asc</v>
      </c>
      <c r="V142" s="16" t="str">
        <f t="shared" si="80"/>
        <v>init/env_grid_CLUSTER06_REPL1.asc</v>
      </c>
      <c r="W142" s="16" t="str">
        <f t="shared" si="81"/>
        <v>trees_CLUSTER06.csv</v>
      </c>
      <c r="X142" s="16" t="str">
        <f t="shared" si="82"/>
        <v>saplings_CLUSTER06.csv</v>
      </c>
      <c r="Y142" s="16">
        <f t="shared" si="83"/>
        <v>350</v>
      </c>
      <c r="Z142" s="16" t="str">
        <f t="shared" si="84"/>
        <v>abe/no_mgmt.csv</v>
      </c>
      <c r="AA142" s="16" t="str">
        <f t="shared" si="85"/>
        <v>gis/WindModifier_cl6.asc</v>
      </c>
      <c r="AB142" s="16">
        <f t="shared" si="86"/>
        <v>1.23748605856274E-7</v>
      </c>
      <c r="AC142" s="16" t="str">
        <f t="shared" si="87"/>
        <v>NCC-NorESM1-M_historical_point30070</v>
      </c>
      <c r="AD142" s="16" t="str">
        <f t="shared" si="88"/>
        <v>wind_Events/Scaled_cl6_repl1.txt</v>
      </c>
      <c r="AE142" s="16" t="str">
        <f t="shared" si="89"/>
        <v>NCC-NorESM1-M_Scaled_Cluster6_repl1</v>
      </c>
      <c r="AF142" s="16" t="s">
        <v>398</v>
      </c>
      <c r="AG142" s="16" t="s">
        <v>399</v>
      </c>
    </row>
    <row r="143" spans="1:33" ht="13.8">
      <c r="A143" s="7" t="str">
        <f t="shared" si="72"/>
        <v>NCC-NorESM1-M_Scaled_Cluster6_repl2</v>
      </c>
      <c r="B143" s="8" t="s">
        <v>16</v>
      </c>
      <c r="C143" s="8" t="s">
        <v>54</v>
      </c>
      <c r="D143" s="9" t="s">
        <v>17</v>
      </c>
      <c r="E143" s="9" t="str">
        <f t="shared" si="73"/>
        <v>historical</v>
      </c>
      <c r="F143" s="8">
        <v>350</v>
      </c>
      <c r="G143" s="8" t="s">
        <v>60</v>
      </c>
      <c r="H143" s="8">
        <v>3</v>
      </c>
      <c r="I143" s="19">
        <v>1.2364860585627399E-7</v>
      </c>
      <c r="J143" s="8">
        <v>6</v>
      </c>
      <c r="K143" s="8" t="s">
        <v>176</v>
      </c>
      <c r="L143" s="8">
        <v>2</v>
      </c>
      <c r="M143" s="8">
        <v>1</v>
      </c>
      <c r="N143" s="10" t="s">
        <v>21</v>
      </c>
      <c r="O143" s="17" t="s">
        <v>328</v>
      </c>
      <c r="P143" s="10" t="str">
        <f t="shared" si="74"/>
        <v>NCC-NorESM1-M_Scaled_Cluster6_repl2.sqlite</v>
      </c>
      <c r="Q143" s="11">
        <f t="shared" si="75"/>
        <v>6</v>
      </c>
      <c r="R143" s="16" t="str">
        <f t="shared" si="76"/>
        <v>climate_db_NCC-NorESM1-M_historical_v4.sqlite</v>
      </c>
      <c r="S143" s="16" t="str">
        <f t="shared" si="77"/>
        <v>log/NCC-NorESM1-M_Scaled_Cluster6_repl2.txt</v>
      </c>
      <c r="T143" s="16" t="str">
        <f t="shared" si="78"/>
        <v>init/env_file_CLUSTER06_REPL2_NCC-NorESM1-M_historical.csv</v>
      </c>
      <c r="U143" s="16" t="str">
        <f t="shared" si="79"/>
        <v>init/env_grid_CLUSTER06_REPL2.asc</v>
      </c>
      <c r="V143" s="16" t="str">
        <f t="shared" si="80"/>
        <v>init/env_grid_CLUSTER06_REPL2.asc</v>
      </c>
      <c r="W143" s="16" t="str">
        <f t="shared" si="81"/>
        <v>trees_CLUSTER06.csv</v>
      </c>
      <c r="X143" s="16" t="str">
        <f t="shared" si="82"/>
        <v>saplings_CLUSTER06.csv</v>
      </c>
      <c r="Y143" s="16">
        <f t="shared" si="83"/>
        <v>350</v>
      </c>
      <c r="Z143" s="16" t="str">
        <f t="shared" si="84"/>
        <v>abe/no_mgmt.csv</v>
      </c>
      <c r="AA143" s="16" t="str">
        <f t="shared" si="85"/>
        <v>gis/WindModifier_cl6.asc</v>
      </c>
      <c r="AB143" s="16">
        <f t="shared" si="86"/>
        <v>1.23748605856274E-7</v>
      </c>
      <c r="AC143" s="16" t="str">
        <f t="shared" si="87"/>
        <v>NCC-NorESM1-M_historical_point30070</v>
      </c>
      <c r="AD143" s="16" t="str">
        <f t="shared" si="88"/>
        <v>wind_Events/Scaled_cl6_repl2.txt</v>
      </c>
      <c r="AE143" s="16" t="str">
        <f t="shared" si="89"/>
        <v>NCC-NorESM1-M_Scaled_Cluster6_repl2</v>
      </c>
      <c r="AF143" s="16" t="s">
        <v>654</v>
      </c>
      <c r="AG143" s="16" t="s">
        <v>655</v>
      </c>
    </row>
    <row r="144" spans="1:33" ht="13.8">
      <c r="A144" s="7" t="str">
        <f t="shared" si="72"/>
        <v>NCC-NorESM1-M_Scaled_Cluster6_repl3</v>
      </c>
      <c r="B144" s="8" t="s">
        <v>16</v>
      </c>
      <c r="C144" s="8" t="s">
        <v>54</v>
      </c>
      <c r="D144" s="9" t="s">
        <v>17</v>
      </c>
      <c r="E144" s="9" t="str">
        <f t="shared" si="73"/>
        <v>historical</v>
      </c>
      <c r="F144" s="8">
        <v>350</v>
      </c>
      <c r="G144" s="8" t="s">
        <v>60</v>
      </c>
      <c r="H144" s="8">
        <v>3</v>
      </c>
      <c r="I144" s="19">
        <v>1.2364860585627399E-7</v>
      </c>
      <c r="J144" s="8">
        <v>6</v>
      </c>
      <c r="K144" s="8" t="s">
        <v>176</v>
      </c>
      <c r="L144" s="8">
        <v>3</v>
      </c>
      <c r="M144" s="8">
        <v>1</v>
      </c>
      <c r="N144" s="10" t="s">
        <v>21</v>
      </c>
      <c r="O144" s="17" t="s">
        <v>328</v>
      </c>
      <c r="P144" s="10" t="str">
        <f t="shared" si="74"/>
        <v>NCC-NorESM1-M_Scaled_Cluster6_repl3.sqlite</v>
      </c>
      <c r="Q144" s="11">
        <f t="shared" si="75"/>
        <v>9</v>
      </c>
      <c r="R144" s="16" t="str">
        <f t="shared" si="76"/>
        <v>climate_db_NCC-NorESM1-M_historical_v4.sqlite</v>
      </c>
      <c r="S144" s="16" t="str">
        <f t="shared" si="77"/>
        <v>log/NCC-NorESM1-M_Scaled_Cluster6_repl3.txt</v>
      </c>
      <c r="T144" s="16" t="str">
        <f t="shared" si="78"/>
        <v>init/env_file_CLUSTER06_REPL3_NCC-NorESM1-M_historical.csv</v>
      </c>
      <c r="U144" s="16" t="str">
        <f t="shared" si="79"/>
        <v>init/env_grid_CLUSTER06_REPL3.asc</v>
      </c>
      <c r="V144" s="16" t="str">
        <f t="shared" si="80"/>
        <v>init/env_grid_CLUSTER06_REPL3.asc</v>
      </c>
      <c r="W144" s="16" t="str">
        <f t="shared" si="81"/>
        <v>trees_CLUSTER06.csv</v>
      </c>
      <c r="X144" s="16" t="str">
        <f t="shared" si="82"/>
        <v>saplings_CLUSTER06.csv</v>
      </c>
      <c r="Y144" s="16">
        <f t="shared" si="83"/>
        <v>350</v>
      </c>
      <c r="Z144" s="16" t="str">
        <f t="shared" si="84"/>
        <v>abe/no_mgmt.csv</v>
      </c>
      <c r="AA144" s="16" t="str">
        <f t="shared" si="85"/>
        <v>gis/WindModifier_cl6.asc</v>
      </c>
      <c r="AB144" s="16">
        <f t="shared" si="86"/>
        <v>1.23748605856274E-7</v>
      </c>
      <c r="AC144" s="16" t="str">
        <f t="shared" si="87"/>
        <v>NCC-NorESM1-M_historical_point30070</v>
      </c>
      <c r="AD144" s="16" t="str">
        <f t="shared" si="88"/>
        <v>wind_Events/Scaled_cl6_repl3.txt</v>
      </c>
      <c r="AE144" s="16" t="str">
        <f t="shared" si="89"/>
        <v>NCC-NorESM1-M_Scaled_Cluster6_repl3</v>
      </c>
      <c r="AF144" s="16" t="s">
        <v>656</v>
      </c>
      <c r="AG144" s="16" t="s">
        <v>657</v>
      </c>
    </row>
    <row r="145" spans="1:33" ht="13.8">
      <c r="A145" s="7" t="str">
        <f t="shared" si="72"/>
        <v>NCC-NorESM1-M_Scaled_Cluster6_repl4</v>
      </c>
      <c r="B145" s="8" t="s">
        <v>16</v>
      </c>
      <c r="C145" s="8" t="s">
        <v>54</v>
      </c>
      <c r="D145" s="9" t="s">
        <v>17</v>
      </c>
      <c r="E145" s="9" t="str">
        <f t="shared" si="73"/>
        <v>historical</v>
      </c>
      <c r="F145" s="8">
        <v>350</v>
      </c>
      <c r="G145" s="8" t="s">
        <v>60</v>
      </c>
      <c r="H145" s="8">
        <v>3</v>
      </c>
      <c r="I145" s="19">
        <v>1.2364860585627399E-7</v>
      </c>
      <c r="J145" s="8">
        <v>6</v>
      </c>
      <c r="K145" s="8" t="s">
        <v>176</v>
      </c>
      <c r="L145" s="8">
        <v>4</v>
      </c>
      <c r="M145" s="8">
        <v>1</v>
      </c>
      <c r="N145" s="10" t="s">
        <v>21</v>
      </c>
      <c r="O145" s="17" t="s">
        <v>328</v>
      </c>
      <c r="P145" s="10" t="str">
        <f t="shared" si="74"/>
        <v>NCC-NorESM1-M_Scaled_Cluster6_repl4.sqlite</v>
      </c>
      <c r="Q145" s="11">
        <f t="shared" si="75"/>
        <v>12</v>
      </c>
      <c r="R145" s="16" t="str">
        <f t="shared" si="76"/>
        <v>climate_db_NCC-NorESM1-M_historical_v4.sqlite</v>
      </c>
      <c r="S145" s="16" t="str">
        <f t="shared" si="77"/>
        <v>log/NCC-NorESM1-M_Scaled_Cluster6_repl4.txt</v>
      </c>
      <c r="T145" s="16" t="str">
        <f t="shared" si="78"/>
        <v>init/env_file_CLUSTER06_REPL4_NCC-NorESM1-M_historical.csv</v>
      </c>
      <c r="U145" s="16" t="str">
        <f t="shared" si="79"/>
        <v>init/env_grid_CLUSTER06_REPL4.asc</v>
      </c>
      <c r="V145" s="16" t="str">
        <f t="shared" si="80"/>
        <v>init/env_grid_CLUSTER06_REPL4.asc</v>
      </c>
      <c r="W145" s="16" t="str">
        <f t="shared" si="81"/>
        <v>trees_CLUSTER06.csv</v>
      </c>
      <c r="X145" s="16" t="str">
        <f t="shared" si="82"/>
        <v>saplings_CLUSTER06.csv</v>
      </c>
      <c r="Y145" s="16">
        <f t="shared" si="83"/>
        <v>350</v>
      </c>
      <c r="Z145" s="16" t="str">
        <f t="shared" si="84"/>
        <v>abe/no_mgmt.csv</v>
      </c>
      <c r="AA145" s="16" t="str">
        <f t="shared" si="85"/>
        <v>gis/WindModifier_cl6.asc</v>
      </c>
      <c r="AB145" s="16">
        <f t="shared" si="86"/>
        <v>1.23748605856274E-7</v>
      </c>
      <c r="AC145" s="16" t="str">
        <f t="shared" si="87"/>
        <v>NCC-NorESM1-M_historical_point30070</v>
      </c>
      <c r="AD145" s="16" t="str">
        <f t="shared" si="88"/>
        <v>wind_Events/Scaled_cl6_repl4.txt</v>
      </c>
      <c r="AE145" s="16" t="str">
        <f t="shared" si="89"/>
        <v>NCC-NorESM1-M_Scaled_Cluster6_repl4</v>
      </c>
      <c r="AF145" s="16" t="s">
        <v>658</v>
      </c>
      <c r="AG145" s="16" t="s">
        <v>659</v>
      </c>
    </row>
    <row r="146" spans="1:33" ht="13.8">
      <c r="A146" s="7" t="str">
        <f t="shared" si="72"/>
        <v>NCC-NorESM1-M_Scaled_Cluster6_repl5</v>
      </c>
      <c r="B146" s="8" t="s">
        <v>16</v>
      </c>
      <c r="C146" s="8" t="s">
        <v>54</v>
      </c>
      <c r="D146" s="9" t="s">
        <v>17</v>
      </c>
      <c r="E146" s="9" t="str">
        <f t="shared" si="73"/>
        <v>historical</v>
      </c>
      <c r="F146" s="8">
        <v>350</v>
      </c>
      <c r="G146" s="8" t="s">
        <v>60</v>
      </c>
      <c r="H146" s="8">
        <v>3</v>
      </c>
      <c r="I146" s="19">
        <v>1.2364860585627399E-7</v>
      </c>
      <c r="J146" s="8">
        <v>6</v>
      </c>
      <c r="K146" s="8" t="s">
        <v>176</v>
      </c>
      <c r="L146" s="8">
        <v>5</v>
      </c>
      <c r="M146" s="8">
        <v>1</v>
      </c>
      <c r="N146" s="10" t="s">
        <v>21</v>
      </c>
      <c r="O146" s="17" t="s">
        <v>328</v>
      </c>
      <c r="P146" s="10" t="str">
        <f t="shared" si="74"/>
        <v>NCC-NorESM1-M_Scaled_Cluster6_repl5.sqlite</v>
      </c>
      <c r="Q146" s="11">
        <f t="shared" si="75"/>
        <v>15</v>
      </c>
      <c r="R146" s="16" t="str">
        <f t="shared" si="76"/>
        <v>climate_db_NCC-NorESM1-M_historical_v4.sqlite</v>
      </c>
      <c r="S146" s="16" t="str">
        <f t="shared" si="77"/>
        <v>log/NCC-NorESM1-M_Scaled_Cluster6_repl5.txt</v>
      </c>
      <c r="T146" s="16" t="str">
        <f t="shared" si="78"/>
        <v>init/env_file_CLUSTER06_REPL5_NCC-NorESM1-M_historical.csv</v>
      </c>
      <c r="U146" s="16" t="str">
        <f t="shared" si="79"/>
        <v>init/env_grid_CLUSTER06_REPL5.asc</v>
      </c>
      <c r="V146" s="16" t="str">
        <f t="shared" si="80"/>
        <v>init/env_grid_CLUSTER06_REPL5.asc</v>
      </c>
      <c r="W146" s="16" t="str">
        <f t="shared" si="81"/>
        <v>trees_CLUSTER06.csv</v>
      </c>
      <c r="X146" s="16" t="str">
        <f t="shared" si="82"/>
        <v>saplings_CLUSTER06.csv</v>
      </c>
      <c r="Y146" s="16">
        <f t="shared" si="83"/>
        <v>350</v>
      </c>
      <c r="Z146" s="16" t="str">
        <f t="shared" si="84"/>
        <v>abe/no_mgmt.csv</v>
      </c>
      <c r="AA146" s="16" t="str">
        <f t="shared" si="85"/>
        <v>gis/WindModifier_cl6.asc</v>
      </c>
      <c r="AB146" s="16">
        <f t="shared" si="86"/>
        <v>1.23748605856274E-7</v>
      </c>
      <c r="AC146" s="16" t="str">
        <f t="shared" si="87"/>
        <v>NCC-NorESM1-M_historical_point30070</v>
      </c>
      <c r="AD146" s="16" t="str">
        <f t="shared" si="88"/>
        <v>wind_Events/Scaled_cl6_repl5.txt</v>
      </c>
      <c r="AE146" s="16" t="str">
        <f t="shared" si="89"/>
        <v>NCC-NorESM1-M_Scaled_Cluster6_repl5</v>
      </c>
      <c r="AF146" s="16" t="s">
        <v>660</v>
      </c>
      <c r="AG146" s="16" t="s">
        <v>661</v>
      </c>
    </row>
    <row r="147" spans="1:33" ht="13.8">
      <c r="A147" s="7" t="str">
        <f t="shared" si="72"/>
        <v>NCC-NorESM1-M_Scaled_Cluster7_repl1</v>
      </c>
      <c r="B147" s="8" t="s">
        <v>16</v>
      </c>
      <c r="C147" s="8" t="s">
        <v>54</v>
      </c>
      <c r="D147" s="9" t="s">
        <v>17</v>
      </c>
      <c r="E147" s="9" t="str">
        <f t="shared" si="73"/>
        <v>historical</v>
      </c>
      <c r="F147" s="8">
        <v>350</v>
      </c>
      <c r="G147" s="8" t="s">
        <v>60</v>
      </c>
      <c r="H147" s="8">
        <v>3</v>
      </c>
      <c r="I147" s="19">
        <v>4.0645289878109198E-7</v>
      </c>
      <c r="J147" s="8">
        <v>7</v>
      </c>
      <c r="K147" s="8" t="s">
        <v>177</v>
      </c>
      <c r="L147" s="8">
        <v>1</v>
      </c>
      <c r="M147" s="8">
        <v>1</v>
      </c>
      <c r="N147" s="10" t="s">
        <v>21</v>
      </c>
      <c r="O147" s="17" t="s">
        <v>328</v>
      </c>
      <c r="P147" s="10" t="str">
        <f t="shared" si="74"/>
        <v>NCC-NorESM1-M_Scaled_Cluster7_repl1.sqlite</v>
      </c>
      <c r="Q147" s="11">
        <f t="shared" si="75"/>
        <v>3</v>
      </c>
      <c r="R147" s="16" t="str">
        <f t="shared" si="76"/>
        <v>climate_db_NCC-NorESM1-M_historical_v4.sqlite</v>
      </c>
      <c r="S147" s="16" t="str">
        <f t="shared" si="77"/>
        <v>log/NCC-NorESM1-M_Scaled_Cluster7_repl1.txt</v>
      </c>
      <c r="T147" s="16" t="str">
        <f t="shared" si="78"/>
        <v>init/env_file_CLUSTER07_REPL1_NCC-NorESM1-M_historical.csv</v>
      </c>
      <c r="U147" s="16" t="str">
        <f t="shared" si="79"/>
        <v>init/env_grid_CLUSTER07_REPL1.asc</v>
      </c>
      <c r="V147" s="16" t="str">
        <f t="shared" si="80"/>
        <v>init/env_grid_CLUSTER07_REPL1.asc</v>
      </c>
      <c r="W147" s="16" t="str">
        <f t="shared" si="81"/>
        <v>trees_CLUSTER07.csv</v>
      </c>
      <c r="X147" s="16" t="str">
        <f t="shared" si="82"/>
        <v>saplings_CLUSTER07.csv</v>
      </c>
      <c r="Y147" s="16">
        <f t="shared" si="83"/>
        <v>350</v>
      </c>
      <c r="Z147" s="16" t="str">
        <f t="shared" si="84"/>
        <v>abe/no_mgmt.csv</v>
      </c>
      <c r="AA147" s="16" t="str">
        <f t="shared" si="85"/>
        <v>gis/WindModifier_cl7.asc</v>
      </c>
      <c r="AB147" s="16">
        <f t="shared" si="86"/>
        <v>4.0655289878109199E-7</v>
      </c>
      <c r="AC147" s="16" t="str">
        <f t="shared" si="87"/>
        <v>NCC-NorESM1-M_historical_point26183</v>
      </c>
      <c r="AD147" s="16" t="str">
        <f t="shared" si="88"/>
        <v>wind_Events/Scaled_cl7_repl1.txt</v>
      </c>
      <c r="AE147" s="16" t="str">
        <f t="shared" si="89"/>
        <v>NCC-NorESM1-M_Scaled_Cluster7_repl1</v>
      </c>
      <c r="AF147" s="16" t="s">
        <v>401</v>
      </c>
      <c r="AG147" s="16" t="s">
        <v>94</v>
      </c>
    </row>
    <row r="148" spans="1:33" ht="13.8">
      <c r="A148" s="7" t="str">
        <f t="shared" si="72"/>
        <v>NCC-NorESM1-M_Scaled_Cluster7_repl2</v>
      </c>
      <c r="B148" s="8" t="s">
        <v>16</v>
      </c>
      <c r="C148" s="8" t="s">
        <v>54</v>
      </c>
      <c r="D148" s="9" t="s">
        <v>17</v>
      </c>
      <c r="E148" s="9" t="str">
        <f t="shared" si="73"/>
        <v>historical</v>
      </c>
      <c r="F148" s="8">
        <v>350</v>
      </c>
      <c r="G148" s="8" t="s">
        <v>60</v>
      </c>
      <c r="H148" s="8">
        <v>3</v>
      </c>
      <c r="I148" s="19">
        <v>4.0645289878109198E-7</v>
      </c>
      <c r="J148" s="8">
        <v>7</v>
      </c>
      <c r="K148" s="8" t="s">
        <v>177</v>
      </c>
      <c r="L148" s="8">
        <v>2</v>
      </c>
      <c r="M148" s="8">
        <v>1</v>
      </c>
      <c r="N148" s="10" t="s">
        <v>21</v>
      </c>
      <c r="O148" s="17" t="s">
        <v>328</v>
      </c>
      <c r="P148" s="10" t="str">
        <f t="shared" si="74"/>
        <v>NCC-NorESM1-M_Scaled_Cluster7_repl2.sqlite</v>
      </c>
      <c r="Q148" s="11">
        <f t="shared" si="75"/>
        <v>6</v>
      </c>
      <c r="R148" s="16" t="str">
        <f t="shared" si="76"/>
        <v>climate_db_NCC-NorESM1-M_historical_v4.sqlite</v>
      </c>
      <c r="S148" s="16" t="str">
        <f t="shared" si="77"/>
        <v>log/NCC-NorESM1-M_Scaled_Cluster7_repl2.txt</v>
      </c>
      <c r="T148" s="16" t="str">
        <f t="shared" si="78"/>
        <v>init/env_file_CLUSTER07_REPL2_NCC-NorESM1-M_historical.csv</v>
      </c>
      <c r="U148" s="16" t="str">
        <f t="shared" si="79"/>
        <v>init/env_grid_CLUSTER07_REPL2.asc</v>
      </c>
      <c r="V148" s="16" t="str">
        <f t="shared" si="80"/>
        <v>init/env_grid_CLUSTER07_REPL2.asc</v>
      </c>
      <c r="W148" s="16" t="str">
        <f t="shared" si="81"/>
        <v>trees_CLUSTER07.csv</v>
      </c>
      <c r="X148" s="16" t="str">
        <f t="shared" si="82"/>
        <v>saplings_CLUSTER07.csv</v>
      </c>
      <c r="Y148" s="16">
        <f t="shared" si="83"/>
        <v>350</v>
      </c>
      <c r="Z148" s="16" t="str">
        <f t="shared" si="84"/>
        <v>abe/no_mgmt.csv</v>
      </c>
      <c r="AA148" s="16" t="str">
        <f t="shared" si="85"/>
        <v>gis/WindModifier_cl7.asc</v>
      </c>
      <c r="AB148" s="16">
        <f t="shared" si="86"/>
        <v>4.0655289878109199E-7</v>
      </c>
      <c r="AC148" s="16" t="str">
        <f t="shared" si="87"/>
        <v>NCC-NorESM1-M_historical_point26183</v>
      </c>
      <c r="AD148" s="16" t="str">
        <f t="shared" si="88"/>
        <v>wind_Events/Scaled_cl7_repl2.txt</v>
      </c>
      <c r="AE148" s="16" t="str">
        <f t="shared" si="89"/>
        <v>NCC-NorESM1-M_Scaled_Cluster7_repl2</v>
      </c>
      <c r="AF148" s="16" t="s">
        <v>662</v>
      </c>
      <c r="AG148" s="16" t="s">
        <v>663</v>
      </c>
    </row>
    <row r="149" spans="1:33" ht="13.8">
      <c r="A149" s="7" t="str">
        <f t="shared" si="72"/>
        <v>NCC-NorESM1-M_Scaled_Cluster7_repl3</v>
      </c>
      <c r="B149" s="8" t="s">
        <v>16</v>
      </c>
      <c r="C149" s="8" t="s">
        <v>54</v>
      </c>
      <c r="D149" s="9" t="s">
        <v>17</v>
      </c>
      <c r="E149" s="9" t="str">
        <f t="shared" si="73"/>
        <v>historical</v>
      </c>
      <c r="F149" s="8">
        <v>350</v>
      </c>
      <c r="G149" s="8" t="s">
        <v>60</v>
      </c>
      <c r="H149" s="8">
        <v>3</v>
      </c>
      <c r="I149" s="19">
        <v>4.0645289878109198E-7</v>
      </c>
      <c r="J149" s="8">
        <v>7</v>
      </c>
      <c r="K149" s="8" t="s">
        <v>177</v>
      </c>
      <c r="L149" s="8">
        <v>3</v>
      </c>
      <c r="M149" s="8">
        <v>1</v>
      </c>
      <c r="N149" s="10" t="s">
        <v>21</v>
      </c>
      <c r="O149" s="17" t="s">
        <v>328</v>
      </c>
      <c r="P149" s="10" t="str">
        <f t="shared" si="74"/>
        <v>NCC-NorESM1-M_Scaled_Cluster7_repl3.sqlite</v>
      </c>
      <c r="Q149" s="11">
        <f t="shared" si="75"/>
        <v>9</v>
      </c>
      <c r="R149" s="16" t="str">
        <f t="shared" si="76"/>
        <v>climate_db_NCC-NorESM1-M_historical_v4.sqlite</v>
      </c>
      <c r="S149" s="16" t="str">
        <f t="shared" si="77"/>
        <v>log/NCC-NorESM1-M_Scaled_Cluster7_repl3.txt</v>
      </c>
      <c r="T149" s="16" t="str">
        <f t="shared" si="78"/>
        <v>init/env_file_CLUSTER07_REPL3_NCC-NorESM1-M_historical.csv</v>
      </c>
      <c r="U149" s="16" t="str">
        <f t="shared" si="79"/>
        <v>init/env_grid_CLUSTER07_REPL3.asc</v>
      </c>
      <c r="V149" s="16" t="str">
        <f t="shared" si="80"/>
        <v>init/env_grid_CLUSTER07_REPL3.asc</v>
      </c>
      <c r="W149" s="16" t="str">
        <f t="shared" si="81"/>
        <v>trees_CLUSTER07.csv</v>
      </c>
      <c r="X149" s="16" t="str">
        <f t="shared" si="82"/>
        <v>saplings_CLUSTER07.csv</v>
      </c>
      <c r="Y149" s="16">
        <f t="shared" si="83"/>
        <v>350</v>
      </c>
      <c r="Z149" s="16" t="str">
        <f t="shared" si="84"/>
        <v>abe/no_mgmt.csv</v>
      </c>
      <c r="AA149" s="16" t="str">
        <f t="shared" si="85"/>
        <v>gis/WindModifier_cl7.asc</v>
      </c>
      <c r="AB149" s="16">
        <f t="shared" si="86"/>
        <v>4.0655289878109199E-7</v>
      </c>
      <c r="AC149" s="16" t="str">
        <f t="shared" si="87"/>
        <v>NCC-NorESM1-M_historical_point26183</v>
      </c>
      <c r="AD149" s="16" t="str">
        <f t="shared" si="88"/>
        <v>wind_Events/Scaled_cl7_repl3.txt</v>
      </c>
      <c r="AE149" s="16" t="str">
        <f t="shared" si="89"/>
        <v>NCC-NorESM1-M_Scaled_Cluster7_repl3</v>
      </c>
      <c r="AF149" s="16" t="s">
        <v>664</v>
      </c>
      <c r="AG149" s="16" t="s">
        <v>665</v>
      </c>
    </row>
    <row r="150" spans="1:33" ht="13.8">
      <c r="A150" s="7" t="str">
        <f t="shared" si="72"/>
        <v>NCC-NorESM1-M_Scaled_Cluster7_repl4</v>
      </c>
      <c r="B150" s="8" t="s">
        <v>16</v>
      </c>
      <c r="C150" s="8" t="s">
        <v>54</v>
      </c>
      <c r="D150" s="9" t="s">
        <v>17</v>
      </c>
      <c r="E150" s="9" t="str">
        <f t="shared" si="73"/>
        <v>historical</v>
      </c>
      <c r="F150" s="8">
        <v>350</v>
      </c>
      <c r="G150" s="8" t="s">
        <v>60</v>
      </c>
      <c r="H150" s="8">
        <v>3</v>
      </c>
      <c r="I150" s="19">
        <v>4.0645289878109198E-7</v>
      </c>
      <c r="J150" s="8">
        <v>7</v>
      </c>
      <c r="K150" s="8" t="s">
        <v>177</v>
      </c>
      <c r="L150" s="8">
        <v>4</v>
      </c>
      <c r="M150" s="8">
        <v>1</v>
      </c>
      <c r="N150" s="10" t="s">
        <v>21</v>
      </c>
      <c r="O150" s="17" t="s">
        <v>328</v>
      </c>
      <c r="P150" s="10" t="str">
        <f t="shared" si="74"/>
        <v>NCC-NorESM1-M_Scaled_Cluster7_repl4.sqlite</v>
      </c>
      <c r="Q150" s="11">
        <f t="shared" si="75"/>
        <v>12</v>
      </c>
      <c r="R150" s="16" t="str">
        <f t="shared" si="76"/>
        <v>climate_db_NCC-NorESM1-M_historical_v4.sqlite</v>
      </c>
      <c r="S150" s="16" t="str">
        <f t="shared" si="77"/>
        <v>log/NCC-NorESM1-M_Scaled_Cluster7_repl4.txt</v>
      </c>
      <c r="T150" s="16" t="str">
        <f t="shared" si="78"/>
        <v>init/env_file_CLUSTER07_REPL4_NCC-NorESM1-M_historical.csv</v>
      </c>
      <c r="U150" s="16" t="str">
        <f t="shared" si="79"/>
        <v>init/env_grid_CLUSTER07_REPL4.asc</v>
      </c>
      <c r="V150" s="16" t="str">
        <f t="shared" si="80"/>
        <v>init/env_grid_CLUSTER07_REPL4.asc</v>
      </c>
      <c r="W150" s="16" t="str">
        <f t="shared" si="81"/>
        <v>trees_CLUSTER07.csv</v>
      </c>
      <c r="X150" s="16" t="str">
        <f t="shared" si="82"/>
        <v>saplings_CLUSTER07.csv</v>
      </c>
      <c r="Y150" s="16">
        <f t="shared" si="83"/>
        <v>350</v>
      </c>
      <c r="Z150" s="16" t="str">
        <f t="shared" si="84"/>
        <v>abe/no_mgmt.csv</v>
      </c>
      <c r="AA150" s="16" t="str">
        <f t="shared" si="85"/>
        <v>gis/WindModifier_cl7.asc</v>
      </c>
      <c r="AB150" s="16">
        <f t="shared" si="86"/>
        <v>4.0655289878109199E-7</v>
      </c>
      <c r="AC150" s="16" t="str">
        <f t="shared" si="87"/>
        <v>NCC-NorESM1-M_historical_point26183</v>
      </c>
      <c r="AD150" s="16" t="str">
        <f t="shared" si="88"/>
        <v>wind_Events/Scaled_cl7_repl4.txt</v>
      </c>
      <c r="AE150" s="16" t="str">
        <f t="shared" si="89"/>
        <v>NCC-NorESM1-M_Scaled_Cluster7_repl4</v>
      </c>
      <c r="AF150" s="16" t="s">
        <v>666</v>
      </c>
      <c r="AG150" s="16" t="s">
        <v>667</v>
      </c>
    </row>
    <row r="151" spans="1:33" ht="13.8">
      <c r="A151" s="7" t="str">
        <f t="shared" si="72"/>
        <v>NCC-NorESM1-M_Scaled_Cluster7_repl5</v>
      </c>
      <c r="B151" s="8" t="s">
        <v>16</v>
      </c>
      <c r="C151" s="8" t="s">
        <v>54</v>
      </c>
      <c r="D151" s="9" t="s">
        <v>17</v>
      </c>
      <c r="E151" s="9" t="str">
        <f t="shared" si="73"/>
        <v>historical</v>
      </c>
      <c r="F151" s="8">
        <v>350</v>
      </c>
      <c r="G151" s="8" t="s">
        <v>60</v>
      </c>
      <c r="H151" s="8">
        <v>3</v>
      </c>
      <c r="I151" s="19">
        <v>4.0645289878109198E-7</v>
      </c>
      <c r="J151" s="8">
        <v>7</v>
      </c>
      <c r="K151" s="8" t="s">
        <v>177</v>
      </c>
      <c r="L151" s="8">
        <v>5</v>
      </c>
      <c r="M151" s="8">
        <v>1</v>
      </c>
      <c r="N151" s="10" t="s">
        <v>21</v>
      </c>
      <c r="O151" s="17" t="s">
        <v>328</v>
      </c>
      <c r="P151" s="10" t="str">
        <f t="shared" si="74"/>
        <v>NCC-NorESM1-M_Scaled_Cluster7_repl5.sqlite</v>
      </c>
      <c r="Q151" s="11">
        <f t="shared" si="75"/>
        <v>15</v>
      </c>
      <c r="R151" s="16" t="str">
        <f t="shared" si="76"/>
        <v>climate_db_NCC-NorESM1-M_historical_v4.sqlite</v>
      </c>
      <c r="S151" s="16" t="str">
        <f t="shared" si="77"/>
        <v>log/NCC-NorESM1-M_Scaled_Cluster7_repl5.txt</v>
      </c>
      <c r="T151" s="16" t="str">
        <f t="shared" si="78"/>
        <v>init/env_file_CLUSTER07_REPL5_NCC-NorESM1-M_historical.csv</v>
      </c>
      <c r="U151" s="16" t="str">
        <f t="shared" si="79"/>
        <v>init/env_grid_CLUSTER07_REPL5.asc</v>
      </c>
      <c r="V151" s="16" t="str">
        <f t="shared" si="80"/>
        <v>init/env_grid_CLUSTER07_REPL5.asc</v>
      </c>
      <c r="W151" s="16" t="str">
        <f t="shared" si="81"/>
        <v>trees_CLUSTER07.csv</v>
      </c>
      <c r="X151" s="16" t="str">
        <f t="shared" si="82"/>
        <v>saplings_CLUSTER07.csv</v>
      </c>
      <c r="Y151" s="16">
        <f t="shared" si="83"/>
        <v>350</v>
      </c>
      <c r="Z151" s="16" t="str">
        <f t="shared" si="84"/>
        <v>abe/no_mgmt.csv</v>
      </c>
      <c r="AA151" s="16" t="str">
        <f t="shared" si="85"/>
        <v>gis/WindModifier_cl7.asc</v>
      </c>
      <c r="AB151" s="16">
        <f t="shared" si="86"/>
        <v>4.0655289878109199E-7</v>
      </c>
      <c r="AC151" s="16" t="str">
        <f t="shared" si="87"/>
        <v>NCC-NorESM1-M_historical_point26183</v>
      </c>
      <c r="AD151" s="16" t="str">
        <f t="shared" si="88"/>
        <v>wind_Events/Scaled_cl7_repl5.txt</v>
      </c>
      <c r="AE151" s="16" t="str">
        <f t="shared" si="89"/>
        <v>NCC-NorESM1-M_Scaled_Cluster7_repl5</v>
      </c>
      <c r="AF151" s="16" t="s">
        <v>668</v>
      </c>
      <c r="AG151" s="16" t="s">
        <v>669</v>
      </c>
    </row>
    <row r="152" spans="1:33" ht="13.8">
      <c r="A152" s="7" t="str">
        <f t="shared" si="72"/>
        <v>NCC-NorESM1-M_Scaled_Cluster8_repl1</v>
      </c>
      <c r="B152" s="8" t="s">
        <v>16</v>
      </c>
      <c r="C152" s="8" t="s">
        <v>54</v>
      </c>
      <c r="D152" s="9" t="s">
        <v>17</v>
      </c>
      <c r="E152" s="9" t="str">
        <f t="shared" si="73"/>
        <v>historical</v>
      </c>
      <c r="F152" s="8">
        <v>350</v>
      </c>
      <c r="G152" s="8" t="s">
        <v>60</v>
      </c>
      <c r="H152" s="8">
        <v>3</v>
      </c>
      <c r="I152" s="19">
        <v>4.8133740840721197E-6</v>
      </c>
      <c r="J152" s="8">
        <v>8</v>
      </c>
      <c r="K152" s="8" t="s">
        <v>178</v>
      </c>
      <c r="L152" s="8">
        <v>1</v>
      </c>
      <c r="M152" s="8">
        <v>1</v>
      </c>
      <c r="N152" s="10" t="s">
        <v>21</v>
      </c>
      <c r="O152" s="17" t="s">
        <v>328</v>
      </c>
      <c r="P152" s="10" t="str">
        <f t="shared" si="74"/>
        <v>NCC-NorESM1-M_Scaled_Cluster8_repl1.sqlite</v>
      </c>
      <c r="Q152" s="11">
        <f t="shared" si="75"/>
        <v>3</v>
      </c>
      <c r="R152" s="16" t="str">
        <f t="shared" si="76"/>
        <v>climate_db_NCC-NorESM1-M_historical_v4.sqlite</v>
      </c>
      <c r="S152" s="16" t="str">
        <f t="shared" si="77"/>
        <v>log/NCC-NorESM1-M_Scaled_Cluster8_repl1.txt</v>
      </c>
      <c r="T152" s="16" t="str">
        <f t="shared" si="78"/>
        <v>init/env_file_CLUSTER08_REPL1_NCC-NorESM1-M_historical.csv</v>
      </c>
      <c r="U152" s="16" t="str">
        <f t="shared" si="79"/>
        <v>init/env_grid_CLUSTER08_REPL1.asc</v>
      </c>
      <c r="V152" s="16" t="str">
        <f t="shared" si="80"/>
        <v>init/env_grid_CLUSTER08_REPL1.asc</v>
      </c>
      <c r="W152" s="16" t="str">
        <f t="shared" si="81"/>
        <v>trees_CLUSTER08.csv</v>
      </c>
      <c r="X152" s="16" t="str">
        <f t="shared" si="82"/>
        <v>saplings_CLUSTER08.csv</v>
      </c>
      <c r="Y152" s="16">
        <f t="shared" si="83"/>
        <v>350</v>
      </c>
      <c r="Z152" s="16" t="str">
        <f t="shared" si="84"/>
        <v>abe/no_mgmt.csv</v>
      </c>
      <c r="AA152" s="16" t="str">
        <f t="shared" si="85"/>
        <v>gis/WindModifier_cl8.asc</v>
      </c>
      <c r="AB152" s="16">
        <f t="shared" si="86"/>
        <v>4.8134740840721199E-6</v>
      </c>
      <c r="AC152" s="16" t="str">
        <f t="shared" si="87"/>
        <v>NCC-NorESM1-M_historical_point34891</v>
      </c>
      <c r="AD152" s="16" t="str">
        <f t="shared" si="88"/>
        <v>wind_Events/Scaled_cl8_repl1.txt</v>
      </c>
      <c r="AE152" s="16" t="str">
        <f t="shared" si="89"/>
        <v>NCC-NorESM1-M_Scaled_Cluster8_repl1</v>
      </c>
      <c r="AF152" s="16" t="s">
        <v>403</v>
      </c>
      <c r="AG152" s="16" t="s">
        <v>404</v>
      </c>
    </row>
    <row r="153" spans="1:33" ht="13.8">
      <c r="A153" s="7" t="str">
        <f t="shared" si="72"/>
        <v>NCC-NorESM1-M_Scaled_Cluster8_repl2</v>
      </c>
      <c r="B153" s="8" t="s">
        <v>16</v>
      </c>
      <c r="C153" s="8" t="s">
        <v>54</v>
      </c>
      <c r="D153" s="9" t="s">
        <v>17</v>
      </c>
      <c r="E153" s="9" t="str">
        <f t="shared" si="73"/>
        <v>historical</v>
      </c>
      <c r="F153" s="8">
        <v>350</v>
      </c>
      <c r="G153" s="8" t="s">
        <v>60</v>
      </c>
      <c r="H153" s="8">
        <v>3</v>
      </c>
      <c r="I153" s="19">
        <v>4.8133740840721197E-6</v>
      </c>
      <c r="J153" s="8">
        <v>8</v>
      </c>
      <c r="K153" s="8" t="s">
        <v>178</v>
      </c>
      <c r="L153" s="8">
        <v>2</v>
      </c>
      <c r="M153" s="8">
        <v>1</v>
      </c>
      <c r="N153" s="10" t="s">
        <v>21</v>
      </c>
      <c r="O153" s="17" t="s">
        <v>328</v>
      </c>
      <c r="P153" s="10" t="str">
        <f t="shared" si="74"/>
        <v>NCC-NorESM1-M_Scaled_Cluster8_repl2.sqlite</v>
      </c>
      <c r="Q153" s="11">
        <f t="shared" si="75"/>
        <v>6</v>
      </c>
      <c r="R153" s="16" t="str">
        <f t="shared" si="76"/>
        <v>climate_db_NCC-NorESM1-M_historical_v4.sqlite</v>
      </c>
      <c r="S153" s="16" t="str">
        <f t="shared" si="77"/>
        <v>log/NCC-NorESM1-M_Scaled_Cluster8_repl2.txt</v>
      </c>
      <c r="T153" s="16" t="str">
        <f t="shared" si="78"/>
        <v>init/env_file_CLUSTER08_REPL2_NCC-NorESM1-M_historical.csv</v>
      </c>
      <c r="U153" s="16" t="str">
        <f t="shared" si="79"/>
        <v>init/env_grid_CLUSTER08_REPL2.asc</v>
      </c>
      <c r="V153" s="16" t="str">
        <f t="shared" si="80"/>
        <v>init/env_grid_CLUSTER08_REPL2.asc</v>
      </c>
      <c r="W153" s="16" t="str">
        <f t="shared" si="81"/>
        <v>trees_CLUSTER08.csv</v>
      </c>
      <c r="X153" s="16" t="str">
        <f t="shared" si="82"/>
        <v>saplings_CLUSTER08.csv</v>
      </c>
      <c r="Y153" s="16">
        <f t="shared" si="83"/>
        <v>350</v>
      </c>
      <c r="Z153" s="16" t="str">
        <f t="shared" si="84"/>
        <v>abe/no_mgmt.csv</v>
      </c>
      <c r="AA153" s="16" t="str">
        <f t="shared" si="85"/>
        <v>gis/WindModifier_cl8.asc</v>
      </c>
      <c r="AB153" s="16">
        <f t="shared" si="86"/>
        <v>4.8134740840721199E-6</v>
      </c>
      <c r="AC153" s="16" t="str">
        <f t="shared" si="87"/>
        <v>NCC-NorESM1-M_historical_point34891</v>
      </c>
      <c r="AD153" s="16" t="str">
        <f t="shared" si="88"/>
        <v>wind_Events/Scaled_cl8_repl2.txt</v>
      </c>
      <c r="AE153" s="16" t="str">
        <f t="shared" si="89"/>
        <v>NCC-NorESM1-M_Scaled_Cluster8_repl2</v>
      </c>
      <c r="AF153" s="16" t="s">
        <v>670</v>
      </c>
      <c r="AG153" s="16" t="s">
        <v>671</v>
      </c>
    </row>
    <row r="154" spans="1:33" ht="13.8">
      <c r="A154" s="7" t="str">
        <f t="shared" si="72"/>
        <v>NCC-NorESM1-M_Scaled_Cluster8_repl3</v>
      </c>
      <c r="B154" s="8" t="s">
        <v>16</v>
      </c>
      <c r="C154" s="8" t="s">
        <v>54</v>
      </c>
      <c r="D154" s="9" t="s">
        <v>17</v>
      </c>
      <c r="E154" s="9" t="str">
        <f t="shared" si="73"/>
        <v>historical</v>
      </c>
      <c r="F154" s="8">
        <v>350</v>
      </c>
      <c r="G154" s="8" t="s">
        <v>60</v>
      </c>
      <c r="H154" s="8">
        <v>3</v>
      </c>
      <c r="I154" s="19">
        <v>4.8133740840721197E-6</v>
      </c>
      <c r="J154" s="8">
        <v>8</v>
      </c>
      <c r="K154" s="8" t="s">
        <v>178</v>
      </c>
      <c r="L154" s="8">
        <v>3</v>
      </c>
      <c r="M154" s="8">
        <v>1</v>
      </c>
      <c r="N154" s="10" t="s">
        <v>21</v>
      </c>
      <c r="O154" s="17" t="s">
        <v>328</v>
      </c>
      <c r="P154" s="10" t="str">
        <f t="shared" si="74"/>
        <v>NCC-NorESM1-M_Scaled_Cluster8_repl3.sqlite</v>
      </c>
      <c r="Q154" s="11">
        <f t="shared" si="75"/>
        <v>9</v>
      </c>
      <c r="R154" s="16" t="str">
        <f t="shared" si="76"/>
        <v>climate_db_NCC-NorESM1-M_historical_v4.sqlite</v>
      </c>
      <c r="S154" s="16" t="str">
        <f t="shared" si="77"/>
        <v>log/NCC-NorESM1-M_Scaled_Cluster8_repl3.txt</v>
      </c>
      <c r="T154" s="16" t="str">
        <f t="shared" si="78"/>
        <v>init/env_file_CLUSTER08_REPL3_NCC-NorESM1-M_historical.csv</v>
      </c>
      <c r="U154" s="16" t="str">
        <f t="shared" si="79"/>
        <v>init/env_grid_CLUSTER08_REPL3.asc</v>
      </c>
      <c r="V154" s="16" t="str">
        <f t="shared" si="80"/>
        <v>init/env_grid_CLUSTER08_REPL3.asc</v>
      </c>
      <c r="W154" s="16" t="str">
        <f t="shared" si="81"/>
        <v>trees_CLUSTER08.csv</v>
      </c>
      <c r="X154" s="16" t="str">
        <f t="shared" si="82"/>
        <v>saplings_CLUSTER08.csv</v>
      </c>
      <c r="Y154" s="16">
        <f t="shared" si="83"/>
        <v>350</v>
      </c>
      <c r="Z154" s="16" t="str">
        <f t="shared" si="84"/>
        <v>abe/no_mgmt.csv</v>
      </c>
      <c r="AA154" s="16" t="str">
        <f t="shared" si="85"/>
        <v>gis/WindModifier_cl8.asc</v>
      </c>
      <c r="AB154" s="16">
        <f t="shared" si="86"/>
        <v>4.8134740840721199E-6</v>
      </c>
      <c r="AC154" s="16" t="str">
        <f t="shared" si="87"/>
        <v>NCC-NorESM1-M_historical_point34891</v>
      </c>
      <c r="AD154" s="16" t="str">
        <f t="shared" si="88"/>
        <v>wind_Events/Scaled_cl8_repl3.txt</v>
      </c>
      <c r="AE154" s="16" t="str">
        <f t="shared" si="89"/>
        <v>NCC-NorESM1-M_Scaled_Cluster8_repl3</v>
      </c>
      <c r="AF154" s="16" t="s">
        <v>672</v>
      </c>
      <c r="AG154" s="16" t="s">
        <v>673</v>
      </c>
    </row>
    <row r="155" spans="1:33" ht="13.8">
      <c r="A155" s="7" t="str">
        <f t="shared" si="72"/>
        <v>NCC-NorESM1-M_Scaled_Cluster8_repl4</v>
      </c>
      <c r="B155" s="8" t="s">
        <v>16</v>
      </c>
      <c r="C155" s="8" t="s">
        <v>54</v>
      </c>
      <c r="D155" s="9" t="s">
        <v>17</v>
      </c>
      <c r="E155" s="9" t="str">
        <f t="shared" si="73"/>
        <v>historical</v>
      </c>
      <c r="F155" s="8">
        <v>350</v>
      </c>
      <c r="G155" s="8" t="s">
        <v>60</v>
      </c>
      <c r="H155" s="8">
        <v>3</v>
      </c>
      <c r="I155" s="19">
        <v>4.8133740840721197E-6</v>
      </c>
      <c r="J155" s="8">
        <v>8</v>
      </c>
      <c r="K155" s="8" t="s">
        <v>178</v>
      </c>
      <c r="L155" s="8">
        <v>4</v>
      </c>
      <c r="M155" s="8">
        <v>1</v>
      </c>
      <c r="N155" s="10" t="s">
        <v>21</v>
      </c>
      <c r="O155" s="17" t="s">
        <v>328</v>
      </c>
      <c r="P155" s="10" t="str">
        <f t="shared" si="74"/>
        <v>NCC-NorESM1-M_Scaled_Cluster8_repl4.sqlite</v>
      </c>
      <c r="Q155" s="11">
        <f t="shared" si="75"/>
        <v>12</v>
      </c>
      <c r="R155" s="16" t="str">
        <f t="shared" si="76"/>
        <v>climate_db_NCC-NorESM1-M_historical_v4.sqlite</v>
      </c>
      <c r="S155" s="16" t="str">
        <f t="shared" si="77"/>
        <v>log/NCC-NorESM1-M_Scaled_Cluster8_repl4.txt</v>
      </c>
      <c r="T155" s="16" t="str">
        <f t="shared" si="78"/>
        <v>init/env_file_CLUSTER08_REPL4_NCC-NorESM1-M_historical.csv</v>
      </c>
      <c r="U155" s="16" t="str">
        <f t="shared" si="79"/>
        <v>init/env_grid_CLUSTER08_REPL4.asc</v>
      </c>
      <c r="V155" s="16" t="str">
        <f t="shared" si="80"/>
        <v>init/env_grid_CLUSTER08_REPL4.asc</v>
      </c>
      <c r="W155" s="16" t="str">
        <f t="shared" si="81"/>
        <v>trees_CLUSTER08.csv</v>
      </c>
      <c r="X155" s="16" t="str">
        <f t="shared" si="82"/>
        <v>saplings_CLUSTER08.csv</v>
      </c>
      <c r="Y155" s="16">
        <f t="shared" si="83"/>
        <v>350</v>
      </c>
      <c r="Z155" s="16" t="str">
        <f t="shared" si="84"/>
        <v>abe/no_mgmt.csv</v>
      </c>
      <c r="AA155" s="16" t="str">
        <f t="shared" si="85"/>
        <v>gis/WindModifier_cl8.asc</v>
      </c>
      <c r="AB155" s="16">
        <f t="shared" si="86"/>
        <v>4.8134740840721199E-6</v>
      </c>
      <c r="AC155" s="16" t="str">
        <f t="shared" si="87"/>
        <v>NCC-NorESM1-M_historical_point34891</v>
      </c>
      <c r="AD155" s="16" t="str">
        <f t="shared" si="88"/>
        <v>wind_Events/Scaled_cl8_repl4.txt</v>
      </c>
      <c r="AE155" s="16" t="str">
        <f t="shared" si="89"/>
        <v>NCC-NorESM1-M_Scaled_Cluster8_repl4</v>
      </c>
      <c r="AF155" s="16" t="s">
        <v>674</v>
      </c>
      <c r="AG155" s="16" t="s">
        <v>675</v>
      </c>
    </row>
    <row r="156" spans="1:33" ht="13.8">
      <c r="A156" s="7" t="str">
        <f t="shared" si="72"/>
        <v>NCC-NorESM1-M_Scaled_Cluster8_repl5</v>
      </c>
      <c r="B156" s="8" t="s">
        <v>16</v>
      </c>
      <c r="C156" s="8" t="s">
        <v>54</v>
      </c>
      <c r="D156" s="9" t="s">
        <v>17</v>
      </c>
      <c r="E156" s="9" t="str">
        <f t="shared" si="73"/>
        <v>historical</v>
      </c>
      <c r="F156" s="8">
        <v>350</v>
      </c>
      <c r="G156" s="8" t="s">
        <v>60</v>
      </c>
      <c r="H156" s="8">
        <v>3</v>
      </c>
      <c r="I156" s="19">
        <v>4.8133740840721197E-6</v>
      </c>
      <c r="J156" s="8">
        <v>8</v>
      </c>
      <c r="K156" s="8" t="s">
        <v>178</v>
      </c>
      <c r="L156" s="8">
        <v>5</v>
      </c>
      <c r="M156" s="8">
        <v>1</v>
      </c>
      <c r="N156" s="10" t="s">
        <v>21</v>
      </c>
      <c r="O156" s="17" t="s">
        <v>328</v>
      </c>
      <c r="P156" s="10" t="str">
        <f t="shared" si="74"/>
        <v>NCC-NorESM1-M_Scaled_Cluster8_repl5.sqlite</v>
      </c>
      <c r="Q156" s="11">
        <f t="shared" si="75"/>
        <v>15</v>
      </c>
      <c r="R156" s="16" t="str">
        <f t="shared" si="76"/>
        <v>climate_db_NCC-NorESM1-M_historical_v4.sqlite</v>
      </c>
      <c r="S156" s="16" t="str">
        <f t="shared" si="77"/>
        <v>log/NCC-NorESM1-M_Scaled_Cluster8_repl5.txt</v>
      </c>
      <c r="T156" s="16" t="str">
        <f t="shared" si="78"/>
        <v>init/env_file_CLUSTER08_REPL5_NCC-NorESM1-M_historical.csv</v>
      </c>
      <c r="U156" s="16" t="str">
        <f t="shared" si="79"/>
        <v>init/env_grid_CLUSTER08_REPL5.asc</v>
      </c>
      <c r="V156" s="16" t="str">
        <f t="shared" si="80"/>
        <v>init/env_grid_CLUSTER08_REPL5.asc</v>
      </c>
      <c r="W156" s="16" t="str">
        <f t="shared" si="81"/>
        <v>trees_CLUSTER08.csv</v>
      </c>
      <c r="X156" s="16" t="str">
        <f t="shared" si="82"/>
        <v>saplings_CLUSTER08.csv</v>
      </c>
      <c r="Y156" s="16">
        <f t="shared" si="83"/>
        <v>350</v>
      </c>
      <c r="Z156" s="16" t="str">
        <f t="shared" si="84"/>
        <v>abe/no_mgmt.csv</v>
      </c>
      <c r="AA156" s="16" t="str">
        <f t="shared" si="85"/>
        <v>gis/WindModifier_cl8.asc</v>
      </c>
      <c r="AB156" s="16">
        <f t="shared" si="86"/>
        <v>4.8134740840721199E-6</v>
      </c>
      <c r="AC156" s="16" t="str">
        <f t="shared" si="87"/>
        <v>NCC-NorESM1-M_historical_point34891</v>
      </c>
      <c r="AD156" s="16" t="str">
        <f t="shared" si="88"/>
        <v>wind_Events/Scaled_cl8_repl5.txt</v>
      </c>
      <c r="AE156" s="16" t="str">
        <f t="shared" si="89"/>
        <v>NCC-NorESM1-M_Scaled_Cluster8_repl5</v>
      </c>
      <c r="AF156" s="16" t="s">
        <v>676</v>
      </c>
      <c r="AG156" s="16" t="s">
        <v>677</v>
      </c>
    </row>
    <row r="157" spans="1:33" ht="13.8">
      <c r="A157" s="7" t="str">
        <f t="shared" si="72"/>
        <v>NCC-NorESM1-M_Scaled_Cluster10_repl1</v>
      </c>
      <c r="B157" s="8" t="s">
        <v>16</v>
      </c>
      <c r="C157" s="8" t="s">
        <v>54</v>
      </c>
      <c r="D157" s="9" t="s">
        <v>17</v>
      </c>
      <c r="E157" s="9" t="str">
        <f t="shared" si="73"/>
        <v>historical</v>
      </c>
      <c r="F157" s="8">
        <v>350</v>
      </c>
      <c r="G157" s="8" t="s">
        <v>60</v>
      </c>
      <c r="H157" s="8">
        <v>3</v>
      </c>
      <c r="I157" s="19">
        <v>2.5405658160224899E-6</v>
      </c>
      <c r="J157" s="8">
        <v>10</v>
      </c>
      <c r="K157" s="8" t="s">
        <v>172</v>
      </c>
      <c r="L157" s="8">
        <v>1</v>
      </c>
      <c r="M157" s="8">
        <v>1</v>
      </c>
      <c r="N157" s="10" t="s">
        <v>21</v>
      </c>
      <c r="O157" s="17" t="s">
        <v>328</v>
      </c>
      <c r="P157" s="10" t="str">
        <f t="shared" si="74"/>
        <v>NCC-NorESM1-M_Scaled_Cluster10_repl1.sqlite</v>
      </c>
      <c r="Q157" s="11">
        <f t="shared" si="75"/>
        <v>3</v>
      </c>
      <c r="R157" s="16" t="str">
        <f t="shared" si="76"/>
        <v>climate_db_NCC-NorESM1-M_historical_v4.sqlite</v>
      </c>
      <c r="S157" s="16" t="str">
        <f t="shared" si="77"/>
        <v>log/NCC-NorESM1-M_Scaled_Cluster10_repl1.txt</v>
      </c>
      <c r="T157" s="16" t="str">
        <f t="shared" si="78"/>
        <v>init/env_file_CLUSTER10_REPL1_NCC-NorESM1-M_historical.csv</v>
      </c>
      <c r="U157" s="16" t="str">
        <f t="shared" si="79"/>
        <v>init/env_grid_CLUSTER10_REPL1.asc</v>
      </c>
      <c r="V157" s="16" t="str">
        <f t="shared" si="80"/>
        <v>init/env_grid_CLUSTER10_REPL1.asc</v>
      </c>
      <c r="W157" s="16" t="str">
        <f t="shared" si="81"/>
        <v>trees_CLUSTER10.csv</v>
      </c>
      <c r="X157" s="16" t="str">
        <f t="shared" si="82"/>
        <v>saplings_CLUSTER10.csv</v>
      </c>
      <c r="Y157" s="16">
        <f t="shared" si="83"/>
        <v>350</v>
      </c>
      <c r="Z157" s="16" t="str">
        <f t="shared" si="84"/>
        <v>abe/no_mgmt.csv</v>
      </c>
      <c r="AA157" s="16" t="str">
        <f t="shared" si="85"/>
        <v>gis/WindModifier_cl10.asc</v>
      </c>
      <c r="AB157" s="16">
        <f t="shared" si="86"/>
        <v>2.5406658160224897E-6</v>
      </c>
      <c r="AC157" s="16" t="str">
        <f t="shared" si="87"/>
        <v>NCC-NorESM1-M_historical_point37861</v>
      </c>
      <c r="AD157" s="16" t="str">
        <f t="shared" si="88"/>
        <v>wind_Events/Scaled_cl10_repl1.txt</v>
      </c>
      <c r="AE157" s="16" t="str">
        <f t="shared" si="89"/>
        <v>NCC-NorESM1-M_Scaled_Cluster10_repl1</v>
      </c>
      <c r="AF157" s="16" t="s">
        <v>406</v>
      </c>
      <c r="AG157" s="16" t="s">
        <v>97</v>
      </c>
    </row>
    <row r="158" spans="1:33" ht="13.8">
      <c r="A158" s="7" t="str">
        <f t="shared" si="72"/>
        <v>NCC-NorESM1-M_Scaled_Cluster10_repl2</v>
      </c>
      <c r="B158" s="8" t="s">
        <v>16</v>
      </c>
      <c r="C158" s="8" t="s">
        <v>54</v>
      </c>
      <c r="D158" s="9" t="s">
        <v>17</v>
      </c>
      <c r="E158" s="9" t="str">
        <f t="shared" si="73"/>
        <v>historical</v>
      </c>
      <c r="F158" s="8">
        <v>350</v>
      </c>
      <c r="G158" s="8" t="s">
        <v>60</v>
      </c>
      <c r="H158" s="8">
        <v>3</v>
      </c>
      <c r="I158" s="19">
        <v>2.5405658160224899E-6</v>
      </c>
      <c r="J158" s="8">
        <v>10</v>
      </c>
      <c r="K158" s="8" t="s">
        <v>172</v>
      </c>
      <c r="L158" s="8">
        <v>2</v>
      </c>
      <c r="M158" s="8">
        <v>1</v>
      </c>
      <c r="N158" s="10" t="s">
        <v>21</v>
      </c>
      <c r="O158" s="17" t="s">
        <v>328</v>
      </c>
      <c r="P158" s="10" t="str">
        <f t="shared" si="74"/>
        <v>NCC-NorESM1-M_Scaled_Cluster10_repl2.sqlite</v>
      </c>
      <c r="Q158" s="11">
        <f t="shared" si="75"/>
        <v>6</v>
      </c>
      <c r="R158" s="16" t="str">
        <f t="shared" si="76"/>
        <v>climate_db_NCC-NorESM1-M_historical_v4.sqlite</v>
      </c>
      <c r="S158" s="16" t="str">
        <f t="shared" si="77"/>
        <v>log/NCC-NorESM1-M_Scaled_Cluster10_repl2.txt</v>
      </c>
      <c r="T158" s="16" t="str">
        <f t="shared" si="78"/>
        <v>init/env_file_CLUSTER10_REPL2_NCC-NorESM1-M_historical.csv</v>
      </c>
      <c r="U158" s="16" t="str">
        <f t="shared" si="79"/>
        <v>init/env_grid_CLUSTER10_REPL2.asc</v>
      </c>
      <c r="V158" s="16" t="str">
        <f t="shared" si="80"/>
        <v>init/env_grid_CLUSTER10_REPL2.asc</v>
      </c>
      <c r="W158" s="16" t="str">
        <f t="shared" si="81"/>
        <v>trees_CLUSTER10.csv</v>
      </c>
      <c r="X158" s="16" t="str">
        <f t="shared" si="82"/>
        <v>saplings_CLUSTER10.csv</v>
      </c>
      <c r="Y158" s="16">
        <f t="shared" si="83"/>
        <v>350</v>
      </c>
      <c r="Z158" s="16" t="str">
        <f t="shared" si="84"/>
        <v>abe/no_mgmt.csv</v>
      </c>
      <c r="AA158" s="16" t="str">
        <f t="shared" si="85"/>
        <v>gis/WindModifier_cl10.asc</v>
      </c>
      <c r="AB158" s="16">
        <f t="shared" si="86"/>
        <v>2.5406658160224897E-6</v>
      </c>
      <c r="AC158" s="16" t="str">
        <f t="shared" si="87"/>
        <v>NCC-NorESM1-M_historical_point37861</v>
      </c>
      <c r="AD158" s="16" t="str">
        <f t="shared" si="88"/>
        <v>wind_Events/Scaled_cl10_repl2.txt</v>
      </c>
      <c r="AE158" s="16" t="str">
        <f t="shared" si="89"/>
        <v>NCC-NorESM1-M_Scaled_Cluster10_repl2</v>
      </c>
      <c r="AF158" s="16" t="s">
        <v>678</v>
      </c>
      <c r="AG158" s="16" t="s">
        <v>679</v>
      </c>
    </row>
    <row r="159" spans="1:33" ht="13.8">
      <c r="A159" s="7" t="str">
        <f t="shared" si="72"/>
        <v>NCC-NorESM1-M_Scaled_Cluster10_repl3</v>
      </c>
      <c r="B159" s="8" t="s">
        <v>16</v>
      </c>
      <c r="C159" s="8" t="s">
        <v>54</v>
      </c>
      <c r="D159" s="9" t="s">
        <v>17</v>
      </c>
      <c r="E159" s="9" t="str">
        <f t="shared" si="73"/>
        <v>historical</v>
      </c>
      <c r="F159" s="8">
        <v>350</v>
      </c>
      <c r="G159" s="8" t="s">
        <v>60</v>
      </c>
      <c r="H159" s="8">
        <v>3</v>
      </c>
      <c r="I159" s="19">
        <v>2.5405658160224899E-6</v>
      </c>
      <c r="J159" s="8">
        <v>10</v>
      </c>
      <c r="K159" s="8" t="s">
        <v>172</v>
      </c>
      <c r="L159" s="8">
        <v>3</v>
      </c>
      <c r="M159" s="8">
        <v>1</v>
      </c>
      <c r="N159" s="10" t="s">
        <v>21</v>
      </c>
      <c r="O159" s="17" t="s">
        <v>328</v>
      </c>
      <c r="P159" s="10" t="str">
        <f t="shared" si="74"/>
        <v>NCC-NorESM1-M_Scaled_Cluster10_repl3.sqlite</v>
      </c>
      <c r="Q159" s="11">
        <f t="shared" si="75"/>
        <v>9</v>
      </c>
      <c r="R159" s="16" t="str">
        <f t="shared" si="76"/>
        <v>climate_db_NCC-NorESM1-M_historical_v4.sqlite</v>
      </c>
      <c r="S159" s="16" t="str">
        <f t="shared" si="77"/>
        <v>log/NCC-NorESM1-M_Scaled_Cluster10_repl3.txt</v>
      </c>
      <c r="T159" s="16" t="str">
        <f t="shared" si="78"/>
        <v>init/env_file_CLUSTER10_REPL3_NCC-NorESM1-M_historical.csv</v>
      </c>
      <c r="U159" s="16" t="str">
        <f t="shared" si="79"/>
        <v>init/env_grid_CLUSTER10_REPL3.asc</v>
      </c>
      <c r="V159" s="16" t="str">
        <f t="shared" si="80"/>
        <v>init/env_grid_CLUSTER10_REPL3.asc</v>
      </c>
      <c r="W159" s="16" t="str">
        <f t="shared" si="81"/>
        <v>trees_CLUSTER10.csv</v>
      </c>
      <c r="X159" s="16" t="str">
        <f t="shared" si="82"/>
        <v>saplings_CLUSTER10.csv</v>
      </c>
      <c r="Y159" s="16">
        <f t="shared" si="83"/>
        <v>350</v>
      </c>
      <c r="Z159" s="16" t="str">
        <f t="shared" si="84"/>
        <v>abe/no_mgmt.csv</v>
      </c>
      <c r="AA159" s="16" t="str">
        <f t="shared" si="85"/>
        <v>gis/WindModifier_cl10.asc</v>
      </c>
      <c r="AB159" s="16">
        <f t="shared" si="86"/>
        <v>2.5406658160224897E-6</v>
      </c>
      <c r="AC159" s="16" t="str">
        <f t="shared" si="87"/>
        <v>NCC-NorESM1-M_historical_point37861</v>
      </c>
      <c r="AD159" s="16" t="str">
        <f t="shared" si="88"/>
        <v>wind_Events/Scaled_cl10_repl3.txt</v>
      </c>
      <c r="AE159" s="16" t="str">
        <f t="shared" si="89"/>
        <v>NCC-NorESM1-M_Scaled_Cluster10_repl3</v>
      </c>
      <c r="AF159" s="16" t="s">
        <v>680</v>
      </c>
      <c r="AG159" s="16" t="s">
        <v>681</v>
      </c>
    </row>
    <row r="160" spans="1:33" ht="13.8">
      <c r="A160" s="7" t="str">
        <f t="shared" si="72"/>
        <v>NCC-NorESM1-M_Scaled_Cluster10_repl4</v>
      </c>
      <c r="B160" s="8" t="s">
        <v>16</v>
      </c>
      <c r="C160" s="8" t="s">
        <v>54</v>
      </c>
      <c r="D160" s="9" t="s">
        <v>17</v>
      </c>
      <c r="E160" s="9" t="str">
        <f t="shared" si="73"/>
        <v>historical</v>
      </c>
      <c r="F160" s="8">
        <v>350</v>
      </c>
      <c r="G160" s="8" t="s">
        <v>60</v>
      </c>
      <c r="H160" s="8">
        <v>3</v>
      </c>
      <c r="I160" s="19">
        <v>2.5405658160224899E-6</v>
      </c>
      <c r="J160" s="8">
        <v>10</v>
      </c>
      <c r="K160" s="8" t="s">
        <v>172</v>
      </c>
      <c r="L160" s="8">
        <v>4</v>
      </c>
      <c r="M160" s="8">
        <v>1</v>
      </c>
      <c r="N160" s="10" t="s">
        <v>21</v>
      </c>
      <c r="O160" s="17" t="s">
        <v>328</v>
      </c>
      <c r="P160" s="10" t="str">
        <f t="shared" si="74"/>
        <v>NCC-NorESM1-M_Scaled_Cluster10_repl4.sqlite</v>
      </c>
      <c r="Q160" s="11">
        <f t="shared" si="75"/>
        <v>12</v>
      </c>
      <c r="R160" s="16" t="str">
        <f t="shared" si="76"/>
        <v>climate_db_NCC-NorESM1-M_historical_v4.sqlite</v>
      </c>
      <c r="S160" s="16" t="str">
        <f t="shared" si="77"/>
        <v>log/NCC-NorESM1-M_Scaled_Cluster10_repl4.txt</v>
      </c>
      <c r="T160" s="16" t="str">
        <f t="shared" si="78"/>
        <v>init/env_file_CLUSTER10_REPL4_NCC-NorESM1-M_historical.csv</v>
      </c>
      <c r="U160" s="16" t="str">
        <f t="shared" si="79"/>
        <v>init/env_grid_CLUSTER10_REPL4.asc</v>
      </c>
      <c r="V160" s="16" t="str">
        <f t="shared" si="80"/>
        <v>init/env_grid_CLUSTER10_REPL4.asc</v>
      </c>
      <c r="W160" s="16" t="str">
        <f t="shared" si="81"/>
        <v>trees_CLUSTER10.csv</v>
      </c>
      <c r="X160" s="16" t="str">
        <f t="shared" si="82"/>
        <v>saplings_CLUSTER10.csv</v>
      </c>
      <c r="Y160" s="16">
        <f t="shared" si="83"/>
        <v>350</v>
      </c>
      <c r="Z160" s="16" t="str">
        <f t="shared" si="84"/>
        <v>abe/no_mgmt.csv</v>
      </c>
      <c r="AA160" s="16" t="str">
        <f t="shared" si="85"/>
        <v>gis/WindModifier_cl10.asc</v>
      </c>
      <c r="AB160" s="16">
        <f t="shared" si="86"/>
        <v>2.5406658160224897E-6</v>
      </c>
      <c r="AC160" s="16" t="str">
        <f t="shared" si="87"/>
        <v>NCC-NorESM1-M_historical_point37861</v>
      </c>
      <c r="AD160" s="16" t="str">
        <f t="shared" si="88"/>
        <v>wind_Events/Scaled_cl10_repl4.txt</v>
      </c>
      <c r="AE160" s="16" t="str">
        <f t="shared" si="89"/>
        <v>NCC-NorESM1-M_Scaled_Cluster10_repl4</v>
      </c>
      <c r="AF160" s="16" t="s">
        <v>682</v>
      </c>
      <c r="AG160" s="16" t="s">
        <v>683</v>
      </c>
    </row>
    <row r="161" spans="1:33" ht="13.8">
      <c r="A161" s="7" t="str">
        <f t="shared" si="72"/>
        <v>NCC-NorESM1-M_Scaled_Cluster10_repl5</v>
      </c>
      <c r="B161" s="8" t="s">
        <v>16</v>
      </c>
      <c r="C161" s="8" t="s">
        <v>54</v>
      </c>
      <c r="D161" s="9" t="s">
        <v>17</v>
      </c>
      <c r="E161" s="9" t="str">
        <f t="shared" si="73"/>
        <v>historical</v>
      </c>
      <c r="F161" s="8">
        <v>350</v>
      </c>
      <c r="G161" s="8" t="s">
        <v>60</v>
      </c>
      <c r="H161" s="8">
        <v>3</v>
      </c>
      <c r="I161" s="19">
        <v>2.5405658160224899E-6</v>
      </c>
      <c r="J161" s="8">
        <v>10</v>
      </c>
      <c r="K161" s="8" t="s">
        <v>172</v>
      </c>
      <c r="L161" s="8">
        <v>5</v>
      </c>
      <c r="M161" s="8">
        <v>1</v>
      </c>
      <c r="N161" s="10" t="s">
        <v>21</v>
      </c>
      <c r="O161" s="17" t="s">
        <v>328</v>
      </c>
      <c r="P161" s="10" t="str">
        <f t="shared" si="74"/>
        <v>NCC-NorESM1-M_Scaled_Cluster10_repl5.sqlite</v>
      </c>
      <c r="Q161" s="11">
        <f t="shared" si="75"/>
        <v>15</v>
      </c>
      <c r="R161" s="16" t="str">
        <f t="shared" si="76"/>
        <v>climate_db_NCC-NorESM1-M_historical_v4.sqlite</v>
      </c>
      <c r="S161" s="16" t="str">
        <f t="shared" si="77"/>
        <v>log/NCC-NorESM1-M_Scaled_Cluster10_repl5.txt</v>
      </c>
      <c r="T161" s="16" t="str">
        <f t="shared" si="78"/>
        <v>init/env_file_CLUSTER10_REPL5_NCC-NorESM1-M_historical.csv</v>
      </c>
      <c r="U161" s="16" t="str">
        <f t="shared" si="79"/>
        <v>init/env_grid_CLUSTER10_REPL5.asc</v>
      </c>
      <c r="V161" s="16" t="str">
        <f t="shared" si="80"/>
        <v>init/env_grid_CLUSTER10_REPL5.asc</v>
      </c>
      <c r="W161" s="16" t="str">
        <f t="shared" si="81"/>
        <v>trees_CLUSTER10.csv</v>
      </c>
      <c r="X161" s="16" t="str">
        <f t="shared" si="82"/>
        <v>saplings_CLUSTER10.csv</v>
      </c>
      <c r="Y161" s="16">
        <f t="shared" si="83"/>
        <v>350</v>
      </c>
      <c r="Z161" s="16" t="str">
        <f t="shared" si="84"/>
        <v>abe/no_mgmt.csv</v>
      </c>
      <c r="AA161" s="16" t="str">
        <f t="shared" si="85"/>
        <v>gis/WindModifier_cl10.asc</v>
      </c>
      <c r="AB161" s="16">
        <f t="shared" si="86"/>
        <v>2.5406658160224897E-6</v>
      </c>
      <c r="AC161" s="16" t="str">
        <f t="shared" si="87"/>
        <v>NCC-NorESM1-M_historical_point37861</v>
      </c>
      <c r="AD161" s="16" t="str">
        <f t="shared" si="88"/>
        <v>wind_Events/Scaled_cl10_repl5.txt</v>
      </c>
      <c r="AE161" s="16" t="str">
        <f t="shared" si="89"/>
        <v>NCC-NorESM1-M_Scaled_Cluster10_repl5</v>
      </c>
      <c r="AF161" s="16" t="s">
        <v>684</v>
      </c>
      <c r="AG161" s="16" t="s">
        <v>685</v>
      </c>
    </row>
    <row r="162" spans="1:33" ht="13.8">
      <c r="A162" s="7" t="str">
        <f t="shared" ref="A162:A181" si="90" xml:space="preserve"> G162 &amp; "_" &amp; C162 &amp;"Cluster" &amp; J162 &amp; "_repl" &amp; L162</f>
        <v>NCC-NorESM1-M_Scaled_Cluster11_repl1</v>
      </c>
      <c r="B162" s="8" t="s">
        <v>16</v>
      </c>
      <c r="C162" s="8" t="s">
        <v>54</v>
      </c>
      <c r="D162" s="9" t="s">
        <v>17</v>
      </c>
      <c r="E162" s="9" t="str">
        <f t="shared" ref="E162:E193" si="91">IF(D162="historical", "historical", IF(D162="RCP26", "rcp_2_6", IF(D162="RCP45", "rcp_4_5", "rcp_8_5")))</f>
        <v>historical</v>
      </c>
      <c r="F162" s="8">
        <v>350</v>
      </c>
      <c r="G162" s="8" t="s">
        <v>60</v>
      </c>
      <c r="H162" s="8">
        <v>3</v>
      </c>
      <c r="I162" s="19">
        <v>1.2451908062161101E-5</v>
      </c>
      <c r="J162" s="8">
        <v>11</v>
      </c>
      <c r="K162" s="8" t="s">
        <v>179</v>
      </c>
      <c r="L162" s="8">
        <v>1</v>
      </c>
      <c r="M162" s="8">
        <v>1</v>
      </c>
      <c r="N162" s="10" t="s">
        <v>21</v>
      </c>
      <c r="O162" s="17" t="s">
        <v>328</v>
      </c>
      <c r="P162" s="10" t="str">
        <f t="shared" ref="P162:P181" si="92">A162  &amp; ".sqlite"</f>
        <v>NCC-NorESM1-M_Scaled_Cluster11_repl1.sqlite</v>
      </c>
      <c r="Q162" s="11">
        <f t="shared" ref="Q162:Q181" si="93">(L162-1)*3+H162</f>
        <v>3</v>
      </c>
      <c r="R162" s="16" t="str">
        <f t="shared" ref="R162:R181" si="94">"climate_db_" &amp; G162&amp; "_" &amp;  E162&amp; "_v4.sqlite"</f>
        <v>climate_db_NCC-NorESM1-M_historical_v4.sqlite</v>
      </c>
      <c r="S162" s="16" t="str">
        <f t="shared" ref="S162:S181" si="95">"log/" &amp;A162  &amp; ".txt"</f>
        <v>log/NCC-NorESM1-M_Scaled_Cluster11_repl1.txt</v>
      </c>
      <c r="T162" s="16" t="str">
        <f t="shared" ref="T162:T181" si="96">"init/env_file_CLUSTER" &amp; TEXT(J162, "00") &amp; "_REPL" &amp; L162 &amp; "_" &amp; G162 &amp; "_" &amp; E162 &amp; ".csv"</f>
        <v>init/env_file_CLUSTER11_REPL1_NCC-NorESM1-M_historical.csv</v>
      </c>
      <c r="U162" s="16" t="str">
        <f t="shared" ref="U162:U181" si="97">"init/env_grid_CLUSTER" &amp; TEXT(J162, "00") &amp; "_REPL" &amp; L162 &amp; ".asc"</f>
        <v>init/env_grid_CLUSTER11_REPL1.asc</v>
      </c>
      <c r="V162" s="16" t="str">
        <f t="shared" ref="V162:V193" si="98">U162</f>
        <v>init/env_grid_CLUSTER11_REPL1.asc</v>
      </c>
      <c r="W162" s="16" t="str">
        <f t="shared" ref="W162:W181" si="99">"trees_CLUSTER" &amp; TEXT(J162, "00")  &amp; ".csv"</f>
        <v>trees_CLUSTER11.csv</v>
      </c>
      <c r="X162" s="16" t="str">
        <f t="shared" ref="X162:X181" si="100">"saplings_CLUSTER" &amp; TEXT(J162, "00")  &amp; ".csv"</f>
        <v>saplings_CLUSTER11.csv</v>
      </c>
      <c r="Y162" s="16">
        <f t="shared" ref="Y162:Y181" si="101">F162</f>
        <v>350</v>
      </c>
      <c r="Z162" s="16" t="str">
        <f t="shared" ref="Z162:Z181" si="102">"abe/no_mgmt.csv"</f>
        <v>abe/no_mgmt.csv</v>
      </c>
      <c r="AA162" s="16" t="str">
        <f t="shared" ref="AA162:AA181" si="103">"gis/WindModifier_cl" &amp; J162 &amp; ".asc"</f>
        <v>gis/WindModifier_cl11.asc</v>
      </c>
      <c r="AB162" s="16">
        <f t="shared" ref="AB162:AB181" si="104">IF(C162="Scaled_", I162+0.0000000001,  0.000685)</f>
        <v>1.2452008062161101E-5</v>
      </c>
      <c r="AC162" s="16" t="str">
        <f t="shared" ref="AC162:AC181" si="105">G162 &amp; "_" &amp; E162 &amp; "_point" &amp; K162</f>
        <v>NCC-NorESM1-M_historical_point31713</v>
      </c>
      <c r="AD162" s="16" t="str">
        <f t="shared" ref="AD162:AD181" si="106">"wind_Events/" &amp; C162 &amp; "cl" &amp; J162 &amp; "_repl" &amp; L162 &amp; ".txt"</f>
        <v>wind_Events/Scaled_cl11_repl1.txt</v>
      </c>
      <c r="AE162" s="16" t="str">
        <f t="shared" ref="AE162:AE181" si="107">A162</f>
        <v>NCC-NorESM1-M_Scaled_Cluster11_repl1</v>
      </c>
      <c r="AF162" s="16" t="s">
        <v>408</v>
      </c>
      <c r="AG162" s="16" t="s">
        <v>409</v>
      </c>
    </row>
    <row r="163" spans="1:33" ht="13.8">
      <c r="A163" s="7" t="str">
        <f t="shared" si="90"/>
        <v>NCC-NorESM1-M_Scaled_Cluster11_repl2</v>
      </c>
      <c r="B163" s="8" t="s">
        <v>16</v>
      </c>
      <c r="C163" s="8" t="s">
        <v>54</v>
      </c>
      <c r="D163" s="9" t="s">
        <v>17</v>
      </c>
      <c r="E163" s="9" t="str">
        <f t="shared" si="91"/>
        <v>historical</v>
      </c>
      <c r="F163" s="8">
        <v>350</v>
      </c>
      <c r="G163" s="8" t="s">
        <v>60</v>
      </c>
      <c r="H163" s="8">
        <v>3</v>
      </c>
      <c r="I163" s="19">
        <v>1.2451908062161101E-5</v>
      </c>
      <c r="J163" s="8">
        <v>11</v>
      </c>
      <c r="K163" s="8" t="s">
        <v>179</v>
      </c>
      <c r="L163" s="8">
        <v>2</v>
      </c>
      <c r="M163" s="8">
        <v>1</v>
      </c>
      <c r="N163" s="10" t="s">
        <v>21</v>
      </c>
      <c r="O163" s="17" t="s">
        <v>328</v>
      </c>
      <c r="P163" s="10" t="str">
        <f t="shared" si="92"/>
        <v>NCC-NorESM1-M_Scaled_Cluster11_repl2.sqlite</v>
      </c>
      <c r="Q163" s="11">
        <f t="shared" si="93"/>
        <v>6</v>
      </c>
      <c r="R163" s="16" t="str">
        <f t="shared" si="94"/>
        <v>climate_db_NCC-NorESM1-M_historical_v4.sqlite</v>
      </c>
      <c r="S163" s="16" t="str">
        <f t="shared" si="95"/>
        <v>log/NCC-NorESM1-M_Scaled_Cluster11_repl2.txt</v>
      </c>
      <c r="T163" s="16" t="str">
        <f t="shared" si="96"/>
        <v>init/env_file_CLUSTER11_REPL2_NCC-NorESM1-M_historical.csv</v>
      </c>
      <c r="U163" s="16" t="str">
        <f t="shared" si="97"/>
        <v>init/env_grid_CLUSTER11_REPL2.asc</v>
      </c>
      <c r="V163" s="16" t="str">
        <f t="shared" si="98"/>
        <v>init/env_grid_CLUSTER11_REPL2.asc</v>
      </c>
      <c r="W163" s="16" t="str">
        <f t="shared" si="99"/>
        <v>trees_CLUSTER11.csv</v>
      </c>
      <c r="X163" s="16" t="str">
        <f t="shared" si="100"/>
        <v>saplings_CLUSTER11.csv</v>
      </c>
      <c r="Y163" s="16">
        <f t="shared" si="101"/>
        <v>350</v>
      </c>
      <c r="Z163" s="16" t="str">
        <f t="shared" si="102"/>
        <v>abe/no_mgmt.csv</v>
      </c>
      <c r="AA163" s="16" t="str">
        <f t="shared" si="103"/>
        <v>gis/WindModifier_cl11.asc</v>
      </c>
      <c r="AB163" s="16">
        <f t="shared" si="104"/>
        <v>1.2452008062161101E-5</v>
      </c>
      <c r="AC163" s="16" t="str">
        <f t="shared" si="105"/>
        <v>NCC-NorESM1-M_historical_point31713</v>
      </c>
      <c r="AD163" s="16" t="str">
        <f t="shared" si="106"/>
        <v>wind_Events/Scaled_cl11_repl2.txt</v>
      </c>
      <c r="AE163" s="16" t="str">
        <f t="shared" si="107"/>
        <v>NCC-NorESM1-M_Scaled_Cluster11_repl2</v>
      </c>
      <c r="AF163" s="16" t="s">
        <v>686</v>
      </c>
      <c r="AG163" s="16" t="s">
        <v>687</v>
      </c>
    </row>
    <row r="164" spans="1:33" ht="13.8">
      <c r="A164" s="7" t="str">
        <f t="shared" si="90"/>
        <v>NCC-NorESM1-M_Scaled_Cluster11_repl3</v>
      </c>
      <c r="B164" s="8" t="s">
        <v>16</v>
      </c>
      <c r="C164" s="8" t="s">
        <v>54</v>
      </c>
      <c r="D164" s="9" t="s">
        <v>17</v>
      </c>
      <c r="E164" s="9" t="str">
        <f t="shared" si="91"/>
        <v>historical</v>
      </c>
      <c r="F164" s="8">
        <v>350</v>
      </c>
      <c r="G164" s="8" t="s">
        <v>60</v>
      </c>
      <c r="H164" s="8">
        <v>3</v>
      </c>
      <c r="I164" s="19">
        <v>1.2451908062161101E-5</v>
      </c>
      <c r="J164" s="8">
        <v>11</v>
      </c>
      <c r="K164" s="8" t="s">
        <v>179</v>
      </c>
      <c r="L164" s="8">
        <v>3</v>
      </c>
      <c r="M164" s="8">
        <v>1</v>
      </c>
      <c r="N164" s="10" t="s">
        <v>21</v>
      </c>
      <c r="O164" s="17" t="s">
        <v>328</v>
      </c>
      <c r="P164" s="10" t="str">
        <f t="shared" si="92"/>
        <v>NCC-NorESM1-M_Scaled_Cluster11_repl3.sqlite</v>
      </c>
      <c r="Q164" s="11">
        <f t="shared" si="93"/>
        <v>9</v>
      </c>
      <c r="R164" s="16" t="str">
        <f t="shared" si="94"/>
        <v>climate_db_NCC-NorESM1-M_historical_v4.sqlite</v>
      </c>
      <c r="S164" s="16" t="str">
        <f t="shared" si="95"/>
        <v>log/NCC-NorESM1-M_Scaled_Cluster11_repl3.txt</v>
      </c>
      <c r="T164" s="16" t="str">
        <f t="shared" si="96"/>
        <v>init/env_file_CLUSTER11_REPL3_NCC-NorESM1-M_historical.csv</v>
      </c>
      <c r="U164" s="16" t="str">
        <f t="shared" si="97"/>
        <v>init/env_grid_CLUSTER11_REPL3.asc</v>
      </c>
      <c r="V164" s="16" t="str">
        <f t="shared" si="98"/>
        <v>init/env_grid_CLUSTER11_REPL3.asc</v>
      </c>
      <c r="W164" s="16" t="str">
        <f t="shared" si="99"/>
        <v>trees_CLUSTER11.csv</v>
      </c>
      <c r="X164" s="16" t="str">
        <f t="shared" si="100"/>
        <v>saplings_CLUSTER11.csv</v>
      </c>
      <c r="Y164" s="16">
        <f t="shared" si="101"/>
        <v>350</v>
      </c>
      <c r="Z164" s="16" t="str">
        <f t="shared" si="102"/>
        <v>abe/no_mgmt.csv</v>
      </c>
      <c r="AA164" s="16" t="str">
        <f t="shared" si="103"/>
        <v>gis/WindModifier_cl11.asc</v>
      </c>
      <c r="AB164" s="16">
        <f t="shared" si="104"/>
        <v>1.2452008062161101E-5</v>
      </c>
      <c r="AC164" s="16" t="str">
        <f t="shared" si="105"/>
        <v>NCC-NorESM1-M_historical_point31713</v>
      </c>
      <c r="AD164" s="16" t="str">
        <f t="shared" si="106"/>
        <v>wind_Events/Scaled_cl11_repl3.txt</v>
      </c>
      <c r="AE164" s="16" t="str">
        <f t="shared" si="107"/>
        <v>NCC-NorESM1-M_Scaled_Cluster11_repl3</v>
      </c>
      <c r="AF164" s="16" t="s">
        <v>688</v>
      </c>
      <c r="AG164" s="16" t="s">
        <v>689</v>
      </c>
    </row>
    <row r="165" spans="1:33" ht="13.8">
      <c r="A165" s="7" t="str">
        <f t="shared" si="90"/>
        <v>NCC-NorESM1-M_Scaled_Cluster11_repl4</v>
      </c>
      <c r="B165" s="8" t="s">
        <v>16</v>
      </c>
      <c r="C165" s="8" t="s">
        <v>54</v>
      </c>
      <c r="D165" s="9" t="s">
        <v>17</v>
      </c>
      <c r="E165" s="9" t="str">
        <f t="shared" si="91"/>
        <v>historical</v>
      </c>
      <c r="F165" s="8">
        <v>350</v>
      </c>
      <c r="G165" s="8" t="s">
        <v>60</v>
      </c>
      <c r="H165" s="8">
        <v>3</v>
      </c>
      <c r="I165" s="19">
        <v>1.2451908062161101E-5</v>
      </c>
      <c r="J165" s="8">
        <v>11</v>
      </c>
      <c r="K165" s="8" t="s">
        <v>179</v>
      </c>
      <c r="L165" s="8">
        <v>4</v>
      </c>
      <c r="M165" s="8">
        <v>1</v>
      </c>
      <c r="N165" s="10" t="s">
        <v>21</v>
      </c>
      <c r="O165" s="17" t="s">
        <v>328</v>
      </c>
      <c r="P165" s="10" t="str">
        <f t="shared" si="92"/>
        <v>NCC-NorESM1-M_Scaled_Cluster11_repl4.sqlite</v>
      </c>
      <c r="Q165" s="11">
        <f t="shared" si="93"/>
        <v>12</v>
      </c>
      <c r="R165" s="16" t="str">
        <f t="shared" si="94"/>
        <v>climate_db_NCC-NorESM1-M_historical_v4.sqlite</v>
      </c>
      <c r="S165" s="16" t="str">
        <f t="shared" si="95"/>
        <v>log/NCC-NorESM1-M_Scaled_Cluster11_repl4.txt</v>
      </c>
      <c r="T165" s="16" t="str">
        <f t="shared" si="96"/>
        <v>init/env_file_CLUSTER11_REPL4_NCC-NorESM1-M_historical.csv</v>
      </c>
      <c r="U165" s="16" t="str">
        <f t="shared" si="97"/>
        <v>init/env_grid_CLUSTER11_REPL4.asc</v>
      </c>
      <c r="V165" s="16" t="str">
        <f t="shared" si="98"/>
        <v>init/env_grid_CLUSTER11_REPL4.asc</v>
      </c>
      <c r="W165" s="16" t="str">
        <f t="shared" si="99"/>
        <v>trees_CLUSTER11.csv</v>
      </c>
      <c r="X165" s="16" t="str">
        <f t="shared" si="100"/>
        <v>saplings_CLUSTER11.csv</v>
      </c>
      <c r="Y165" s="16">
        <f t="shared" si="101"/>
        <v>350</v>
      </c>
      <c r="Z165" s="16" t="str">
        <f t="shared" si="102"/>
        <v>abe/no_mgmt.csv</v>
      </c>
      <c r="AA165" s="16" t="str">
        <f t="shared" si="103"/>
        <v>gis/WindModifier_cl11.asc</v>
      </c>
      <c r="AB165" s="16">
        <f t="shared" si="104"/>
        <v>1.2452008062161101E-5</v>
      </c>
      <c r="AC165" s="16" t="str">
        <f t="shared" si="105"/>
        <v>NCC-NorESM1-M_historical_point31713</v>
      </c>
      <c r="AD165" s="16" t="str">
        <f t="shared" si="106"/>
        <v>wind_Events/Scaled_cl11_repl4.txt</v>
      </c>
      <c r="AE165" s="16" t="str">
        <f t="shared" si="107"/>
        <v>NCC-NorESM1-M_Scaled_Cluster11_repl4</v>
      </c>
      <c r="AF165" s="16" t="s">
        <v>690</v>
      </c>
      <c r="AG165" s="16" t="s">
        <v>691</v>
      </c>
    </row>
    <row r="166" spans="1:33" ht="13.8">
      <c r="A166" s="7" t="str">
        <f t="shared" si="90"/>
        <v>NCC-NorESM1-M_Scaled_Cluster11_repl5</v>
      </c>
      <c r="B166" s="8" t="s">
        <v>16</v>
      </c>
      <c r="C166" s="8" t="s">
        <v>54</v>
      </c>
      <c r="D166" s="9" t="s">
        <v>17</v>
      </c>
      <c r="E166" s="9" t="str">
        <f t="shared" si="91"/>
        <v>historical</v>
      </c>
      <c r="F166" s="8">
        <v>350</v>
      </c>
      <c r="G166" s="8" t="s">
        <v>60</v>
      </c>
      <c r="H166" s="8">
        <v>3</v>
      </c>
      <c r="I166" s="19">
        <v>1.2451908062161101E-5</v>
      </c>
      <c r="J166" s="8">
        <v>11</v>
      </c>
      <c r="K166" s="8" t="s">
        <v>179</v>
      </c>
      <c r="L166" s="8">
        <v>5</v>
      </c>
      <c r="M166" s="8">
        <v>1</v>
      </c>
      <c r="N166" s="10" t="s">
        <v>21</v>
      </c>
      <c r="O166" s="17" t="s">
        <v>328</v>
      </c>
      <c r="P166" s="10" t="str">
        <f t="shared" si="92"/>
        <v>NCC-NorESM1-M_Scaled_Cluster11_repl5.sqlite</v>
      </c>
      <c r="Q166" s="11">
        <f t="shared" si="93"/>
        <v>15</v>
      </c>
      <c r="R166" s="16" t="str">
        <f t="shared" si="94"/>
        <v>climate_db_NCC-NorESM1-M_historical_v4.sqlite</v>
      </c>
      <c r="S166" s="16" t="str">
        <f t="shared" si="95"/>
        <v>log/NCC-NorESM1-M_Scaled_Cluster11_repl5.txt</v>
      </c>
      <c r="T166" s="16" t="str">
        <f t="shared" si="96"/>
        <v>init/env_file_CLUSTER11_REPL5_NCC-NorESM1-M_historical.csv</v>
      </c>
      <c r="U166" s="16" t="str">
        <f t="shared" si="97"/>
        <v>init/env_grid_CLUSTER11_REPL5.asc</v>
      </c>
      <c r="V166" s="16" t="str">
        <f t="shared" si="98"/>
        <v>init/env_grid_CLUSTER11_REPL5.asc</v>
      </c>
      <c r="W166" s="16" t="str">
        <f t="shared" si="99"/>
        <v>trees_CLUSTER11.csv</v>
      </c>
      <c r="X166" s="16" t="str">
        <f t="shared" si="100"/>
        <v>saplings_CLUSTER11.csv</v>
      </c>
      <c r="Y166" s="16">
        <f t="shared" si="101"/>
        <v>350</v>
      </c>
      <c r="Z166" s="16" t="str">
        <f t="shared" si="102"/>
        <v>abe/no_mgmt.csv</v>
      </c>
      <c r="AA166" s="16" t="str">
        <f t="shared" si="103"/>
        <v>gis/WindModifier_cl11.asc</v>
      </c>
      <c r="AB166" s="16">
        <f t="shared" si="104"/>
        <v>1.2452008062161101E-5</v>
      </c>
      <c r="AC166" s="16" t="str">
        <f t="shared" si="105"/>
        <v>NCC-NorESM1-M_historical_point31713</v>
      </c>
      <c r="AD166" s="16" t="str">
        <f t="shared" si="106"/>
        <v>wind_Events/Scaled_cl11_repl5.txt</v>
      </c>
      <c r="AE166" s="16" t="str">
        <f t="shared" si="107"/>
        <v>NCC-NorESM1-M_Scaled_Cluster11_repl5</v>
      </c>
      <c r="AF166" s="16" t="s">
        <v>692</v>
      </c>
      <c r="AG166" s="16" t="s">
        <v>693</v>
      </c>
    </row>
    <row r="167" spans="1:33" ht="13.8">
      <c r="A167" s="7" t="str">
        <f t="shared" si="90"/>
        <v>NCC-NorESM1-M_Scaled_Cluster12_repl1</v>
      </c>
      <c r="B167" s="8" t="s">
        <v>16</v>
      </c>
      <c r="C167" s="8" t="s">
        <v>54</v>
      </c>
      <c r="D167" s="9" t="s">
        <v>17</v>
      </c>
      <c r="E167" s="9" t="str">
        <f t="shared" si="91"/>
        <v>historical</v>
      </c>
      <c r="F167" s="8">
        <v>350</v>
      </c>
      <c r="G167" s="8" t="s">
        <v>60</v>
      </c>
      <c r="H167" s="8">
        <v>3</v>
      </c>
      <c r="I167" s="19">
        <v>5.7344370827609102E-6</v>
      </c>
      <c r="J167" s="8">
        <v>12</v>
      </c>
      <c r="K167" s="8" t="s">
        <v>166</v>
      </c>
      <c r="L167" s="8">
        <v>1</v>
      </c>
      <c r="M167" s="8">
        <v>1</v>
      </c>
      <c r="N167" s="10" t="s">
        <v>21</v>
      </c>
      <c r="O167" s="17" t="s">
        <v>328</v>
      </c>
      <c r="P167" s="10" t="str">
        <f t="shared" si="92"/>
        <v>NCC-NorESM1-M_Scaled_Cluster12_repl1.sqlite</v>
      </c>
      <c r="Q167" s="11">
        <f t="shared" si="93"/>
        <v>3</v>
      </c>
      <c r="R167" s="16" t="str">
        <f t="shared" si="94"/>
        <v>climate_db_NCC-NorESM1-M_historical_v4.sqlite</v>
      </c>
      <c r="S167" s="16" t="str">
        <f t="shared" si="95"/>
        <v>log/NCC-NorESM1-M_Scaled_Cluster12_repl1.txt</v>
      </c>
      <c r="T167" s="16" t="str">
        <f t="shared" si="96"/>
        <v>init/env_file_CLUSTER12_REPL1_NCC-NorESM1-M_historical.csv</v>
      </c>
      <c r="U167" s="16" t="str">
        <f t="shared" si="97"/>
        <v>init/env_grid_CLUSTER12_REPL1.asc</v>
      </c>
      <c r="V167" s="16" t="str">
        <f t="shared" si="98"/>
        <v>init/env_grid_CLUSTER12_REPL1.asc</v>
      </c>
      <c r="W167" s="16" t="str">
        <f t="shared" si="99"/>
        <v>trees_CLUSTER12.csv</v>
      </c>
      <c r="X167" s="16" t="str">
        <f t="shared" si="100"/>
        <v>saplings_CLUSTER12.csv</v>
      </c>
      <c r="Y167" s="16">
        <f t="shared" si="101"/>
        <v>350</v>
      </c>
      <c r="Z167" s="16" t="str">
        <f t="shared" si="102"/>
        <v>abe/no_mgmt.csv</v>
      </c>
      <c r="AA167" s="16" t="str">
        <f t="shared" si="103"/>
        <v>gis/WindModifier_cl12.asc</v>
      </c>
      <c r="AB167" s="16">
        <f t="shared" si="104"/>
        <v>5.7345370827609104E-6</v>
      </c>
      <c r="AC167" s="16" t="str">
        <f t="shared" si="105"/>
        <v>NCC-NorESM1-M_historical_point32670</v>
      </c>
      <c r="AD167" s="16" t="str">
        <f t="shared" si="106"/>
        <v>wind_Events/Scaled_cl12_repl1.txt</v>
      </c>
      <c r="AE167" s="16" t="str">
        <f t="shared" si="107"/>
        <v>NCC-NorESM1-M_Scaled_Cluster12_repl1</v>
      </c>
      <c r="AF167" s="16" t="s">
        <v>411</v>
      </c>
      <c r="AG167" s="16" t="s">
        <v>100</v>
      </c>
    </row>
    <row r="168" spans="1:33" ht="13.8">
      <c r="A168" s="7" t="str">
        <f t="shared" si="90"/>
        <v>NCC-NorESM1-M_Scaled_Cluster12_repl2</v>
      </c>
      <c r="B168" s="8" t="s">
        <v>16</v>
      </c>
      <c r="C168" s="8" t="s">
        <v>54</v>
      </c>
      <c r="D168" s="9" t="s">
        <v>17</v>
      </c>
      <c r="E168" s="9" t="str">
        <f t="shared" si="91"/>
        <v>historical</v>
      </c>
      <c r="F168" s="8">
        <v>350</v>
      </c>
      <c r="G168" s="8" t="s">
        <v>60</v>
      </c>
      <c r="H168" s="8">
        <v>3</v>
      </c>
      <c r="I168" s="19">
        <v>5.7344370827609102E-6</v>
      </c>
      <c r="J168" s="8">
        <v>12</v>
      </c>
      <c r="K168" s="8" t="s">
        <v>166</v>
      </c>
      <c r="L168" s="8">
        <v>2</v>
      </c>
      <c r="M168" s="8">
        <v>1</v>
      </c>
      <c r="N168" s="10" t="s">
        <v>21</v>
      </c>
      <c r="O168" s="17" t="s">
        <v>328</v>
      </c>
      <c r="P168" s="10" t="str">
        <f t="shared" si="92"/>
        <v>NCC-NorESM1-M_Scaled_Cluster12_repl2.sqlite</v>
      </c>
      <c r="Q168" s="11">
        <f t="shared" si="93"/>
        <v>6</v>
      </c>
      <c r="R168" s="16" t="str">
        <f t="shared" si="94"/>
        <v>climate_db_NCC-NorESM1-M_historical_v4.sqlite</v>
      </c>
      <c r="S168" s="16" t="str">
        <f t="shared" si="95"/>
        <v>log/NCC-NorESM1-M_Scaled_Cluster12_repl2.txt</v>
      </c>
      <c r="T168" s="16" t="str">
        <f t="shared" si="96"/>
        <v>init/env_file_CLUSTER12_REPL2_NCC-NorESM1-M_historical.csv</v>
      </c>
      <c r="U168" s="16" t="str">
        <f t="shared" si="97"/>
        <v>init/env_grid_CLUSTER12_REPL2.asc</v>
      </c>
      <c r="V168" s="16" t="str">
        <f t="shared" si="98"/>
        <v>init/env_grid_CLUSTER12_REPL2.asc</v>
      </c>
      <c r="W168" s="16" t="str">
        <f t="shared" si="99"/>
        <v>trees_CLUSTER12.csv</v>
      </c>
      <c r="X168" s="16" t="str">
        <f t="shared" si="100"/>
        <v>saplings_CLUSTER12.csv</v>
      </c>
      <c r="Y168" s="16">
        <f t="shared" si="101"/>
        <v>350</v>
      </c>
      <c r="Z168" s="16" t="str">
        <f t="shared" si="102"/>
        <v>abe/no_mgmt.csv</v>
      </c>
      <c r="AA168" s="16" t="str">
        <f t="shared" si="103"/>
        <v>gis/WindModifier_cl12.asc</v>
      </c>
      <c r="AB168" s="16">
        <f t="shared" si="104"/>
        <v>5.7345370827609104E-6</v>
      </c>
      <c r="AC168" s="16" t="str">
        <f t="shared" si="105"/>
        <v>NCC-NorESM1-M_historical_point32670</v>
      </c>
      <c r="AD168" s="16" t="str">
        <f t="shared" si="106"/>
        <v>wind_Events/Scaled_cl12_repl2.txt</v>
      </c>
      <c r="AE168" s="16" t="str">
        <f t="shared" si="107"/>
        <v>NCC-NorESM1-M_Scaled_Cluster12_repl2</v>
      </c>
      <c r="AF168" s="16" t="s">
        <v>694</v>
      </c>
      <c r="AG168" s="16" t="s">
        <v>695</v>
      </c>
    </row>
    <row r="169" spans="1:33" ht="13.8">
      <c r="A169" s="7" t="str">
        <f t="shared" si="90"/>
        <v>NCC-NorESM1-M_Scaled_Cluster12_repl3</v>
      </c>
      <c r="B169" s="8" t="s">
        <v>16</v>
      </c>
      <c r="C169" s="8" t="s">
        <v>54</v>
      </c>
      <c r="D169" s="9" t="s">
        <v>17</v>
      </c>
      <c r="E169" s="9" t="str">
        <f t="shared" si="91"/>
        <v>historical</v>
      </c>
      <c r="F169" s="8">
        <v>350</v>
      </c>
      <c r="G169" s="8" t="s">
        <v>60</v>
      </c>
      <c r="H169" s="8">
        <v>3</v>
      </c>
      <c r="I169" s="19">
        <v>5.7344370827609102E-6</v>
      </c>
      <c r="J169" s="8">
        <v>12</v>
      </c>
      <c r="K169" s="8" t="s">
        <v>166</v>
      </c>
      <c r="L169" s="8">
        <v>3</v>
      </c>
      <c r="M169" s="8">
        <v>1</v>
      </c>
      <c r="N169" s="10" t="s">
        <v>21</v>
      </c>
      <c r="O169" s="17" t="s">
        <v>328</v>
      </c>
      <c r="P169" s="10" t="str">
        <f t="shared" si="92"/>
        <v>NCC-NorESM1-M_Scaled_Cluster12_repl3.sqlite</v>
      </c>
      <c r="Q169" s="11">
        <f t="shared" si="93"/>
        <v>9</v>
      </c>
      <c r="R169" s="16" t="str">
        <f t="shared" si="94"/>
        <v>climate_db_NCC-NorESM1-M_historical_v4.sqlite</v>
      </c>
      <c r="S169" s="16" t="str">
        <f t="shared" si="95"/>
        <v>log/NCC-NorESM1-M_Scaled_Cluster12_repl3.txt</v>
      </c>
      <c r="T169" s="16" t="str">
        <f t="shared" si="96"/>
        <v>init/env_file_CLUSTER12_REPL3_NCC-NorESM1-M_historical.csv</v>
      </c>
      <c r="U169" s="16" t="str">
        <f t="shared" si="97"/>
        <v>init/env_grid_CLUSTER12_REPL3.asc</v>
      </c>
      <c r="V169" s="16" t="str">
        <f t="shared" si="98"/>
        <v>init/env_grid_CLUSTER12_REPL3.asc</v>
      </c>
      <c r="W169" s="16" t="str">
        <f t="shared" si="99"/>
        <v>trees_CLUSTER12.csv</v>
      </c>
      <c r="X169" s="16" t="str">
        <f t="shared" si="100"/>
        <v>saplings_CLUSTER12.csv</v>
      </c>
      <c r="Y169" s="16">
        <f t="shared" si="101"/>
        <v>350</v>
      </c>
      <c r="Z169" s="16" t="str">
        <f t="shared" si="102"/>
        <v>abe/no_mgmt.csv</v>
      </c>
      <c r="AA169" s="16" t="str">
        <f t="shared" si="103"/>
        <v>gis/WindModifier_cl12.asc</v>
      </c>
      <c r="AB169" s="16">
        <f t="shared" si="104"/>
        <v>5.7345370827609104E-6</v>
      </c>
      <c r="AC169" s="16" t="str">
        <f t="shared" si="105"/>
        <v>NCC-NorESM1-M_historical_point32670</v>
      </c>
      <c r="AD169" s="16" t="str">
        <f t="shared" si="106"/>
        <v>wind_Events/Scaled_cl12_repl3.txt</v>
      </c>
      <c r="AE169" s="16" t="str">
        <f t="shared" si="107"/>
        <v>NCC-NorESM1-M_Scaled_Cluster12_repl3</v>
      </c>
      <c r="AF169" s="16" t="s">
        <v>696</v>
      </c>
      <c r="AG169" s="16" t="s">
        <v>697</v>
      </c>
    </row>
    <row r="170" spans="1:33" ht="13.8">
      <c r="A170" s="7" t="str">
        <f t="shared" si="90"/>
        <v>NCC-NorESM1-M_Scaled_Cluster12_repl4</v>
      </c>
      <c r="B170" s="8" t="s">
        <v>16</v>
      </c>
      <c r="C170" s="8" t="s">
        <v>54</v>
      </c>
      <c r="D170" s="9" t="s">
        <v>17</v>
      </c>
      <c r="E170" s="9" t="str">
        <f t="shared" si="91"/>
        <v>historical</v>
      </c>
      <c r="F170" s="8">
        <v>350</v>
      </c>
      <c r="G170" s="8" t="s">
        <v>60</v>
      </c>
      <c r="H170" s="8">
        <v>3</v>
      </c>
      <c r="I170" s="19">
        <v>5.7344370827609102E-6</v>
      </c>
      <c r="J170" s="8">
        <v>12</v>
      </c>
      <c r="K170" s="8" t="s">
        <v>166</v>
      </c>
      <c r="L170" s="8">
        <v>4</v>
      </c>
      <c r="M170" s="8">
        <v>1</v>
      </c>
      <c r="N170" s="10" t="s">
        <v>21</v>
      </c>
      <c r="O170" s="17" t="s">
        <v>328</v>
      </c>
      <c r="P170" s="10" t="str">
        <f t="shared" si="92"/>
        <v>NCC-NorESM1-M_Scaled_Cluster12_repl4.sqlite</v>
      </c>
      <c r="Q170" s="11">
        <f t="shared" si="93"/>
        <v>12</v>
      </c>
      <c r="R170" s="16" t="str">
        <f t="shared" si="94"/>
        <v>climate_db_NCC-NorESM1-M_historical_v4.sqlite</v>
      </c>
      <c r="S170" s="16" t="str">
        <f t="shared" si="95"/>
        <v>log/NCC-NorESM1-M_Scaled_Cluster12_repl4.txt</v>
      </c>
      <c r="T170" s="16" t="str">
        <f t="shared" si="96"/>
        <v>init/env_file_CLUSTER12_REPL4_NCC-NorESM1-M_historical.csv</v>
      </c>
      <c r="U170" s="16" t="str">
        <f t="shared" si="97"/>
        <v>init/env_grid_CLUSTER12_REPL4.asc</v>
      </c>
      <c r="V170" s="16" t="str">
        <f t="shared" si="98"/>
        <v>init/env_grid_CLUSTER12_REPL4.asc</v>
      </c>
      <c r="W170" s="16" t="str">
        <f t="shared" si="99"/>
        <v>trees_CLUSTER12.csv</v>
      </c>
      <c r="X170" s="16" t="str">
        <f t="shared" si="100"/>
        <v>saplings_CLUSTER12.csv</v>
      </c>
      <c r="Y170" s="16">
        <f t="shared" si="101"/>
        <v>350</v>
      </c>
      <c r="Z170" s="16" t="str">
        <f t="shared" si="102"/>
        <v>abe/no_mgmt.csv</v>
      </c>
      <c r="AA170" s="16" t="str">
        <f t="shared" si="103"/>
        <v>gis/WindModifier_cl12.asc</v>
      </c>
      <c r="AB170" s="16">
        <f t="shared" si="104"/>
        <v>5.7345370827609104E-6</v>
      </c>
      <c r="AC170" s="16" t="str">
        <f t="shared" si="105"/>
        <v>NCC-NorESM1-M_historical_point32670</v>
      </c>
      <c r="AD170" s="16" t="str">
        <f t="shared" si="106"/>
        <v>wind_Events/Scaled_cl12_repl4.txt</v>
      </c>
      <c r="AE170" s="16" t="str">
        <f t="shared" si="107"/>
        <v>NCC-NorESM1-M_Scaled_Cluster12_repl4</v>
      </c>
      <c r="AF170" s="16" t="s">
        <v>698</v>
      </c>
      <c r="AG170" s="16" t="s">
        <v>699</v>
      </c>
    </row>
    <row r="171" spans="1:33" ht="13.8">
      <c r="A171" s="7" t="str">
        <f t="shared" si="90"/>
        <v>NCC-NorESM1-M_Scaled_Cluster12_repl5</v>
      </c>
      <c r="B171" s="8" t="s">
        <v>16</v>
      </c>
      <c r="C171" s="8" t="s">
        <v>54</v>
      </c>
      <c r="D171" s="9" t="s">
        <v>17</v>
      </c>
      <c r="E171" s="9" t="str">
        <f t="shared" si="91"/>
        <v>historical</v>
      </c>
      <c r="F171" s="8">
        <v>350</v>
      </c>
      <c r="G171" s="8" t="s">
        <v>60</v>
      </c>
      <c r="H171" s="8">
        <v>3</v>
      </c>
      <c r="I171" s="19">
        <v>5.7344370827609102E-6</v>
      </c>
      <c r="J171" s="8">
        <v>12</v>
      </c>
      <c r="K171" s="8" t="s">
        <v>166</v>
      </c>
      <c r="L171" s="8">
        <v>5</v>
      </c>
      <c r="M171" s="8">
        <v>1</v>
      </c>
      <c r="N171" s="10" t="s">
        <v>21</v>
      </c>
      <c r="O171" s="17" t="s">
        <v>328</v>
      </c>
      <c r="P171" s="10" t="str">
        <f t="shared" si="92"/>
        <v>NCC-NorESM1-M_Scaled_Cluster12_repl5.sqlite</v>
      </c>
      <c r="Q171" s="11">
        <f t="shared" si="93"/>
        <v>15</v>
      </c>
      <c r="R171" s="16" t="str">
        <f t="shared" si="94"/>
        <v>climate_db_NCC-NorESM1-M_historical_v4.sqlite</v>
      </c>
      <c r="S171" s="16" t="str">
        <f t="shared" si="95"/>
        <v>log/NCC-NorESM1-M_Scaled_Cluster12_repl5.txt</v>
      </c>
      <c r="T171" s="16" t="str">
        <f t="shared" si="96"/>
        <v>init/env_file_CLUSTER12_REPL5_NCC-NorESM1-M_historical.csv</v>
      </c>
      <c r="U171" s="16" t="str">
        <f t="shared" si="97"/>
        <v>init/env_grid_CLUSTER12_REPL5.asc</v>
      </c>
      <c r="V171" s="16" t="str">
        <f t="shared" si="98"/>
        <v>init/env_grid_CLUSTER12_REPL5.asc</v>
      </c>
      <c r="W171" s="16" t="str">
        <f t="shared" si="99"/>
        <v>trees_CLUSTER12.csv</v>
      </c>
      <c r="X171" s="16" t="str">
        <f t="shared" si="100"/>
        <v>saplings_CLUSTER12.csv</v>
      </c>
      <c r="Y171" s="16">
        <f t="shared" si="101"/>
        <v>350</v>
      </c>
      <c r="Z171" s="16" t="str">
        <f t="shared" si="102"/>
        <v>abe/no_mgmt.csv</v>
      </c>
      <c r="AA171" s="16" t="str">
        <f t="shared" si="103"/>
        <v>gis/WindModifier_cl12.asc</v>
      </c>
      <c r="AB171" s="16">
        <f t="shared" si="104"/>
        <v>5.7345370827609104E-6</v>
      </c>
      <c r="AC171" s="16" t="str">
        <f t="shared" si="105"/>
        <v>NCC-NorESM1-M_historical_point32670</v>
      </c>
      <c r="AD171" s="16" t="str">
        <f t="shared" si="106"/>
        <v>wind_Events/Scaled_cl12_repl5.txt</v>
      </c>
      <c r="AE171" s="16" t="str">
        <f t="shared" si="107"/>
        <v>NCC-NorESM1-M_Scaled_Cluster12_repl5</v>
      </c>
      <c r="AF171" s="16" t="s">
        <v>700</v>
      </c>
      <c r="AG171" s="16" t="s">
        <v>701</v>
      </c>
    </row>
    <row r="172" spans="1:33" ht="13.8">
      <c r="A172" s="7" t="str">
        <f t="shared" si="90"/>
        <v>NCC-NorESM1-M_Scaled_Cluster13_repl1</v>
      </c>
      <c r="B172" s="8" t="s">
        <v>16</v>
      </c>
      <c r="C172" s="8" t="s">
        <v>54</v>
      </c>
      <c r="D172" s="9" t="s">
        <v>17</v>
      </c>
      <c r="E172" s="9" t="str">
        <f t="shared" si="91"/>
        <v>historical</v>
      </c>
      <c r="F172" s="8">
        <v>350</v>
      </c>
      <c r="G172" s="8" t="s">
        <v>60</v>
      </c>
      <c r="H172" s="8">
        <v>3</v>
      </c>
      <c r="I172" s="19">
        <v>4.1181188616223502E-7</v>
      </c>
      <c r="J172" s="8">
        <v>13</v>
      </c>
      <c r="K172" s="8" t="s">
        <v>167</v>
      </c>
      <c r="L172" s="8">
        <v>1</v>
      </c>
      <c r="M172" s="8">
        <v>1</v>
      </c>
      <c r="N172" s="10" t="s">
        <v>21</v>
      </c>
      <c r="O172" s="17" t="s">
        <v>328</v>
      </c>
      <c r="P172" s="10" t="str">
        <f t="shared" si="92"/>
        <v>NCC-NorESM1-M_Scaled_Cluster13_repl1.sqlite</v>
      </c>
      <c r="Q172" s="11">
        <f t="shared" si="93"/>
        <v>3</v>
      </c>
      <c r="R172" s="16" t="str">
        <f t="shared" si="94"/>
        <v>climate_db_NCC-NorESM1-M_historical_v4.sqlite</v>
      </c>
      <c r="S172" s="16" t="str">
        <f t="shared" si="95"/>
        <v>log/NCC-NorESM1-M_Scaled_Cluster13_repl1.txt</v>
      </c>
      <c r="T172" s="16" t="str">
        <f t="shared" si="96"/>
        <v>init/env_file_CLUSTER13_REPL1_NCC-NorESM1-M_historical.csv</v>
      </c>
      <c r="U172" s="16" t="str">
        <f t="shared" si="97"/>
        <v>init/env_grid_CLUSTER13_REPL1.asc</v>
      </c>
      <c r="V172" s="16" t="str">
        <f t="shared" si="98"/>
        <v>init/env_grid_CLUSTER13_REPL1.asc</v>
      </c>
      <c r="W172" s="16" t="str">
        <f t="shared" si="99"/>
        <v>trees_CLUSTER13.csv</v>
      </c>
      <c r="X172" s="16" t="str">
        <f t="shared" si="100"/>
        <v>saplings_CLUSTER13.csv</v>
      </c>
      <c r="Y172" s="16">
        <f t="shared" si="101"/>
        <v>350</v>
      </c>
      <c r="Z172" s="16" t="str">
        <f t="shared" si="102"/>
        <v>abe/no_mgmt.csv</v>
      </c>
      <c r="AA172" s="16" t="str">
        <f t="shared" si="103"/>
        <v>gis/WindModifier_cl13.asc</v>
      </c>
      <c r="AB172" s="16">
        <f t="shared" si="104"/>
        <v>4.1191188616223503E-7</v>
      </c>
      <c r="AC172" s="16" t="str">
        <f t="shared" si="105"/>
        <v>NCC-NorESM1-M_historical_point33292</v>
      </c>
      <c r="AD172" s="16" t="str">
        <f t="shared" si="106"/>
        <v>wind_Events/Scaled_cl13_repl1.txt</v>
      </c>
      <c r="AE172" s="16" t="str">
        <f t="shared" si="107"/>
        <v>NCC-NorESM1-M_Scaled_Cluster13_repl1</v>
      </c>
      <c r="AF172" s="16" t="s">
        <v>413</v>
      </c>
      <c r="AG172" s="16" t="s">
        <v>414</v>
      </c>
    </row>
    <row r="173" spans="1:33" ht="13.8">
      <c r="A173" s="7" t="str">
        <f t="shared" si="90"/>
        <v>NCC-NorESM1-M_Scaled_Cluster13_repl2</v>
      </c>
      <c r="B173" s="8" t="s">
        <v>16</v>
      </c>
      <c r="C173" s="8" t="s">
        <v>54</v>
      </c>
      <c r="D173" s="9" t="s">
        <v>17</v>
      </c>
      <c r="E173" s="9" t="str">
        <f t="shared" si="91"/>
        <v>historical</v>
      </c>
      <c r="F173" s="8">
        <v>350</v>
      </c>
      <c r="G173" s="8" t="s">
        <v>60</v>
      </c>
      <c r="H173" s="8">
        <v>3</v>
      </c>
      <c r="I173" s="19">
        <v>4.1181188616223502E-7</v>
      </c>
      <c r="J173" s="8">
        <v>13</v>
      </c>
      <c r="K173" s="8" t="s">
        <v>167</v>
      </c>
      <c r="L173" s="8">
        <v>2</v>
      </c>
      <c r="M173" s="8">
        <v>1</v>
      </c>
      <c r="N173" s="10" t="s">
        <v>21</v>
      </c>
      <c r="O173" s="17" t="s">
        <v>328</v>
      </c>
      <c r="P173" s="10" t="str">
        <f t="shared" si="92"/>
        <v>NCC-NorESM1-M_Scaled_Cluster13_repl2.sqlite</v>
      </c>
      <c r="Q173" s="11">
        <f t="shared" si="93"/>
        <v>6</v>
      </c>
      <c r="R173" s="16" t="str">
        <f t="shared" si="94"/>
        <v>climate_db_NCC-NorESM1-M_historical_v4.sqlite</v>
      </c>
      <c r="S173" s="16" t="str">
        <f t="shared" si="95"/>
        <v>log/NCC-NorESM1-M_Scaled_Cluster13_repl2.txt</v>
      </c>
      <c r="T173" s="16" t="str">
        <f t="shared" si="96"/>
        <v>init/env_file_CLUSTER13_REPL2_NCC-NorESM1-M_historical.csv</v>
      </c>
      <c r="U173" s="16" t="str">
        <f t="shared" si="97"/>
        <v>init/env_grid_CLUSTER13_REPL2.asc</v>
      </c>
      <c r="V173" s="16" t="str">
        <f t="shared" si="98"/>
        <v>init/env_grid_CLUSTER13_REPL2.asc</v>
      </c>
      <c r="W173" s="16" t="str">
        <f t="shared" si="99"/>
        <v>trees_CLUSTER13.csv</v>
      </c>
      <c r="X173" s="16" t="str">
        <f t="shared" si="100"/>
        <v>saplings_CLUSTER13.csv</v>
      </c>
      <c r="Y173" s="16">
        <f t="shared" si="101"/>
        <v>350</v>
      </c>
      <c r="Z173" s="16" t="str">
        <f t="shared" si="102"/>
        <v>abe/no_mgmt.csv</v>
      </c>
      <c r="AA173" s="16" t="str">
        <f t="shared" si="103"/>
        <v>gis/WindModifier_cl13.asc</v>
      </c>
      <c r="AB173" s="16">
        <f t="shared" si="104"/>
        <v>4.1191188616223503E-7</v>
      </c>
      <c r="AC173" s="16" t="str">
        <f t="shared" si="105"/>
        <v>NCC-NorESM1-M_historical_point33292</v>
      </c>
      <c r="AD173" s="16" t="str">
        <f t="shared" si="106"/>
        <v>wind_Events/Scaled_cl13_repl2.txt</v>
      </c>
      <c r="AE173" s="16" t="str">
        <f t="shared" si="107"/>
        <v>NCC-NorESM1-M_Scaled_Cluster13_repl2</v>
      </c>
      <c r="AF173" s="16" t="s">
        <v>702</v>
      </c>
      <c r="AG173" s="16" t="s">
        <v>703</v>
      </c>
    </row>
    <row r="174" spans="1:33" ht="13.8">
      <c r="A174" s="7" t="str">
        <f t="shared" si="90"/>
        <v>NCC-NorESM1-M_Scaled_Cluster13_repl3</v>
      </c>
      <c r="B174" s="8" t="s">
        <v>16</v>
      </c>
      <c r="C174" s="8" t="s">
        <v>54</v>
      </c>
      <c r="D174" s="9" t="s">
        <v>17</v>
      </c>
      <c r="E174" s="9" t="str">
        <f t="shared" si="91"/>
        <v>historical</v>
      </c>
      <c r="F174" s="8">
        <v>350</v>
      </c>
      <c r="G174" s="8" t="s">
        <v>60</v>
      </c>
      <c r="H174" s="8">
        <v>3</v>
      </c>
      <c r="I174" s="19">
        <v>4.1181188616223502E-7</v>
      </c>
      <c r="J174" s="8">
        <v>13</v>
      </c>
      <c r="K174" s="8" t="s">
        <v>167</v>
      </c>
      <c r="L174" s="8">
        <v>3</v>
      </c>
      <c r="M174" s="8">
        <v>1</v>
      </c>
      <c r="N174" s="10" t="s">
        <v>21</v>
      </c>
      <c r="O174" s="17" t="s">
        <v>328</v>
      </c>
      <c r="P174" s="10" t="str">
        <f t="shared" si="92"/>
        <v>NCC-NorESM1-M_Scaled_Cluster13_repl3.sqlite</v>
      </c>
      <c r="Q174" s="11">
        <f t="shared" si="93"/>
        <v>9</v>
      </c>
      <c r="R174" s="16" t="str">
        <f t="shared" si="94"/>
        <v>climate_db_NCC-NorESM1-M_historical_v4.sqlite</v>
      </c>
      <c r="S174" s="16" t="str">
        <f t="shared" si="95"/>
        <v>log/NCC-NorESM1-M_Scaled_Cluster13_repl3.txt</v>
      </c>
      <c r="T174" s="16" t="str">
        <f t="shared" si="96"/>
        <v>init/env_file_CLUSTER13_REPL3_NCC-NorESM1-M_historical.csv</v>
      </c>
      <c r="U174" s="16" t="str">
        <f t="shared" si="97"/>
        <v>init/env_grid_CLUSTER13_REPL3.asc</v>
      </c>
      <c r="V174" s="16" t="str">
        <f t="shared" si="98"/>
        <v>init/env_grid_CLUSTER13_REPL3.asc</v>
      </c>
      <c r="W174" s="16" t="str">
        <f t="shared" si="99"/>
        <v>trees_CLUSTER13.csv</v>
      </c>
      <c r="X174" s="16" t="str">
        <f t="shared" si="100"/>
        <v>saplings_CLUSTER13.csv</v>
      </c>
      <c r="Y174" s="16">
        <f t="shared" si="101"/>
        <v>350</v>
      </c>
      <c r="Z174" s="16" t="str">
        <f t="shared" si="102"/>
        <v>abe/no_mgmt.csv</v>
      </c>
      <c r="AA174" s="16" t="str">
        <f t="shared" si="103"/>
        <v>gis/WindModifier_cl13.asc</v>
      </c>
      <c r="AB174" s="16">
        <f t="shared" si="104"/>
        <v>4.1191188616223503E-7</v>
      </c>
      <c r="AC174" s="16" t="str">
        <f t="shared" si="105"/>
        <v>NCC-NorESM1-M_historical_point33292</v>
      </c>
      <c r="AD174" s="16" t="str">
        <f t="shared" si="106"/>
        <v>wind_Events/Scaled_cl13_repl3.txt</v>
      </c>
      <c r="AE174" s="16" t="str">
        <f t="shared" si="107"/>
        <v>NCC-NorESM1-M_Scaled_Cluster13_repl3</v>
      </c>
      <c r="AF174" s="16" t="s">
        <v>704</v>
      </c>
      <c r="AG174" s="16" t="s">
        <v>705</v>
      </c>
    </row>
    <row r="175" spans="1:33" ht="13.8">
      <c r="A175" s="7" t="str">
        <f t="shared" si="90"/>
        <v>NCC-NorESM1-M_Scaled_Cluster13_repl4</v>
      </c>
      <c r="B175" s="8" t="s">
        <v>16</v>
      </c>
      <c r="C175" s="8" t="s">
        <v>54</v>
      </c>
      <c r="D175" s="9" t="s">
        <v>17</v>
      </c>
      <c r="E175" s="9" t="str">
        <f t="shared" si="91"/>
        <v>historical</v>
      </c>
      <c r="F175" s="8">
        <v>350</v>
      </c>
      <c r="G175" s="8" t="s">
        <v>60</v>
      </c>
      <c r="H175" s="8">
        <v>3</v>
      </c>
      <c r="I175" s="19">
        <v>4.1181188616223502E-7</v>
      </c>
      <c r="J175" s="8">
        <v>13</v>
      </c>
      <c r="K175" s="8" t="s">
        <v>167</v>
      </c>
      <c r="L175" s="8">
        <v>4</v>
      </c>
      <c r="M175" s="8">
        <v>1</v>
      </c>
      <c r="N175" s="10" t="s">
        <v>21</v>
      </c>
      <c r="O175" s="17" t="s">
        <v>328</v>
      </c>
      <c r="P175" s="10" t="str">
        <f t="shared" si="92"/>
        <v>NCC-NorESM1-M_Scaled_Cluster13_repl4.sqlite</v>
      </c>
      <c r="Q175" s="11">
        <f t="shared" si="93"/>
        <v>12</v>
      </c>
      <c r="R175" s="16" t="str">
        <f t="shared" si="94"/>
        <v>climate_db_NCC-NorESM1-M_historical_v4.sqlite</v>
      </c>
      <c r="S175" s="16" t="str">
        <f t="shared" si="95"/>
        <v>log/NCC-NorESM1-M_Scaled_Cluster13_repl4.txt</v>
      </c>
      <c r="T175" s="16" t="str">
        <f t="shared" si="96"/>
        <v>init/env_file_CLUSTER13_REPL4_NCC-NorESM1-M_historical.csv</v>
      </c>
      <c r="U175" s="16" t="str">
        <f t="shared" si="97"/>
        <v>init/env_grid_CLUSTER13_REPL4.asc</v>
      </c>
      <c r="V175" s="16" t="str">
        <f t="shared" si="98"/>
        <v>init/env_grid_CLUSTER13_REPL4.asc</v>
      </c>
      <c r="W175" s="16" t="str">
        <f t="shared" si="99"/>
        <v>trees_CLUSTER13.csv</v>
      </c>
      <c r="X175" s="16" t="str">
        <f t="shared" si="100"/>
        <v>saplings_CLUSTER13.csv</v>
      </c>
      <c r="Y175" s="16">
        <f t="shared" si="101"/>
        <v>350</v>
      </c>
      <c r="Z175" s="16" t="str">
        <f t="shared" si="102"/>
        <v>abe/no_mgmt.csv</v>
      </c>
      <c r="AA175" s="16" t="str">
        <f t="shared" si="103"/>
        <v>gis/WindModifier_cl13.asc</v>
      </c>
      <c r="AB175" s="16">
        <f t="shared" si="104"/>
        <v>4.1191188616223503E-7</v>
      </c>
      <c r="AC175" s="16" t="str">
        <f t="shared" si="105"/>
        <v>NCC-NorESM1-M_historical_point33292</v>
      </c>
      <c r="AD175" s="16" t="str">
        <f t="shared" si="106"/>
        <v>wind_Events/Scaled_cl13_repl4.txt</v>
      </c>
      <c r="AE175" s="16" t="str">
        <f t="shared" si="107"/>
        <v>NCC-NorESM1-M_Scaled_Cluster13_repl4</v>
      </c>
      <c r="AF175" s="16" t="s">
        <v>706</v>
      </c>
      <c r="AG175" s="16" t="s">
        <v>707</v>
      </c>
    </row>
    <row r="176" spans="1:33" ht="13.8">
      <c r="A176" s="7" t="str">
        <f t="shared" si="90"/>
        <v>NCC-NorESM1-M_Scaled_Cluster13_repl5</v>
      </c>
      <c r="B176" s="8" t="s">
        <v>16</v>
      </c>
      <c r="C176" s="8" t="s">
        <v>54</v>
      </c>
      <c r="D176" s="9" t="s">
        <v>17</v>
      </c>
      <c r="E176" s="9" t="str">
        <f t="shared" si="91"/>
        <v>historical</v>
      </c>
      <c r="F176" s="8">
        <v>350</v>
      </c>
      <c r="G176" s="8" t="s">
        <v>60</v>
      </c>
      <c r="H176" s="8">
        <v>3</v>
      </c>
      <c r="I176" s="19">
        <v>4.1181188616223502E-7</v>
      </c>
      <c r="J176" s="8">
        <v>13</v>
      </c>
      <c r="K176" s="8" t="s">
        <v>167</v>
      </c>
      <c r="L176" s="8">
        <v>5</v>
      </c>
      <c r="M176" s="8">
        <v>1</v>
      </c>
      <c r="N176" s="10" t="s">
        <v>21</v>
      </c>
      <c r="O176" s="17" t="s">
        <v>328</v>
      </c>
      <c r="P176" s="10" t="str">
        <f t="shared" si="92"/>
        <v>NCC-NorESM1-M_Scaled_Cluster13_repl5.sqlite</v>
      </c>
      <c r="Q176" s="11">
        <f t="shared" si="93"/>
        <v>15</v>
      </c>
      <c r="R176" s="16" t="str">
        <f t="shared" si="94"/>
        <v>climate_db_NCC-NorESM1-M_historical_v4.sqlite</v>
      </c>
      <c r="S176" s="16" t="str">
        <f t="shared" si="95"/>
        <v>log/NCC-NorESM1-M_Scaled_Cluster13_repl5.txt</v>
      </c>
      <c r="T176" s="16" t="str">
        <f t="shared" si="96"/>
        <v>init/env_file_CLUSTER13_REPL5_NCC-NorESM1-M_historical.csv</v>
      </c>
      <c r="U176" s="16" t="str">
        <f t="shared" si="97"/>
        <v>init/env_grid_CLUSTER13_REPL5.asc</v>
      </c>
      <c r="V176" s="16" t="str">
        <f t="shared" si="98"/>
        <v>init/env_grid_CLUSTER13_REPL5.asc</v>
      </c>
      <c r="W176" s="16" t="str">
        <f t="shared" si="99"/>
        <v>trees_CLUSTER13.csv</v>
      </c>
      <c r="X176" s="16" t="str">
        <f t="shared" si="100"/>
        <v>saplings_CLUSTER13.csv</v>
      </c>
      <c r="Y176" s="16">
        <f t="shared" si="101"/>
        <v>350</v>
      </c>
      <c r="Z176" s="16" t="str">
        <f t="shared" si="102"/>
        <v>abe/no_mgmt.csv</v>
      </c>
      <c r="AA176" s="16" t="str">
        <f t="shared" si="103"/>
        <v>gis/WindModifier_cl13.asc</v>
      </c>
      <c r="AB176" s="16">
        <f t="shared" si="104"/>
        <v>4.1191188616223503E-7</v>
      </c>
      <c r="AC176" s="16" t="str">
        <f t="shared" si="105"/>
        <v>NCC-NorESM1-M_historical_point33292</v>
      </c>
      <c r="AD176" s="16" t="str">
        <f t="shared" si="106"/>
        <v>wind_Events/Scaled_cl13_repl5.txt</v>
      </c>
      <c r="AE176" s="16" t="str">
        <f t="shared" si="107"/>
        <v>NCC-NorESM1-M_Scaled_Cluster13_repl5</v>
      </c>
      <c r="AF176" s="16" t="s">
        <v>708</v>
      </c>
      <c r="AG176" s="16" t="s">
        <v>709</v>
      </c>
    </row>
    <row r="177" spans="1:33" ht="13.8">
      <c r="A177" s="7" t="str">
        <f t="shared" si="90"/>
        <v>NCC-NorESM1-M_Scaled_Cluster14_repl1</v>
      </c>
      <c r="B177" s="8" t="s">
        <v>16</v>
      </c>
      <c r="C177" s="8" t="s">
        <v>54</v>
      </c>
      <c r="D177" s="9" t="s">
        <v>17</v>
      </c>
      <c r="E177" s="9" t="str">
        <f t="shared" si="91"/>
        <v>historical</v>
      </c>
      <c r="F177" s="8">
        <v>350</v>
      </c>
      <c r="G177" s="8" t="s">
        <v>60</v>
      </c>
      <c r="H177" s="8">
        <v>3</v>
      </c>
      <c r="I177" s="19">
        <v>2.19455891293013E-6</v>
      </c>
      <c r="J177" s="8">
        <v>14</v>
      </c>
      <c r="K177" s="8" t="s">
        <v>180</v>
      </c>
      <c r="L177" s="8">
        <v>1</v>
      </c>
      <c r="M177" s="8">
        <v>1</v>
      </c>
      <c r="N177" s="10" t="s">
        <v>21</v>
      </c>
      <c r="O177" s="17" t="s">
        <v>328</v>
      </c>
      <c r="P177" s="10" t="str">
        <f t="shared" si="92"/>
        <v>NCC-NorESM1-M_Scaled_Cluster14_repl1.sqlite</v>
      </c>
      <c r="Q177" s="11">
        <f t="shared" si="93"/>
        <v>3</v>
      </c>
      <c r="R177" s="16" t="str">
        <f t="shared" si="94"/>
        <v>climate_db_NCC-NorESM1-M_historical_v4.sqlite</v>
      </c>
      <c r="S177" s="16" t="str">
        <f t="shared" si="95"/>
        <v>log/NCC-NorESM1-M_Scaled_Cluster14_repl1.txt</v>
      </c>
      <c r="T177" s="16" t="str">
        <f t="shared" si="96"/>
        <v>init/env_file_CLUSTER14_REPL1_NCC-NorESM1-M_historical.csv</v>
      </c>
      <c r="U177" s="16" t="str">
        <f t="shared" si="97"/>
        <v>init/env_grid_CLUSTER14_REPL1.asc</v>
      </c>
      <c r="V177" s="16" t="str">
        <f t="shared" si="98"/>
        <v>init/env_grid_CLUSTER14_REPL1.asc</v>
      </c>
      <c r="W177" s="16" t="str">
        <f t="shared" si="99"/>
        <v>trees_CLUSTER14.csv</v>
      </c>
      <c r="X177" s="16" t="str">
        <f t="shared" si="100"/>
        <v>saplings_CLUSTER14.csv</v>
      </c>
      <c r="Y177" s="16">
        <f t="shared" si="101"/>
        <v>350</v>
      </c>
      <c r="Z177" s="16" t="str">
        <f t="shared" si="102"/>
        <v>abe/no_mgmt.csv</v>
      </c>
      <c r="AA177" s="16" t="str">
        <f t="shared" si="103"/>
        <v>gis/WindModifier_cl14.asc</v>
      </c>
      <c r="AB177" s="16">
        <f t="shared" si="104"/>
        <v>2.1946589129301298E-6</v>
      </c>
      <c r="AC177" s="16" t="str">
        <f t="shared" si="105"/>
        <v>NCC-NorESM1-M_historical_point34873</v>
      </c>
      <c r="AD177" s="16" t="str">
        <f t="shared" si="106"/>
        <v>wind_Events/Scaled_cl14_repl1.txt</v>
      </c>
      <c r="AE177" s="16" t="str">
        <f t="shared" si="107"/>
        <v>NCC-NorESM1-M_Scaled_Cluster14_repl1</v>
      </c>
      <c r="AF177" s="16" t="s">
        <v>416</v>
      </c>
      <c r="AG177" s="16" t="s">
        <v>417</v>
      </c>
    </row>
    <row r="178" spans="1:33" ht="13.8">
      <c r="A178" s="7" t="str">
        <f t="shared" si="90"/>
        <v>NCC-NorESM1-M_Scaled_Cluster14_repl2</v>
      </c>
      <c r="B178" s="8" t="s">
        <v>16</v>
      </c>
      <c r="C178" s="8" t="s">
        <v>54</v>
      </c>
      <c r="D178" s="9" t="s">
        <v>17</v>
      </c>
      <c r="E178" s="9" t="str">
        <f t="shared" si="91"/>
        <v>historical</v>
      </c>
      <c r="F178" s="8">
        <v>350</v>
      </c>
      <c r="G178" s="8" t="s">
        <v>60</v>
      </c>
      <c r="H178" s="8">
        <v>3</v>
      </c>
      <c r="I178" s="19">
        <v>2.19455891293013E-6</v>
      </c>
      <c r="J178" s="8">
        <v>14</v>
      </c>
      <c r="K178" s="8" t="s">
        <v>180</v>
      </c>
      <c r="L178" s="8">
        <v>2</v>
      </c>
      <c r="M178" s="8">
        <v>1</v>
      </c>
      <c r="N178" s="10" t="s">
        <v>21</v>
      </c>
      <c r="O178" s="17" t="s">
        <v>328</v>
      </c>
      <c r="P178" s="10" t="str">
        <f t="shared" si="92"/>
        <v>NCC-NorESM1-M_Scaled_Cluster14_repl2.sqlite</v>
      </c>
      <c r="Q178" s="11">
        <f t="shared" si="93"/>
        <v>6</v>
      </c>
      <c r="R178" s="16" t="str">
        <f t="shared" si="94"/>
        <v>climate_db_NCC-NorESM1-M_historical_v4.sqlite</v>
      </c>
      <c r="S178" s="16" t="str">
        <f t="shared" si="95"/>
        <v>log/NCC-NorESM1-M_Scaled_Cluster14_repl2.txt</v>
      </c>
      <c r="T178" s="16" t="str">
        <f t="shared" si="96"/>
        <v>init/env_file_CLUSTER14_REPL2_NCC-NorESM1-M_historical.csv</v>
      </c>
      <c r="U178" s="16" t="str">
        <f t="shared" si="97"/>
        <v>init/env_grid_CLUSTER14_REPL2.asc</v>
      </c>
      <c r="V178" s="16" t="str">
        <f t="shared" si="98"/>
        <v>init/env_grid_CLUSTER14_REPL2.asc</v>
      </c>
      <c r="W178" s="16" t="str">
        <f t="shared" si="99"/>
        <v>trees_CLUSTER14.csv</v>
      </c>
      <c r="X178" s="16" t="str">
        <f t="shared" si="100"/>
        <v>saplings_CLUSTER14.csv</v>
      </c>
      <c r="Y178" s="16">
        <f t="shared" si="101"/>
        <v>350</v>
      </c>
      <c r="Z178" s="16" t="str">
        <f t="shared" si="102"/>
        <v>abe/no_mgmt.csv</v>
      </c>
      <c r="AA178" s="16" t="str">
        <f t="shared" si="103"/>
        <v>gis/WindModifier_cl14.asc</v>
      </c>
      <c r="AB178" s="16">
        <f t="shared" si="104"/>
        <v>2.1946589129301298E-6</v>
      </c>
      <c r="AC178" s="16" t="str">
        <f t="shared" si="105"/>
        <v>NCC-NorESM1-M_historical_point34873</v>
      </c>
      <c r="AD178" s="16" t="str">
        <f t="shared" si="106"/>
        <v>wind_Events/Scaled_cl14_repl2.txt</v>
      </c>
      <c r="AE178" s="16" t="str">
        <f t="shared" si="107"/>
        <v>NCC-NorESM1-M_Scaled_Cluster14_repl2</v>
      </c>
      <c r="AF178" s="16" t="s">
        <v>710</v>
      </c>
      <c r="AG178" s="16" t="s">
        <v>711</v>
      </c>
    </row>
    <row r="179" spans="1:33" ht="13.8">
      <c r="A179" s="7" t="str">
        <f t="shared" si="90"/>
        <v>NCC-NorESM1-M_Scaled_Cluster14_repl3</v>
      </c>
      <c r="B179" s="8" t="s">
        <v>16</v>
      </c>
      <c r="C179" s="8" t="s">
        <v>54</v>
      </c>
      <c r="D179" s="9" t="s">
        <v>17</v>
      </c>
      <c r="E179" s="9" t="str">
        <f t="shared" si="91"/>
        <v>historical</v>
      </c>
      <c r="F179" s="8">
        <v>350</v>
      </c>
      <c r="G179" s="8" t="s">
        <v>60</v>
      </c>
      <c r="H179" s="8">
        <v>3</v>
      </c>
      <c r="I179" s="19">
        <v>2.19455891293013E-6</v>
      </c>
      <c r="J179" s="8">
        <v>14</v>
      </c>
      <c r="K179" s="8" t="s">
        <v>180</v>
      </c>
      <c r="L179" s="8">
        <v>3</v>
      </c>
      <c r="M179" s="8">
        <v>1</v>
      </c>
      <c r="N179" s="10" t="s">
        <v>21</v>
      </c>
      <c r="O179" s="17" t="s">
        <v>328</v>
      </c>
      <c r="P179" s="10" t="str">
        <f t="shared" si="92"/>
        <v>NCC-NorESM1-M_Scaled_Cluster14_repl3.sqlite</v>
      </c>
      <c r="Q179" s="11">
        <f t="shared" si="93"/>
        <v>9</v>
      </c>
      <c r="R179" s="16" t="str">
        <f t="shared" si="94"/>
        <v>climate_db_NCC-NorESM1-M_historical_v4.sqlite</v>
      </c>
      <c r="S179" s="16" t="str">
        <f t="shared" si="95"/>
        <v>log/NCC-NorESM1-M_Scaled_Cluster14_repl3.txt</v>
      </c>
      <c r="T179" s="16" t="str">
        <f t="shared" si="96"/>
        <v>init/env_file_CLUSTER14_REPL3_NCC-NorESM1-M_historical.csv</v>
      </c>
      <c r="U179" s="16" t="str">
        <f t="shared" si="97"/>
        <v>init/env_grid_CLUSTER14_REPL3.asc</v>
      </c>
      <c r="V179" s="16" t="str">
        <f t="shared" si="98"/>
        <v>init/env_grid_CLUSTER14_REPL3.asc</v>
      </c>
      <c r="W179" s="16" t="str">
        <f t="shared" si="99"/>
        <v>trees_CLUSTER14.csv</v>
      </c>
      <c r="X179" s="16" t="str">
        <f t="shared" si="100"/>
        <v>saplings_CLUSTER14.csv</v>
      </c>
      <c r="Y179" s="16">
        <f t="shared" si="101"/>
        <v>350</v>
      </c>
      <c r="Z179" s="16" t="str">
        <f t="shared" si="102"/>
        <v>abe/no_mgmt.csv</v>
      </c>
      <c r="AA179" s="16" t="str">
        <f t="shared" si="103"/>
        <v>gis/WindModifier_cl14.asc</v>
      </c>
      <c r="AB179" s="16">
        <f t="shared" si="104"/>
        <v>2.1946589129301298E-6</v>
      </c>
      <c r="AC179" s="16" t="str">
        <f t="shared" si="105"/>
        <v>NCC-NorESM1-M_historical_point34873</v>
      </c>
      <c r="AD179" s="16" t="str">
        <f t="shared" si="106"/>
        <v>wind_Events/Scaled_cl14_repl3.txt</v>
      </c>
      <c r="AE179" s="16" t="str">
        <f t="shared" si="107"/>
        <v>NCC-NorESM1-M_Scaled_Cluster14_repl3</v>
      </c>
      <c r="AF179" s="16" t="s">
        <v>712</v>
      </c>
      <c r="AG179" s="16" t="s">
        <v>713</v>
      </c>
    </row>
    <row r="180" spans="1:33" ht="13.8">
      <c r="A180" s="7" t="str">
        <f t="shared" si="90"/>
        <v>NCC-NorESM1-M_Scaled_Cluster14_repl4</v>
      </c>
      <c r="B180" s="8" t="s">
        <v>16</v>
      </c>
      <c r="C180" s="8" t="s">
        <v>54</v>
      </c>
      <c r="D180" s="9" t="s">
        <v>17</v>
      </c>
      <c r="E180" s="9" t="str">
        <f t="shared" si="91"/>
        <v>historical</v>
      </c>
      <c r="F180" s="8">
        <v>350</v>
      </c>
      <c r="G180" s="8" t="s">
        <v>60</v>
      </c>
      <c r="H180" s="8">
        <v>3</v>
      </c>
      <c r="I180" s="19">
        <v>2.19455891293013E-6</v>
      </c>
      <c r="J180" s="8">
        <v>14</v>
      </c>
      <c r="K180" s="8" t="s">
        <v>180</v>
      </c>
      <c r="L180" s="8">
        <v>4</v>
      </c>
      <c r="M180" s="8">
        <v>1</v>
      </c>
      <c r="N180" s="10" t="s">
        <v>21</v>
      </c>
      <c r="O180" s="17" t="s">
        <v>328</v>
      </c>
      <c r="P180" s="10" t="str">
        <f t="shared" si="92"/>
        <v>NCC-NorESM1-M_Scaled_Cluster14_repl4.sqlite</v>
      </c>
      <c r="Q180" s="11">
        <f t="shared" si="93"/>
        <v>12</v>
      </c>
      <c r="R180" s="16" t="str">
        <f t="shared" si="94"/>
        <v>climate_db_NCC-NorESM1-M_historical_v4.sqlite</v>
      </c>
      <c r="S180" s="16" t="str">
        <f t="shared" si="95"/>
        <v>log/NCC-NorESM1-M_Scaled_Cluster14_repl4.txt</v>
      </c>
      <c r="T180" s="16" t="str">
        <f t="shared" si="96"/>
        <v>init/env_file_CLUSTER14_REPL4_NCC-NorESM1-M_historical.csv</v>
      </c>
      <c r="U180" s="16" t="str">
        <f t="shared" si="97"/>
        <v>init/env_grid_CLUSTER14_REPL4.asc</v>
      </c>
      <c r="V180" s="16" t="str">
        <f t="shared" si="98"/>
        <v>init/env_grid_CLUSTER14_REPL4.asc</v>
      </c>
      <c r="W180" s="16" t="str">
        <f t="shared" si="99"/>
        <v>trees_CLUSTER14.csv</v>
      </c>
      <c r="X180" s="16" t="str">
        <f t="shared" si="100"/>
        <v>saplings_CLUSTER14.csv</v>
      </c>
      <c r="Y180" s="16">
        <f t="shared" si="101"/>
        <v>350</v>
      </c>
      <c r="Z180" s="16" t="str">
        <f t="shared" si="102"/>
        <v>abe/no_mgmt.csv</v>
      </c>
      <c r="AA180" s="16" t="str">
        <f t="shared" si="103"/>
        <v>gis/WindModifier_cl14.asc</v>
      </c>
      <c r="AB180" s="16">
        <f t="shared" si="104"/>
        <v>2.1946589129301298E-6</v>
      </c>
      <c r="AC180" s="16" t="str">
        <f t="shared" si="105"/>
        <v>NCC-NorESM1-M_historical_point34873</v>
      </c>
      <c r="AD180" s="16" t="str">
        <f t="shared" si="106"/>
        <v>wind_Events/Scaled_cl14_repl4.txt</v>
      </c>
      <c r="AE180" s="16" t="str">
        <f t="shared" si="107"/>
        <v>NCC-NorESM1-M_Scaled_Cluster14_repl4</v>
      </c>
      <c r="AF180" s="16" t="s">
        <v>714</v>
      </c>
      <c r="AG180" s="16" t="s">
        <v>715</v>
      </c>
    </row>
    <row r="181" spans="1:33" ht="13.8">
      <c r="A181" s="7" t="str">
        <f t="shared" si="90"/>
        <v>NCC-NorESM1-M_Scaled_Cluster14_repl5</v>
      </c>
      <c r="B181" s="8" t="s">
        <v>16</v>
      </c>
      <c r="C181" s="8" t="s">
        <v>54</v>
      </c>
      <c r="D181" s="9" t="s">
        <v>17</v>
      </c>
      <c r="E181" s="9" t="str">
        <f t="shared" si="91"/>
        <v>historical</v>
      </c>
      <c r="F181" s="8">
        <v>350</v>
      </c>
      <c r="G181" s="8" t="s">
        <v>60</v>
      </c>
      <c r="H181" s="8">
        <v>3</v>
      </c>
      <c r="I181" s="19">
        <v>2.19455891293013E-6</v>
      </c>
      <c r="J181" s="8">
        <v>14</v>
      </c>
      <c r="K181" s="8" t="s">
        <v>180</v>
      </c>
      <c r="L181" s="8">
        <v>5</v>
      </c>
      <c r="M181" s="8">
        <v>1</v>
      </c>
      <c r="N181" s="10" t="s">
        <v>21</v>
      </c>
      <c r="O181" s="17" t="s">
        <v>328</v>
      </c>
      <c r="P181" s="10" t="str">
        <f t="shared" si="92"/>
        <v>NCC-NorESM1-M_Scaled_Cluster14_repl5.sqlite</v>
      </c>
      <c r="Q181" s="11">
        <f t="shared" si="93"/>
        <v>15</v>
      </c>
      <c r="R181" s="16" t="str">
        <f t="shared" si="94"/>
        <v>climate_db_NCC-NorESM1-M_historical_v4.sqlite</v>
      </c>
      <c r="S181" s="16" t="str">
        <f t="shared" si="95"/>
        <v>log/NCC-NorESM1-M_Scaled_Cluster14_repl5.txt</v>
      </c>
      <c r="T181" s="16" t="str">
        <f t="shared" si="96"/>
        <v>init/env_file_CLUSTER14_REPL5_NCC-NorESM1-M_historical.csv</v>
      </c>
      <c r="U181" s="16" t="str">
        <f t="shared" si="97"/>
        <v>init/env_grid_CLUSTER14_REPL5.asc</v>
      </c>
      <c r="V181" s="16" t="str">
        <f t="shared" si="98"/>
        <v>init/env_grid_CLUSTER14_REPL5.asc</v>
      </c>
      <c r="W181" s="16" t="str">
        <f t="shared" si="99"/>
        <v>trees_CLUSTER14.csv</v>
      </c>
      <c r="X181" s="16" t="str">
        <f t="shared" si="100"/>
        <v>saplings_CLUSTER14.csv</v>
      </c>
      <c r="Y181" s="16">
        <f t="shared" si="101"/>
        <v>350</v>
      </c>
      <c r="Z181" s="16" t="str">
        <f t="shared" si="102"/>
        <v>abe/no_mgmt.csv</v>
      </c>
      <c r="AA181" s="16" t="str">
        <f t="shared" si="103"/>
        <v>gis/WindModifier_cl14.asc</v>
      </c>
      <c r="AB181" s="16">
        <f t="shared" si="104"/>
        <v>2.1946589129301298E-6</v>
      </c>
      <c r="AC181" s="16" t="str">
        <f t="shared" si="105"/>
        <v>NCC-NorESM1-M_historical_point34873</v>
      </c>
      <c r="AD181" s="16" t="str">
        <f t="shared" si="106"/>
        <v>wind_Events/Scaled_cl14_repl5.txt</v>
      </c>
      <c r="AE181" s="16" t="str">
        <f t="shared" si="107"/>
        <v>NCC-NorESM1-M_Scaled_Cluster14_repl5</v>
      </c>
      <c r="AF181" s="16" t="s">
        <v>716</v>
      </c>
      <c r="AG181" s="16" t="s">
        <v>717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60E4-E77A-469D-8D0B-743FFDB2881B}">
  <sheetPr>
    <outlinePr summaryBelow="0" summaryRight="0"/>
  </sheetPr>
  <dimension ref="A1:AG16"/>
  <sheetViews>
    <sheetView zoomScale="90" zoomScaleNormal="90" workbookViewId="0">
      <selection activeCell="R15" sqref="R15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5" width="17.44140625" style="13" customWidth="1"/>
    <col min="6" max="6" width="19.88671875" style="13" customWidth="1"/>
    <col min="7" max="12" width="22.109375" style="13" customWidth="1"/>
    <col min="13" max="13" width="13.88671875" style="13" customWidth="1"/>
    <col min="14" max="14" width="13.44140625" style="13" customWidth="1"/>
    <col min="15" max="15" width="12.44140625" style="13" customWidth="1"/>
    <col min="16" max="16" width="48.33203125" style="13" customWidth="1"/>
    <col min="17" max="17" width="10" style="13" customWidth="1"/>
    <col min="18" max="18" width="45.5546875" style="13" customWidth="1"/>
    <col min="19" max="19" width="48.6640625" style="13" customWidth="1"/>
    <col min="20" max="20" width="54" style="13" customWidth="1"/>
    <col min="21" max="21" width="31.21875" style="13" customWidth="1"/>
    <col min="22" max="22" width="34.21875" style="13" customWidth="1"/>
    <col min="23" max="23" width="24.109375" style="13" customWidth="1"/>
    <col min="24" max="24" width="31.33203125" style="13" customWidth="1"/>
    <col min="25" max="25" width="28.109375" style="13" customWidth="1"/>
    <col min="26" max="26" width="33" style="13" customWidth="1"/>
    <col min="27" max="27" width="29.109375" style="13" customWidth="1"/>
    <col min="28" max="28" width="31" style="13" customWidth="1"/>
    <col min="29" max="29" width="39.6640625" style="13" customWidth="1"/>
    <col min="30" max="30" width="28.33203125" style="13" bestFit="1" customWidth="1"/>
    <col min="31" max="31" width="42.33203125" style="13" bestFit="1" customWidth="1"/>
    <col min="32" max="32" width="39.88671875" style="13" bestFit="1" customWidth="1"/>
    <col min="33" max="33" width="48.33203125" style="13" bestFit="1" customWidth="1"/>
    <col min="34" max="16384" width="13.88671875" style="13"/>
  </cols>
  <sheetData>
    <row r="1" spans="1:33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61</v>
      </c>
      <c r="I1" s="2" t="s">
        <v>56</v>
      </c>
      <c r="J1" s="2" t="s">
        <v>38</v>
      </c>
      <c r="K1" s="2" t="s">
        <v>62</v>
      </c>
      <c r="L1" s="2" t="s">
        <v>39</v>
      </c>
      <c r="M1" s="2" t="s">
        <v>6</v>
      </c>
      <c r="N1" s="1" t="s">
        <v>7</v>
      </c>
      <c r="O1" s="1" t="s">
        <v>8</v>
      </c>
      <c r="P1" s="1" t="s">
        <v>9</v>
      </c>
      <c r="Q1" s="3" t="s">
        <v>10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51</v>
      </c>
      <c r="AB1" s="15" t="s">
        <v>55</v>
      </c>
      <c r="AC1" s="15" t="s">
        <v>42</v>
      </c>
      <c r="AD1" s="15" t="s">
        <v>37</v>
      </c>
      <c r="AE1" s="15" t="s">
        <v>52</v>
      </c>
      <c r="AF1" s="15" t="s">
        <v>68</v>
      </c>
      <c r="AG1" s="15" t="s">
        <v>69</v>
      </c>
    </row>
    <row r="2" spans="1:33" ht="13.8">
      <c r="A2" s="7" t="str">
        <f t="shared" ref="A2:A16" si="0" xml:space="preserve"> G2 &amp; "_" &amp; C2 &amp;"Cluster" &amp; J2 &amp; "_repl" &amp; L2</f>
        <v>ICHEC-EC-EARTH_Scaled_Cluster13_repl1</v>
      </c>
      <c r="B2" s="8" t="s">
        <v>16</v>
      </c>
      <c r="C2" s="8" t="s">
        <v>54</v>
      </c>
      <c r="D2" s="9" t="s">
        <v>17</v>
      </c>
      <c r="E2" s="9" t="str">
        <f t="shared" ref="E2:E16" si="1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</v>
      </c>
      <c r="I2" s="18">
        <v>6.8499999999999995E-4</v>
      </c>
      <c r="J2" s="8">
        <v>13</v>
      </c>
      <c r="K2" s="8" t="s">
        <v>167</v>
      </c>
      <c r="L2" s="8">
        <v>1</v>
      </c>
      <c r="M2" s="8">
        <v>1</v>
      </c>
      <c r="N2" s="10" t="s">
        <v>21</v>
      </c>
      <c r="O2" s="17" t="s">
        <v>328</v>
      </c>
      <c r="P2" s="10" t="str">
        <f t="shared" ref="P2:P16" si="2">A2  &amp; ".sqlite"</f>
        <v>ICHEC-EC-EARTH_Scaled_Cluster13_repl1.sqlite</v>
      </c>
      <c r="Q2" s="11">
        <f t="shared" ref="Q2:Q16" si="3">(L2-1)*3+H2</f>
        <v>1</v>
      </c>
      <c r="R2" s="16" t="str">
        <f t="shared" ref="R2:R16" si="4">"climate_db_" &amp; G2&amp; "_" &amp;  E2&amp; "_v4.sqlite"</f>
        <v>climate_db_ICHEC-EC-EARTH_historical_v4.sqlite</v>
      </c>
      <c r="S2" s="16" t="str">
        <f t="shared" ref="S2:S16" si="5">"log/" &amp;A2  &amp; ".txt"</f>
        <v>log/ICHEC-EC-EARTH_Scaled_Cluster13_repl1.txt</v>
      </c>
      <c r="T2" s="16" t="str">
        <f t="shared" ref="T2:T16" si="6">"init/env_file_CLUSTER" &amp; TEXT(J2, "00") &amp; "_REPL" &amp; L2 &amp; "_" &amp; G2 &amp; "_" &amp; E2 &amp; ".csv"</f>
        <v>init/env_file_CLUSTER13_REPL1_ICHEC-EC-EARTH_historical.csv</v>
      </c>
      <c r="U2" s="16" t="str">
        <f t="shared" ref="U2:U16" si="7">"init/env_grid_CLUSTER" &amp; TEXT(J2, "00") &amp; "_REPL" &amp; L2 &amp; ".asc"</f>
        <v>init/env_grid_CLUSTER13_REPL1.asc</v>
      </c>
      <c r="V2" s="16" t="str">
        <f t="shared" ref="V2:V16" si="8">U2</f>
        <v>init/env_grid_CLUSTER13_REPL1.asc</v>
      </c>
      <c r="W2" s="16" t="str">
        <f t="shared" ref="W2:W16" si="9">"trees_CLUSTER" &amp; TEXT(J2, "00")  &amp; ".csv"</f>
        <v>trees_CLUSTER13.csv</v>
      </c>
      <c r="X2" s="16" t="str">
        <f t="shared" ref="X2:X16" si="10">"saplings_CLUSTER" &amp; TEXT(J2, "00")  &amp; ".csv"</f>
        <v>saplings_CLUSTER13.csv</v>
      </c>
      <c r="Y2" s="16">
        <f t="shared" ref="Y2:Y16" si="11">F2</f>
        <v>350</v>
      </c>
      <c r="Z2" s="16" t="str">
        <f t="shared" ref="Z2:Z16" si="12">"abe/no_mgmt.csv"</f>
        <v>abe/no_mgmt.csv</v>
      </c>
      <c r="AA2" s="16" t="str">
        <f t="shared" ref="AA2:AA16" si="13">"gis/WindModifier_cl" &amp; J2 &amp; ".asc"</f>
        <v>gis/WindModifier_cl13.asc</v>
      </c>
      <c r="AB2" s="16">
        <f t="shared" ref="AB2:AB9" si="14">IF(C2="Scaled_", I2+0.0000000001,  0.000685)</f>
        <v>6.8500009999999999E-4</v>
      </c>
      <c r="AC2" s="16" t="str">
        <f t="shared" ref="AC2:AC16" si="15">G2 &amp; "_" &amp; E2 &amp; "_point" &amp; K2</f>
        <v>ICHEC-EC-EARTH_historical_point33292</v>
      </c>
      <c r="AD2" s="16" t="str">
        <f t="shared" ref="AD2:AD16" si="16">"wind_Events/" &amp; C2 &amp; "cl" &amp; J2 &amp; "_repl" &amp; L2 &amp; ".txt"</f>
        <v>wind_Events/Scaled_cl13_repl1.txt</v>
      </c>
      <c r="AE2" s="16" t="str">
        <f t="shared" ref="AE2:AE16" si="17">A2</f>
        <v>ICHEC-EC-EARTH_Scaled_Cluster13_repl1</v>
      </c>
      <c r="AF2" s="16" t="s">
        <v>280</v>
      </c>
      <c r="AG2" s="16" t="s">
        <v>281</v>
      </c>
    </row>
    <row r="3" spans="1:33" ht="13.8">
      <c r="A3" s="7" t="str">
        <f t="shared" si="0"/>
        <v>MPI-M-MPI-ESM-LR_Scaled_Cluster13_repl1</v>
      </c>
      <c r="B3" s="8" t="s">
        <v>16</v>
      </c>
      <c r="C3" s="8" t="s">
        <v>54</v>
      </c>
      <c r="D3" s="9" t="s">
        <v>17</v>
      </c>
      <c r="E3" s="9" t="str">
        <f t="shared" si="1"/>
        <v>historical</v>
      </c>
      <c r="F3" s="8">
        <v>350</v>
      </c>
      <c r="G3" s="8" t="s">
        <v>63</v>
      </c>
      <c r="H3" s="8">
        <v>2</v>
      </c>
      <c r="I3" s="18">
        <v>6.8499999999999995E-4</v>
      </c>
      <c r="J3" s="8">
        <v>13</v>
      </c>
      <c r="K3" s="8" t="s">
        <v>167</v>
      </c>
      <c r="L3" s="8">
        <v>1</v>
      </c>
      <c r="M3" s="8">
        <v>1</v>
      </c>
      <c r="N3" s="10" t="s">
        <v>21</v>
      </c>
      <c r="O3" s="17" t="s">
        <v>328</v>
      </c>
      <c r="P3" s="10" t="str">
        <f t="shared" si="2"/>
        <v>MPI-M-MPI-ESM-LR_Scaled_Cluster13_repl1.sqlite</v>
      </c>
      <c r="Q3" s="11">
        <f t="shared" si="3"/>
        <v>2</v>
      </c>
      <c r="R3" s="16" t="str">
        <f t="shared" si="4"/>
        <v>climate_db_MPI-M-MPI-ESM-LR_historical_v4.sqlite</v>
      </c>
      <c r="S3" s="16" t="str">
        <f t="shared" si="5"/>
        <v>log/MPI-M-MPI-ESM-LR_Scaled_Cluster13_repl1.txt</v>
      </c>
      <c r="T3" s="16" t="str">
        <f t="shared" si="6"/>
        <v>init/env_file_CLUSTER13_REPL1_MPI-M-MPI-ESM-LR_historical.csv</v>
      </c>
      <c r="U3" s="16" t="str">
        <f t="shared" si="7"/>
        <v>init/env_grid_CLUSTER13_REPL1.asc</v>
      </c>
      <c r="V3" s="16" t="str">
        <f t="shared" si="8"/>
        <v>init/env_grid_CLUSTER13_REPL1.asc</v>
      </c>
      <c r="W3" s="16" t="str">
        <f t="shared" si="9"/>
        <v>trees_CLUSTER13.csv</v>
      </c>
      <c r="X3" s="16" t="str">
        <f t="shared" si="10"/>
        <v>saplings_CLUSTER13.csv</v>
      </c>
      <c r="Y3" s="16">
        <f t="shared" si="11"/>
        <v>350</v>
      </c>
      <c r="Z3" s="16" t="str">
        <f t="shared" si="12"/>
        <v>abe/no_mgmt.csv</v>
      </c>
      <c r="AA3" s="16" t="str">
        <f t="shared" si="13"/>
        <v>gis/WindModifier_cl13.asc</v>
      </c>
      <c r="AB3" s="16">
        <f t="shared" si="14"/>
        <v>6.8500009999999999E-4</v>
      </c>
      <c r="AC3" s="16" t="str">
        <f t="shared" si="15"/>
        <v>MPI-M-MPI-ESM-LR_historical_point33292</v>
      </c>
      <c r="AD3" s="16" t="str">
        <f t="shared" si="16"/>
        <v>wind_Events/Scaled_cl13_repl1.txt</v>
      </c>
      <c r="AE3" s="16" t="str">
        <f t="shared" si="17"/>
        <v>MPI-M-MPI-ESM-LR_Scaled_Cluster13_repl1</v>
      </c>
      <c r="AF3" s="16" t="s">
        <v>282</v>
      </c>
      <c r="AG3" s="16" t="s">
        <v>283</v>
      </c>
    </row>
    <row r="4" spans="1:33" ht="13.8">
      <c r="A4" s="7" t="str">
        <f t="shared" si="0"/>
        <v>NCC-NorESM1-M_Scaled_Cluster13_repl1</v>
      </c>
      <c r="B4" s="8" t="s">
        <v>16</v>
      </c>
      <c r="C4" s="8" t="s">
        <v>54</v>
      </c>
      <c r="D4" s="9" t="s">
        <v>17</v>
      </c>
      <c r="E4" s="9" t="str">
        <f t="shared" si="1"/>
        <v>historical</v>
      </c>
      <c r="F4" s="8">
        <v>350</v>
      </c>
      <c r="G4" s="8" t="s">
        <v>60</v>
      </c>
      <c r="H4" s="8">
        <v>3</v>
      </c>
      <c r="I4" s="18">
        <v>6.8499999999999995E-4</v>
      </c>
      <c r="J4" s="8">
        <v>13</v>
      </c>
      <c r="K4" s="8" t="s">
        <v>167</v>
      </c>
      <c r="L4" s="8">
        <v>1</v>
      </c>
      <c r="M4" s="8">
        <v>1</v>
      </c>
      <c r="N4" s="10" t="s">
        <v>21</v>
      </c>
      <c r="O4" s="17" t="s">
        <v>328</v>
      </c>
      <c r="P4" s="10" t="str">
        <f t="shared" si="2"/>
        <v>NCC-NorESM1-M_Scaled_Cluster13_repl1.sqlite</v>
      </c>
      <c r="Q4" s="11">
        <f t="shared" si="3"/>
        <v>3</v>
      </c>
      <c r="R4" s="16" t="str">
        <f t="shared" si="4"/>
        <v>climate_db_NCC-NorESM1-M_historical_v4.sqlite</v>
      </c>
      <c r="S4" s="16" t="str">
        <f t="shared" si="5"/>
        <v>log/NCC-NorESM1-M_Scaled_Cluster13_repl1.txt</v>
      </c>
      <c r="T4" s="16" t="str">
        <f t="shared" si="6"/>
        <v>init/env_file_CLUSTER13_REPL1_NCC-NorESM1-M_historical.csv</v>
      </c>
      <c r="U4" s="16" t="str">
        <f t="shared" si="7"/>
        <v>init/env_grid_CLUSTER13_REPL1.asc</v>
      </c>
      <c r="V4" s="16" t="str">
        <f t="shared" si="8"/>
        <v>init/env_grid_CLUSTER13_REPL1.asc</v>
      </c>
      <c r="W4" s="16" t="str">
        <f t="shared" si="9"/>
        <v>trees_CLUSTER13.csv</v>
      </c>
      <c r="X4" s="16" t="str">
        <f t="shared" si="10"/>
        <v>saplings_CLUSTER13.csv</v>
      </c>
      <c r="Y4" s="16">
        <f t="shared" si="11"/>
        <v>350</v>
      </c>
      <c r="Z4" s="16" t="str">
        <f t="shared" si="12"/>
        <v>abe/no_mgmt.csv</v>
      </c>
      <c r="AA4" s="16" t="str">
        <f t="shared" si="13"/>
        <v>gis/WindModifier_cl13.asc</v>
      </c>
      <c r="AB4" s="16">
        <f t="shared" si="14"/>
        <v>6.8500009999999999E-4</v>
      </c>
      <c r="AC4" s="16" t="str">
        <f t="shared" si="15"/>
        <v>NCC-NorESM1-M_historical_point33292</v>
      </c>
      <c r="AD4" s="16" t="str">
        <f t="shared" si="16"/>
        <v>wind_Events/Scaled_cl13_repl1.txt</v>
      </c>
      <c r="AE4" s="16" t="str">
        <f t="shared" si="17"/>
        <v>NCC-NorESM1-M_Scaled_Cluster13_repl1</v>
      </c>
      <c r="AF4" s="16" t="s">
        <v>284</v>
      </c>
      <c r="AG4" s="16" t="s">
        <v>285</v>
      </c>
    </row>
    <row r="5" spans="1:33" ht="13.8">
      <c r="A5" s="7" t="str">
        <f t="shared" si="0"/>
        <v>ICHEC-EC-EARTH_Scaled_Cluster13_repl2</v>
      </c>
      <c r="B5" s="8" t="s">
        <v>16</v>
      </c>
      <c r="C5" s="8" t="s">
        <v>54</v>
      </c>
      <c r="D5" s="9" t="s">
        <v>17</v>
      </c>
      <c r="E5" s="9" t="str">
        <f t="shared" si="1"/>
        <v>historical</v>
      </c>
      <c r="F5" s="8">
        <v>350</v>
      </c>
      <c r="G5" s="8" t="s">
        <v>18</v>
      </c>
      <c r="H5" s="8">
        <v>1</v>
      </c>
      <c r="I5" s="18">
        <v>6.8499999999999995E-4</v>
      </c>
      <c r="J5" s="8">
        <v>13</v>
      </c>
      <c r="K5" s="8" t="s">
        <v>167</v>
      </c>
      <c r="L5" s="8">
        <v>2</v>
      </c>
      <c r="M5" s="8">
        <v>1</v>
      </c>
      <c r="N5" s="10" t="s">
        <v>21</v>
      </c>
      <c r="O5" s="17" t="s">
        <v>328</v>
      </c>
      <c r="P5" s="10" t="str">
        <f t="shared" si="2"/>
        <v>ICHEC-EC-EARTH_Scaled_Cluster13_repl2.sqlite</v>
      </c>
      <c r="Q5" s="11">
        <f t="shared" si="3"/>
        <v>4</v>
      </c>
      <c r="R5" s="16" t="str">
        <f t="shared" si="4"/>
        <v>climate_db_ICHEC-EC-EARTH_historical_v4.sqlite</v>
      </c>
      <c r="S5" s="16" t="str">
        <f t="shared" si="5"/>
        <v>log/ICHEC-EC-EARTH_Scaled_Cluster13_repl2.txt</v>
      </c>
      <c r="T5" s="16" t="str">
        <f t="shared" si="6"/>
        <v>init/env_file_CLUSTER13_REPL2_ICHEC-EC-EARTH_historical.csv</v>
      </c>
      <c r="U5" s="16" t="str">
        <f t="shared" si="7"/>
        <v>init/env_grid_CLUSTER13_REPL2.asc</v>
      </c>
      <c r="V5" s="16" t="str">
        <f t="shared" si="8"/>
        <v>init/env_grid_CLUSTER13_REPL2.asc</v>
      </c>
      <c r="W5" s="16" t="str">
        <f t="shared" si="9"/>
        <v>trees_CLUSTER13.csv</v>
      </c>
      <c r="X5" s="16" t="str">
        <f t="shared" si="10"/>
        <v>saplings_CLUSTER13.csv</v>
      </c>
      <c r="Y5" s="16">
        <f t="shared" si="11"/>
        <v>350</v>
      </c>
      <c r="Z5" s="16" t="str">
        <f t="shared" si="12"/>
        <v>abe/no_mgmt.csv</v>
      </c>
      <c r="AA5" s="16" t="str">
        <f t="shared" si="13"/>
        <v>gis/WindModifier_cl13.asc</v>
      </c>
      <c r="AB5" s="16">
        <f t="shared" si="14"/>
        <v>6.8500009999999999E-4</v>
      </c>
      <c r="AC5" s="16" t="str">
        <f t="shared" si="15"/>
        <v>ICHEC-EC-EARTH_historical_point33292</v>
      </c>
      <c r="AD5" s="16" t="str">
        <f t="shared" si="16"/>
        <v>wind_Events/Scaled_cl13_repl2.txt</v>
      </c>
      <c r="AE5" s="16" t="str">
        <f t="shared" si="17"/>
        <v>ICHEC-EC-EARTH_Scaled_Cluster13_repl2</v>
      </c>
      <c r="AF5" s="16" t="s">
        <v>286</v>
      </c>
      <c r="AG5" s="16" t="s">
        <v>287</v>
      </c>
    </row>
    <row r="6" spans="1:33" ht="13.8">
      <c r="A6" s="7" t="str">
        <f t="shared" si="0"/>
        <v>MPI-M-MPI-ESM-LR_Scaled_Cluster13_repl2</v>
      </c>
      <c r="B6" s="8" t="s">
        <v>16</v>
      </c>
      <c r="C6" s="8" t="s">
        <v>54</v>
      </c>
      <c r="D6" s="9" t="s">
        <v>17</v>
      </c>
      <c r="E6" s="9" t="str">
        <f t="shared" si="1"/>
        <v>historical</v>
      </c>
      <c r="F6" s="8">
        <v>350</v>
      </c>
      <c r="G6" s="8" t="s">
        <v>63</v>
      </c>
      <c r="H6" s="8">
        <v>2</v>
      </c>
      <c r="I6" s="18">
        <v>6.8499999999999995E-4</v>
      </c>
      <c r="J6" s="8">
        <v>13</v>
      </c>
      <c r="K6" s="8" t="s">
        <v>167</v>
      </c>
      <c r="L6" s="8">
        <v>2</v>
      </c>
      <c r="M6" s="8">
        <v>1</v>
      </c>
      <c r="N6" s="10" t="s">
        <v>21</v>
      </c>
      <c r="O6" s="17" t="s">
        <v>328</v>
      </c>
      <c r="P6" s="10" t="str">
        <f t="shared" si="2"/>
        <v>MPI-M-MPI-ESM-LR_Scaled_Cluster13_repl2.sqlite</v>
      </c>
      <c r="Q6" s="11">
        <f t="shared" si="3"/>
        <v>5</v>
      </c>
      <c r="R6" s="16" t="str">
        <f t="shared" si="4"/>
        <v>climate_db_MPI-M-MPI-ESM-LR_historical_v4.sqlite</v>
      </c>
      <c r="S6" s="16" t="str">
        <f t="shared" si="5"/>
        <v>log/MPI-M-MPI-ESM-LR_Scaled_Cluster13_repl2.txt</v>
      </c>
      <c r="T6" s="16" t="str">
        <f t="shared" si="6"/>
        <v>init/env_file_CLUSTER13_REPL2_MPI-M-MPI-ESM-LR_historical.csv</v>
      </c>
      <c r="U6" s="16" t="str">
        <f t="shared" si="7"/>
        <v>init/env_grid_CLUSTER13_REPL2.asc</v>
      </c>
      <c r="V6" s="16" t="str">
        <f t="shared" si="8"/>
        <v>init/env_grid_CLUSTER13_REPL2.asc</v>
      </c>
      <c r="W6" s="16" t="str">
        <f t="shared" si="9"/>
        <v>trees_CLUSTER13.csv</v>
      </c>
      <c r="X6" s="16" t="str">
        <f t="shared" si="10"/>
        <v>saplings_CLUSTER13.csv</v>
      </c>
      <c r="Y6" s="16">
        <f t="shared" si="11"/>
        <v>350</v>
      </c>
      <c r="Z6" s="16" t="str">
        <f t="shared" si="12"/>
        <v>abe/no_mgmt.csv</v>
      </c>
      <c r="AA6" s="16" t="str">
        <f t="shared" si="13"/>
        <v>gis/WindModifier_cl13.asc</v>
      </c>
      <c r="AB6" s="16">
        <f t="shared" si="14"/>
        <v>6.8500009999999999E-4</v>
      </c>
      <c r="AC6" s="16" t="str">
        <f t="shared" si="15"/>
        <v>MPI-M-MPI-ESM-LR_historical_point33292</v>
      </c>
      <c r="AD6" s="16" t="str">
        <f t="shared" si="16"/>
        <v>wind_Events/Scaled_cl13_repl2.txt</v>
      </c>
      <c r="AE6" s="16" t="str">
        <f t="shared" si="17"/>
        <v>MPI-M-MPI-ESM-LR_Scaled_Cluster13_repl2</v>
      </c>
      <c r="AF6" s="16" t="s">
        <v>288</v>
      </c>
      <c r="AG6" s="16" t="s">
        <v>289</v>
      </c>
    </row>
    <row r="7" spans="1:33" ht="13.8">
      <c r="A7" s="7" t="str">
        <f t="shared" si="0"/>
        <v>NCC-NorESM1-M_Scaled_Cluster13_repl2</v>
      </c>
      <c r="B7" s="8" t="s">
        <v>16</v>
      </c>
      <c r="C7" s="8" t="s">
        <v>54</v>
      </c>
      <c r="D7" s="9" t="s">
        <v>17</v>
      </c>
      <c r="E7" s="9" t="str">
        <f t="shared" si="1"/>
        <v>historical</v>
      </c>
      <c r="F7" s="8">
        <v>350</v>
      </c>
      <c r="G7" s="8" t="s">
        <v>60</v>
      </c>
      <c r="H7" s="8">
        <v>3</v>
      </c>
      <c r="I7" s="18">
        <v>6.8499999999999995E-4</v>
      </c>
      <c r="J7" s="8">
        <v>13</v>
      </c>
      <c r="K7" s="8" t="s">
        <v>167</v>
      </c>
      <c r="L7" s="8">
        <v>2</v>
      </c>
      <c r="M7" s="8">
        <v>1</v>
      </c>
      <c r="N7" s="10" t="s">
        <v>21</v>
      </c>
      <c r="O7" s="17" t="s">
        <v>328</v>
      </c>
      <c r="P7" s="10" t="str">
        <f t="shared" si="2"/>
        <v>NCC-NorESM1-M_Scaled_Cluster13_repl2.sqlite</v>
      </c>
      <c r="Q7" s="11">
        <f t="shared" si="3"/>
        <v>6</v>
      </c>
      <c r="R7" s="16" t="str">
        <f t="shared" si="4"/>
        <v>climate_db_NCC-NorESM1-M_historical_v4.sqlite</v>
      </c>
      <c r="S7" s="16" t="str">
        <f t="shared" si="5"/>
        <v>log/NCC-NorESM1-M_Scaled_Cluster13_repl2.txt</v>
      </c>
      <c r="T7" s="16" t="str">
        <f t="shared" si="6"/>
        <v>init/env_file_CLUSTER13_REPL2_NCC-NorESM1-M_historical.csv</v>
      </c>
      <c r="U7" s="16" t="str">
        <f t="shared" si="7"/>
        <v>init/env_grid_CLUSTER13_REPL2.asc</v>
      </c>
      <c r="V7" s="16" t="str">
        <f t="shared" si="8"/>
        <v>init/env_grid_CLUSTER13_REPL2.asc</v>
      </c>
      <c r="W7" s="16" t="str">
        <f t="shared" si="9"/>
        <v>trees_CLUSTER13.csv</v>
      </c>
      <c r="X7" s="16" t="str">
        <f t="shared" si="10"/>
        <v>saplings_CLUSTER13.csv</v>
      </c>
      <c r="Y7" s="16">
        <f t="shared" si="11"/>
        <v>350</v>
      </c>
      <c r="Z7" s="16" t="str">
        <f t="shared" si="12"/>
        <v>abe/no_mgmt.csv</v>
      </c>
      <c r="AA7" s="16" t="str">
        <f t="shared" si="13"/>
        <v>gis/WindModifier_cl13.asc</v>
      </c>
      <c r="AB7" s="16">
        <f t="shared" si="14"/>
        <v>6.8500009999999999E-4</v>
      </c>
      <c r="AC7" s="16" t="str">
        <f t="shared" si="15"/>
        <v>NCC-NorESM1-M_historical_point33292</v>
      </c>
      <c r="AD7" s="16" t="str">
        <f t="shared" si="16"/>
        <v>wind_Events/Scaled_cl13_repl2.txt</v>
      </c>
      <c r="AE7" s="16" t="str">
        <f t="shared" si="17"/>
        <v>NCC-NorESM1-M_Scaled_Cluster13_repl2</v>
      </c>
      <c r="AF7" s="16" t="s">
        <v>290</v>
      </c>
      <c r="AG7" s="16" t="s">
        <v>291</v>
      </c>
    </row>
    <row r="8" spans="1:33" ht="13.8">
      <c r="A8" s="7" t="str">
        <f t="shared" si="0"/>
        <v>ICHEC-EC-EARTH_Scaled_Cluster13_repl3</v>
      </c>
      <c r="B8" s="8" t="s">
        <v>16</v>
      </c>
      <c r="C8" s="8" t="s">
        <v>54</v>
      </c>
      <c r="D8" s="9" t="s">
        <v>17</v>
      </c>
      <c r="E8" s="9" t="str">
        <f t="shared" si="1"/>
        <v>historical</v>
      </c>
      <c r="F8" s="8">
        <v>350</v>
      </c>
      <c r="G8" s="8" t="s">
        <v>18</v>
      </c>
      <c r="H8" s="8">
        <v>1</v>
      </c>
      <c r="I8" s="18">
        <v>6.8499999999999995E-4</v>
      </c>
      <c r="J8" s="8">
        <v>13</v>
      </c>
      <c r="K8" s="8" t="s">
        <v>167</v>
      </c>
      <c r="L8" s="8">
        <v>3</v>
      </c>
      <c r="M8" s="8">
        <v>1</v>
      </c>
      <c r="N8" s="10" t="s">
        <v>21</v>
      </c>
      <c r="O8" s="17" t="s">
        <v>328</v>
      </c>
      <c r="P8" s="10" t="str">
        <f t="shared" si="2"/>
        <v>ICHEC-EC-EARTH_Scaled_Cluster13_repl3.sqlite</v>
      </c>
      <c r="Q8" s="11">
        <f t="shared" si="3"/>
        <v>7</v>
      </c>
      <c r="R8" s="16" t="str">
        <f t="shared" si="4"/>
        <v>climate_db_ICHEC-EC-EARTH_historical_v4.sqlite</v>
      </c>
      <c r="S8" s="16" t="str">
        <f t="shared" si="5"/>
        <v>log/ICHEC-EC-EARTH_Scaled_Cluster13_repl3.txt</v>
      </c>
      <c r="T8" s="16" t="str">
        <f t="shared" si="6"/>
        <v>init/env_file_CLUSTER13_REPL3_ICHEC-EC-EARTH_historical.csv</v>
      </c>
      <c r="U8" s="16" t="str">
        <f t="shared" si="7"/>
        <v>init/env_grid_CLUSTER13_REPL3.asc</v>
      </c>
      <c r="V8" s="16" t="str">
        <f t="shared" si="8"/>
        <v>init/env_grid_CLUSTER13_REPL3.asc</v>
      </c>
      <c r="W8" s="16" t="str">
        <f t="shared" si="9"/>
        <v>trees_CLUSTER13.csv</v>
      </c>
      <c r="X8" s="16" t="str">
        <f t="shared" si="10"/>
        <v>saplings_CLUSTER13.csv</v>
      </c>
      <c r="Y8" s="16">
        <f t="shared" si="11"/>
        <v>350</v>
      </c>
      <c r="Z8" s="16" t="str">
        <f t="shared" si="12"/>
        <v>abe/no_mgmt.csv</v>
      </c>
      <c r="AA8" s="16" t="str">
        <f t="shared" si="13"/>
        <v>gis/WindModifier_cl13.asc</v>
      </c>
      <c r="AB8" s="16">
        <f t="shared" si="14"/>
        <v>6.8500009999999999E-4</v>
      </c>
      <c r="AC8" s="16" t="str">
        <f t="shared" si="15"/>
        <v>ICHEC-EC-EARTH_historical_point33292</v>
      </c>
      <c r="AD8" s="16" t="str">
        <f t="shared" si="16"/>
        <v>wind_Events/Scaled_cl13_repl3.txt</v>
      </c>
      <c r="AE8" s="16" t="str">
        <f t="shared" si="17"/>
        <v>ICHEC-EC-EARTH_Scaled_Cluster13_repl3</v>
      </c>
      <c r="AF8" s="16" t="s">
        <v>292</v>
      </c>
      <c r="AG8" s="16" t="s">
        <v>293</v>
      </c>
    </row>
    <row r="9" spans="1:33" ht="13.8">
      <c r="A9" s="7" t="str">
        <f t="shared" si="0"/>
        <v>MPI-M-MPI-ESM-LR_Scaled_Cluster13_repl3</v>
      </c>
      <c r="B9" s="8" t="s">
        <v>16</v>
      </c>
      <c r="C9" s="8" t="s">
        <v>54</v>
      </c>
      <c r="D9" s="9" t="s">
        <v>17</v>
      </c>
      <c r="E9" s="9" t="str">
        <f t="shared" si="1"/>
        <v>historical</v>
      </c>
      <c r="F9" s="8">
        <v>350</v>
      </c>
      <c r="G9" s="8" t="s">
        <v>63</v>
      </c>
      <c r="H9" s="8">
        <v>2</v>
      </c>
      <c r="I9" s="18">
        <v>6.8499999999999995E-4</v>
      </c>
      <c r="J9" s="8">
        <v>13</v>
      </c>
      <c r="K9" s="8" t="s">
        <v>167</v>
      </c>
      <c r="L9" s="8">
        <v>3</v>
      </c>
      <c r="M9" s="8">
        <v>1</v>
      </c>
      <c r="N9" s="10" t="s">
        <v>21</v>
      </c>
      <c r="O9" s="17" t="s">
        <v>328</v>
      </c>
      <c r="P9" s="10" t="str">
        <f t="shared" si="2"/>
        <v>MPI-M-MPI-ESM-LR_Scaled_Cluster13_repl3.sqlite</v>
      </c>
      <c r="Q9" s="11">
        <f t="shared" si="3"/>
        <v>8</v>
      </c>
      <c r="R9" s="16" t="str">
        <f t="shared" si="4"/>
        <v>climate_db_MPI-M-MPI-ESM-LR_historical_v4.sqlite</v>
      </c>
      <c r="S9" s="16" t="str">
        <f t="shared" si="5"/>
        <v>log/MPI-M-MPI-ESM-LR_Scaled_Cluster13_repl3.txt</v>
      </c>
      <c r="T9" s="16" t="str">
        <f t="shared" si="6"/>
        <v>init/env_file_CLUSTER13_REPL3_MPI-M-MPI-ESM-LR_historical.csv</v>
      </c>
      <c r="U9" s="16" t="str">
        <f t="shared" si="7"/>
        <v>init/env_grid_CLUSTER13_REPL3.asc</v>
      </c>
      <c r="V9" s="16" t="str">
        <f t="shared" si="8"/>
        <v>init/env_grid_CLUSTER13_REPL3.asc</v>
      </c>
      <c r="W9" s="16" t="str">
        <f t="shared" si="9"/>
        <v>trees_CLUSTER13.csv</v>
      </c>
      <c r="X9" s="16" t="str">
        <f t="shared" si="10"/>
        <v>saplings_CLUSTER13.csv</v>
      </c>
      <c r="Y9" s="16">
        <f t="shared" si="11"/>
        <v>350</v>
      </c>
      <c r="Z9" s="16" t="str">
        <f t="shared" si="12"/>
        <v>abe/no_mgmt.csv</v>
      </c>
      <c r="AA9" s="16" t="str">
        <f t="shared" si="13"/>
        <v>gis/WindModifier_cl13.asc</v>
      </c>
      <c r="AB9" s="16">
        <f t="shared" si="14"/>
        <v>6.8500009999999999E-4</v>
      </c>
      <c r="AC9" s="16" t="str">
        <f t="shared" si="15"/>
        <v>MPI-M-MPI-ESM-LR_historical_point33292</v>
      </c>
      <c r="AD9" s="16" t="str">
        <f t="shared" si="16"/>
        <v>wind_Events/Scaled_cl13_repl3.txt</v>
      </c>
      <c r="AE9" s="16" t="str">
        <f t="shared" si="17"/>
        <v>MPI-M-MPI-ESM-LR_Scaled_Cluster13_repl3</v>
      </c>
      <c r="AF9" s="16" t="s">
        <v>294</v>
      </c>
      <c r="AG9" s="16" t="s">
        <v>295</v>
      </c>
    </row>
    <row r="10" spans="1:33" ht="13.8">
      <c r="A10" s="7" t="str">
        <f t="shared" si="0"/>
        <v>NCC-NorESM1-M_Scaled_Cluster13_repl3</v>
      </c>
      <c r="B10" s="8" t="s">
        <v>16</v>
      </c>
      <c r="C10" s="8" t="s">
        <v>54</v>
      </c>
      <c r="D10" s="9" t="s">
        <v>17</v>
      </c>
      <c r="E10" s="9" t="str">
        <f t="shared" si="1"/>
        <v>historical</v>
      </c>
      <c r="F10" s="8">
        <v>350</v>
      </c>
      <c r="G10" s="8" t="s">
        <v>60</v>
      </c>
      <c r="H10" s="8">
        <v>3</v>
      </c>
      <c r="I10" s="18">
        <v>6.8499999999999995E-4</v>
      </c>
      <c r="J10" s="8">
        <v>13</v>
      </c>
      <c r="K10" s="8" t="s">
        <v>167</v>
      </c>
      <c r="L10" s="8">
        <v>3</v>
      </c>
      <c r="M10" s="8">
        <v>1</v>
      </c>
      <c r="N10" s="10" t="s">
        <v>21</v>
      </c>
      <c r="O10" s="17" t="s">
        <v>328</v>
      </c>
      <c r="P10" s="10" t="str">
        <f t="shared" si="2"/>
        <v>NCC-NorESM1-M_Scaled_Cluster13_repl3.sqlite</v>
      </c>
      <c r="Q10" s="11">
        <f t="shared" si="3"/>
        <v>9</v>
      </c>
      <c r="R10" s="16" t="str">
        <f t="shared" si="4"/>
        <v>climate_db_NCC-NorESM1-M_historical_v4.sqlite</v>
      </c>
      <c r="S10" s="16" t="str">
        <f t="shared" si="5"/>
        <v>log/NCC-NorESM1-M_Scaled_Cluster13_repl3.txt</v>
      </c>
      <c r="T10" s="16" t="str">
        <f t="shared" si="6"/>
        <v>init/env_file_CLUSTER13_REPL3_NCC-NorESM1-M_historical.csv</v>
      </c>
      <c r="U10" s="16" t="str">
        <f t="shared" si="7"/>
        <v>init/env_grid_CLUSTER13_REPL3.asc</v>
      </c>
      <c r="V10" s="16" t="str">
        <f t="shared" si="8"/>
        <v>init/env_grid_CLUSTER13_REPL3.asc</v>
      </c>
      <c r="W10" s="16" t="str">
        <f t="shared" si="9"/>
        <v>trees_CLUSTER13.csv</v>
      </c>
      <c r="X10" s="16" t="str">
        <f t="shared" si="10"/>
        <v>saplings_CLUSTER13.csv</v>
      </c>
      <c r="Y10" s="16">
        <f t="shared" si="11"/>
        <v>350</v>
      </c>
      <c r="Z10" s="16" t="str">
        <f t="shared" si="12"/>
        <v>abe/no_mgmt.csv</v>
      </c>
      <c r="AA10" s="16" t="str">
        <f t="shared" si="13"/>
        <v>gis/WindModifier_cl13.asc</v>
      </c>
      <c r="AB10" s="16">
        <f>IF(C10="Scaled_", I10+0.0000000001,  0.000685)</f>
        <v>6.8500009999999999E-4</v>
      </c>
      <c r="AC10" s="16" t="str">
        <f t="shared" si="15"/>
        <v>NCC-NorESM1-M_historical_point33292</v>
      </c>
      <c r="AD10" s="16" t="str">
        <f t="shared" si="16"/>
        <v>wind_Events/Scaled_cl13_repl3.txt</v>
      </c>
      <c r="AE10" s="16" t="str">
        <f t="shared" si="17"/>
        <v>NCC-NorESM1-M_Scaled_Cluster13_repl3</v>
      </c>
      <c r="AF10" s="16" t="s">
        <v>296</v>
      </c>
      <c r="AG10" s="16" t="s">
        <v>297</v>
      </c>
    </row>
    <row r="11" spans="1:33" ht="13.8">
      <c r="A11" s="7" t="str">
        <f t="shared" si="0"/>
        <v>ICHEC-EC-EARTH_Scaled_Cluster13_repl4</v>
      </c>
      <c r="B11" s="8" t="s">
        <v>16</v>
      </c>
      <c r="C11" s="8" t="s">
        <v>54</v>
      </c>
      <c r="D11" s="9" t="s">
        <v>17</v>
      </c>
      <c r="E11" s="9" t="str">
        <f t="shared" si="1"/>
        <v>historical</v>
      </c>
      <c r="F11" s="8">
        <v>350</v>
      </c>
      <c r="G11" s="8" t="s">
        <v>18</v>
      </c>
      <c r="H11" s="8">
        <v>1</v>
      </c>
      <c r="I11" s="18">
        <v>6.8499999999999995E-4</v>
      </c>
      <c r="J11" s="8">
        <v>13</v>
      </c>
      <c r="K11" s="8" t="s">
        <v>167</v>
      </c>
      <c r="L11" s="8">
        <v>4</v>
      </c>
      <c r="M11" s="8">
        <v>1</v>
      </c>
      <c r="N11" s="10" t="s">
        <v>21</v>
      </c>
      <c r="O11" s="17" t="s">
        <v>328</v>
      </c>
      <c r="P11" s="10" t="str">
        <f t="shared" si="2"/>
        <v>ICHEC-EC-EARTH_Scaled_Cluster13_repl4.sqlite</v>
      </c>
      <c r="Q11" s="11">
        <f t="shared" si="3"/>
        <v>10</v>
      </c>
      <c r="R11" s="16" t="str">
        <f t="shared" si="4"/>
        <v>climate_db_ICHEC-EC-EARTH_historical_v4.sqlite</v>
      </c>
      <c r="S11" s="16" t="str">
        <f t="shared" si="5"/>
        <v>log/ICHEC-EC-EARTH_Scaled_Cluster13_repl4.txt</v>
      </c>
      <c r="T11" s="16" t="str">
        <f t="shared" si="6"/>
        <v>init/env_file_CLUSTER13_REPL4_ICHEC-EC-EARTH_historical.csv</v>
      </c>
      <c r="U11" s="16" t="str">
        <f t="shared" si="7"/>
        <v>init/env_grid_CLUSTER13_REPL4.asc</v>
      </c>
      <c r="V11" s="16" t="str">
        <f t="shared" si="8"/>
        <v>init/env_grid_CLUSTER13_REPL4.asc</v>
      </c>
      <c r="W11" s="16" t="str">
        <f t="shared" si="9"/>
        <v>trees_CLUSTER13.csv</v>
      </c>
      <c r="X11" s="16" t="str">
        <f t="shared" si="10"/>
        <v>saplings_CLUSTER13.csv</v>
      </c>
      <c r="Y11" s="16">
        <f t="shared" si="11"/>
        <v>350</v>
      </c>
      <c r="Z11" s="16" t="str">
        <f t="shared" si="12"/>
        <v>abe/no_mgmt.csv</v>
      </c>
      <c r="AA11" s="16" t="str">
        <f t="shared" si="13"/>
        <v>gis/WindModifier_cl13.asc</v>
      </c>
      <c r="AB11" s="16">
        <f t="shared" ref="AB11:AB16" si="18">IF(C11="Scaled_", I11+0.0000000001,  0.000685)</f>
        <v>6.8500009999999999E-4</v>
      </c>
      <c r="AC11" s="16" t="str">
        <f t="shared" si="15"/>
        <v>ICHEC-EC-EARTH_historical_point33292</v>
      </c>
      <c r="AD11" s="16" t="str">
        <f t="shared" si="16"/>
        <v>wind_Events/Scaled_cl13_repl4.txt</v>
      </c>
      <c r="AE11" s="16" t="str">
        <f t="shared" si="17"/>
        <v>ICHEC-EC-EARTH_Scaled_Cluster13_repl4</v>
      </c>
      <c r="AF11" s="16" t="s">
        <v>298</v>
      </c>
      <c r="AG11" s="16" t="s">
        <v>299</v>
      </c>
    </row>
    <row r="12" spans="1:33" ht="13.8">
      <c r="A12" s="7" t="str">
        <f t="shared" si="0"/>
        <v>MPI-M-MPI-ESM-LR_Scaled_Cluster13_repl4</v>
      </c>
      <c r="B12" s="8" t="s">
        <v>16</v>
      </c>
      <c r="C12" s="8" t="s">
        <v>54</v>
      </c>
      <c r="D12" s="9" t="s">
        <v>17</v>
      </c>
      <c r="E12" s="9" t="str">
        <f t="shared" si="1"/>
        <v>historical</v>
      </c>
      <c r="F12" s="8">
        <v>350</v>
      </c>
      <c r="G12" s="8" t="s">
        <v>63</v>
      </c>
      <c r="H12" s="8">
        <v>2</v>
      </c>
      <c r="I12" s="18">
        <v>6.8499999999999995E-4</v>
      </c>
      <c r="J12" s="8">
        <v>13</v>
      </c>
      <c r="K12" s="8" t="s">
        <v>167</v>
      </c>
      <c r="L12" s="8">
        <v>4</v>
      </c>
      <c r="M12" s="8">
        <v>1</v>
      </c>
      <c r="N12" s="10" t="s">
        <v>21</v>
      </c>
      <c r="O12" s="17" t="s">
        <v>328</v>
      </c>
      <c r="P12" s="10" t="str">
        <f t="shared" si="2"/>
        <v>MPI-M-MPI-ESM-LR_Scaled_Cluster13_repl4.sqlite</v>
      </c>
      <c r="Q12" s="11">
        <f t="shared" si="3"/>
        <v>11</v>
      </c>
      <c r="R12" s="16" t="str">
        <f t="shared" si="4"/>
        <v>climate_db_MPI-M-MPI-ESM-LR_historical_v4.sqlite</v>
      </c>
      <c r="S12" s="16" t="str">
        <f t="shared" si="5"/>
        <v>log/MPI-M-MPI-ESM-LR_Scaled_Cluster13_repl4.txt</v>
      </c>
      <c r="T12" s="16" t="str">
        <f t="shared" si="6"/>
        <v>init/env_file_CLUSTER13_REPL4_MPI-M-MPI-ESM-LR_historical.csv</v>
      </c>
      <c r="U12" s="16" t="str">
        <f t="shared" si="7"/>
        <v>init/env_grid_CLUSTER13_REPL4.asc</v>
      </c>
      <c r="V12" s="16" t="str">
        <f t="shared" si="8"/>
        <v>init/env_grid_CLUSTER13_REPL4.asc</v>
      </c>
      <c r="W12" s="16" t="str">
        <f t="shared" si="9"/>
        <v>trees_CLUSTER13.csv</v>
      </c>
      <c r="X12" s="16" t="str">
        <f t="shared" si="10"/>
        <v>saplings_CLUSTER13.csv</v>
      </c>
      <c r="Y12" s="16">
        <f t="shared" si="11"/>
        <v>350</v>
      </c>
      <c r="Z12" s="16" t="str">
        <f t="shared" si="12"/>
        <v>abe/no_mgmt.csv</v>
      </c>
      <c r="AA12" s="16" t="str">
        <f t="shared" si="13"/>
        <v>gis/WindModifier_cl13.asc</v>
      </c>
      <c r="AB12" s="16">
        <f t="shared" si="18"/>
        <v>6.8500009999999999E-4</v>
      </c>
      <c r="AC12" s="16" t="str">
        <f t="shared" si="15"/>
        <v>MPI-M-MPI-ESM-LR_historical_point33292</v>
      </c>
      <c r="AD12" s="16" t="str">
        <f t="shared" si="16"/>
        <v>wind_Events/Scaled_cl13_repl4.txt</v>
      </c>
      <c r="AE12" s="16" t="str">
        <f t="shared" si="17"/>
        <v>MPI-M-MPI-ESM-LR_Scaled_Cluster13_repl4</v>
      </c>
      <c r="AF12" s="16" t="s">
        <v>300</v>
      </c>
      <c r="AG12" s="16" t="s">
        <v>301</v>
      </c>
    </row>
    <row r="13" spans="1:33" ht="13.8">
      <c r="A13" s="7" t="str">
        <f t="shared" si="0"/>
        <v>NCC-NorESM1-M_Scaled_Cluster13_repl4</v>
      </c>
      <c r="B13" s="8" t="s">
        <v>16</v>
      </c>
      <c r="C13" s="8" t="s">
        <v>54</v>
      </c>
      <c r="D13" s="9" t="s">
        <v>17</v>
      </c>
      <c r="E13" s="9" t="str">
        <f t="shared" si="1"/>
        <v>historical</v>
      </c>
      <c r="F13" s="8">
        <v>350</v>
      </c>
      <c r="G13" s="8" t="s">
        <v>60</v>
      </c>
      <c r="H13" s="8">
        <v>3</v>
      </c>
      <c r="I13" s="18">
        <v>6.8499999999999995E-4</v>
      </c>
      <c r="J13" s="8">
        <v>13</v>
      </c>
      <c r="K13" s="8" t="s">
        <v>167</v>
      </c>
      <c r="L13" s="8">
        <v>4</v>
      </c>
      <c r="M13" s="8">
        <v>1</v>
      </c>
      <c r="N13" s="10" t="s">
        <v>21</v>
      </c>
      <c r="O13" s="17" t="s">
        <v>328</v>
      </c>
      <c r="P13" s="10" t="str">
        <f t="shared" si="2"/>
        <v>NCC-NorESM1-M_Scaled_Cluster13_repl4.sqlite</v>
      </c>
      <c r="Q13" s="11">
        <f t="shared" si="3"/>
        <v>12</v>
      </c>
      <c r="R13" s="16" t="str">
        <f t="shared" si="4"/>
        <v>climate_db_NCC-NorESM1-M_historical_v4.sqlite</v>
      </c>
      <c r="S13" s="16" t="str">
        <f t="shared" si="5"/>
        <v>log/NCC-NorESM1-M_Scaled_Cluster13_repl4.txt</v>
      </c>
      <c r="T13" s="16" t="str">
        <f t="shared" si="6"/>
        <v>init/env_file_CLUSTER13_REPL4_NCC-NorESM1-M_historical.csv</v>
      </c>
      <c r="U13" s="16" t="str">
        <f t="shared" si="7"/>
        <v>init/env_grid_CLUSTER13_REPL4.asc</v>
      </c>
      <c r="V13" s="16" t="str">
        <f t="shared" si="8"/>
        <v>init/env_grid_CLUSTER13_REPL4.asc</v>
      </c>
      <c r="W13" s="16" t="str">
        <f t="shared" si="9"/>
        <v>trees_CLUSTER13.csv</v>
      </c>
      <c r="X13" s="16" t="str">
        <f t="shared" si="10"/>
        <v>saplings_CLUSTER13.csv</v>
      </c>
      <c r="Y13" s="16">
        <f t="shared" si="11"/>
        <v>350</v>
      </c>
      <c r="Z13" s="16" t="str">
        <f t="shared" si="12"/>
        <v>abe/no_mgmt.csv</v>
      </c>
      <c r="AA13" s="16" t="str">
        <f t="shared" si="13"/>
        <v>gis/WindModifier_cl13.asc</v>
      </c>
      <c r="AB13" s="16">
        <f t="shared" si="18"/>
        <v>6.8500009999999999E-4</v>
      </c>
      <c r="AC13" s="16" t="str">
        <f t="shared" si="15"/>
        <v>NCC-NorESM1-M_historical_point33292</v>
      </c>
      <c r="AD13" s="16" t="str">
        <f t="shared" si="16"/>
        <v>wind_Events/Scaled_cl13_repl4.txt</v>
      </c>
      <c r="AE13" s="16" t="str">
        <f t="shared" si="17"/>
        <v>NCC-NorESM1-M_Scaled_Cluster13_repl4</v>
      </c>
      <c r="AF13" s="16" t="s">
        <v>302</v>
      </c>
      <c r="AG13" s="16" t="s">
        <v>303</v>
      </c>
    </row>
    <row r="14" spans="1:33" ht="13.8">
      <c r="A14" s="7" t="str">
        <f t="shared" si="0"/>
        <v>ICHEC-EC-EARTH_Scaled_Cluster13_repl5</v>
      </c>
      <c r="B14" s="8" t="s">
        <v>16</v>
      </c>
      <c r="C14" s="8" t="s">
        <v>54</v>
      </c>
      <c r="D14" s="9" t="s">
        <v>17</v>
      </c>
      <c r="E14" s="9" t="str">
        <f t="shared" si="1"/>
        <v>historical</v>
      </c>
      <c r="F14" s="8">
        <v>350</v>
      </c>
      <c r="G14" s="8" t="s">
        <v>18</v>
      </c>
      <c r="H14" s="8">
        <v>1</v>
      </c>
      <c r="I14" s="18">
        <v>6.8499999999999995E-4</v>
      </c>
      <c r="J14" s="8">
        <v>13</v>
      </c>
      <c r="K14" s="8" t="s">
        <v>167</v>
      </c>
      <c r="L14" s="8">
        <v>5</v>
      </c>
      <c r="M14" s="8">
        <v>1</v>
      </c>
      <c r="N14" s="10" t="s">
        <v>21</v>
      </c>
      <c r="O14" s="17" t="s">
        <v>328</v>
      </c>
      <c r="P14" s="10" t="str">
        <f t="shared" si="2"/>
        <v>ICHEC-EC-EARTH_Scaled_Cluster13_repl5.sqlite</v>
      </c>
      <c r="Q14" s="11">
        <f t="shared" si="3"/>
        <v>13</v>
      </c>
      <c r="R14" s="16" t="str">
        <f t="shared" si="4"/>
        <v>climate_db_ICHEC-EC-EARTH_historical_v4.sqlite</v>
      </c>
      <c r="S14" s="16" t="str">
        <f t="shared" si="5"/>
        <v>log/ICHEC-EC-EARTH_Scaled_Cluster13_repl5.txt</v>
      </c>
      <c r="T14" s="16" t="str">
        <f t="shared" si="6"/>
        <v>init/env_file_CLUSTER13_REPL5_ICHEC-EC-EARTH_historical.csv</v>
      </c>
      <c r="U14" s="16" t="str">
        <f t="shared" si="7"/>
        <v>init/env_grid_CLUSTER13_REPL5.asc</v>
      </c>
      <c r="V14" s="16" t="str">
        <f t="shared" si="8"/>
        <v>init/env_grid_CLUSTER13_REPL5.asc</v>
      </c>
      <c r="W14" s="16" t="str">
        <f t="shared" si="9"/>
        <v>trees_CLUSTER13.csv</v>
      </c>
      <c r="X14" s="16" t="str">
        <f t="shared" si="10"/>
        <v>saplings_CLUSTER13.csv</v>
      </c>
      <c r="Y14" s="16">
        <f t="shared" si="11"/>
        <v>350</v>
      </c>
      <c r="Z14" s="16" t="str">
        <f t="shared" si="12"/>
        <v>abe/no_mgmt.csv</v>
      </c>
      <c r="AA14" s="16" t="str">
        <f t="shared" si="13"/>
        <v>gis/WindModifier_cl13.asc</v>
      </c>
      <c r="AB14" s="16">
        <f t="shared" si="18"/>
        <v>6.8500009999999999E-4</v>
      </c>
      <c r="AC14" s="16" t="str">
        <f t="shared" si="15"/>
        <v>ICHEC-EC-EARTH_historical_point33292</v>
      </c>
      <c r="AD14" s="16" t="str">
        <f t="shared" si="16"/>
        <v>wind_Events/Scaled_cl13_repl5.txt</v>
      </c>
      <c r="AE14" s="16" t="str">
        <f t="shared" si="17"/>
        <v>ICHEC-EC-EARTH_Scaled_Cluster13_repl5</v>
      </c>
      <c r="AF14" s="16" t="s">
        <v>304</v>
      </c>
      <c r="AG14" s="16" t="s">
        <v>305</v>
      </c>
    </row>
    <row r="15" spans="1:33" ht="13.8">
      <c r="A15" s="7" t="str">
        <f t="shared" si="0"/>
        <v>MPI-M-MPI-ESM-LR_Scaled_Cluster13_repl5</v>
      </c>
      <c r="B15" s="8" t="s">
        <v>16</v>
      </c>
      <c r="C15" s="8" t="s">
        <v>54</v>
      </c>
      <c r="D15" s="9" t="s">
        <v>17</v>
      </c>
      <c r="E15" s="9" t="str">
        <f t="shared" si="1"/>
        <v>historical</v>
      </c>
      <c r="F15" s="8">
        <v>350</v>
      </c>
      <c r="G15" s="8" t="s">
        <v>63</v>
      </c>
      <c r="H15" s="8">
        <v>2</v>
      </c>
      <c r="I15" s="18">
        <v>6.8499999999999995E-4</v>
      </c>
      <c r="J15" s="8">
        <v>13</v>
      </c>
      <c r="K15" s="8" t="s">
        <v>167</v>
      </c>
      <c r="L15" s="8">
        <v>5</v>
      </c>
      <c r="M15" s="8">
        <v>1</v>
      </c>
      <c r="N15" s="10" t="s">
        <v>21</v>
      </c>
      <c r="O15" s="17" t="s">
        <v>328</v>
      </c>
      <c r="P15" s="10" t="str">
        <f t="shared" si="2"/>
        <v>MPI-M-MPI-ESM-LR_Scaled_Cluster13_repl5.sqlite</v>
      </c>
      <c r="Q15" s="11">
        <f t="shared" si="3"/>
        <v>14</v>
      </c>
      <c r="R15" s="16" t="str">
        <f t="shared" si="4"/>
        <v>climate_db_MPI-M-MPI-ESM-LR_historical_v4.sqlite</v>
      </c>
      <c r="S15" s="16" t="str">
        <f t="shared" si="5"/>
        <v>log/MPI-M-MPI-ESM-LR_Scaled_Cluster13_repl5.txt</v>
      </c>
      <c r="T15" s="16" t="str">
        <f t="shared" si="6"/>
        <v>init/env_file_CLUSTER13_REPL5_MPI-M-MPI-ESM-LR_historical.csv</v>
      </c>
      <c r="U15" s="16" t="str">
        <f t="shared" si="7"/>
        <v>init/env_grid_CLUSTER13_REPL5.asc</v>
      </c>
      <c r="V15" s="16" t="str">
        <f t="shared" si="8"/>
        <v>init/env_grid_CLUSTER13_REPL5.asc</v>
      </c>
      <c r="W15" s="16" t="str">
        <f t="shared" si="9"/>
        <v>trees_CLUSTER13.csv</v>
      </c>
      <c r="X15" s="16" t="str">
        <f t="shared" si="10"/>
        <v>saplings_CLUSTER13.csv</v>
      </c>
      <c r="Y15" s="16">
        <f t="shared" si="11"/>
        <v>350</v>
      </c>
      <c r="Z15" s="16" t="str">
        <f t="shared" si="12"/>
        <v>abe/no_mgmt.csv</v>
      </c>
      <c r="AA15" s="16" t="str">
        <f t="shared" si="13"/>
        <v>gis/WindModifier_cl13.asc</v>
      </c>
      <c r="AB15" s="16">
        <f t="shared" si="18"/>
        <v>6.8500009999999999E-4</v>
      </c>
      <c r="AC15" s="16" t="str">
        <f t="shared" si="15"/>
        <v>MPI-M-MPI-ESM-LR_historical_point33292</v>
      </c>
      <c r="AD15" s="16" t="str">
        <f t="shared" si="16"/>
        <v>wind_Events/Scaled_cl13_repl5.txt</v>
      </c>
      <c r="AE15" s="16" t="str">
        <f t="shared" si="17"/>
        <v>MPI-M-MPI-ESM-LR_Scaled_Cluster13_repl5</v>
      </c>
      <c r="AF15" s="16" t="s">
        <v>306</v>
      </c>
      <c r="AG15" s="16" t="s">
        <v>307</v>
      </c>
    </row>
    <row r="16" spans="1:33" ht="13.8">
      <c r="A16" s="7" t="str">
        <f t="shared" si="0"/>
        <v>NCC-NorESM1-M_Scaled_Cluster13_repl5</v>
      </c>
      <c r="B16" s="8" t="s">
        <v>16</v>
      </c>
      <c r="C16" s="8" t="s">
        <v>54</v>
      </c>
      <c r="D16" s="9" t="s">
        <v>17</v>
      </c>
      <c r="E16" s="9" t="str">
        <f t="shared" si="1"/>
        <v>historical</v>
      </c>
      <c r="F16" s="8">
        <v>350</v>
      </c>
      <c r="G16" s="8" t="s">
        <v>60</v>
      </c>
      <c r="H16" s="8">
        <v>3</v>
      </c>
      <c r="I16" s="18">
        <v>6.8499999999999995E-4</v>
      </c>
      <c r="J16" s="8">
        <v>13</v>
      </c>
      <c r="K16" s="8" t="s">
        <v>167</v>
      </c>
      <c r="L16" s="8">
        <v>5</v>
      </c>
      <c r="M16" s="8">
        <v>1</v>
      </c>
      <c r="N16" s="10" t="s">
        <v>21</v>
      </c>
      <c r="O16" s="17" t="s">
        <v>328</v>
      </c>
      <c r="P16" s="10" t="str">
        <f t="shared" si="2"/>
        <v>NCC-NorESM1-M_Scaled_Cluster13_repl5.sqlite</v>
      </c>
      <c r="Q16" s="11">
        <f t="shared" si="3"/>
        <v>15</v>
      </c>
      <c r="R16" s="16" t="str">
        <f t="shared" si="4"/>
        <v>climate_db_NCC-NorESM1-M_historical_v4.sqlite</v>
      </c>
      <c r="S16" s="16" t="str">
        <f t="shared" si="5"/>
        <v>log/NCC-NorESM1-M_Scaled_Cluster13_repl5.txt</v>
      </c>
      <c r="T16" s="16" t="str">
        <f t="shared" si="6"/>
        <v>init/env_file_CLUSTER13_REPL5_NCC-NorESM1-M_historical.csv</v>
      </c>
      <c r="U16" s="16" t="str">
        <f t="shared" si="7"/>
        <v>init/env_grid_CLUSTER13_REPL5.asc</v>
      </c>
      <c r="V16" s="16" t="str">
        <f t="shared" si="8"/>
        <v>init/env_grid_CLUSTER13_REPL5.asc</v>
      </c>
      <c r="W16" s="16" t="str">
        <f t="shared" si="9"/>
        <v>trees_CLUSTER13.csv</v>
      </c>
      <c r="X16" s="16" t="str">
        <f t="shared" si="10"/>
        <v>saplings_CLUSTER13.csv</v>
      </c>
      <c r="Y16" s="16">
        <f t="shared" si="11"/>
        <v>350</v>
      </c>
      <c r="Z16" s="16" t="str">
        <f t="shared" si="12"/>
        <v>abe/no_mgmt.csv</v>
      </c>
      <c r="AA16" s="16" t="str">
        <f t="shared" si="13"/>
        <v>gis/WindModifier_cl13.asc</v>
      </c>
      <c r="AB16" s="16">
        <f t="shared" si="18"/>
        <v>6.8500009999999999E-4</v>
      </c>
      <c r="AC16" s="16" t="str">
        <f t="shared" si="15"/>
        <v>NCC-NorESM1-M_historical_point33292</v>
      </c>
      <c r="AD16" s="16" t="str">
        <f t="shared" si="16"/>
        <v>wind_Events/Scaled_cl13_repl5.txt</v>
      </c>
      <c r="AE16" s="16" t="str">
        <f t="shared" si="17"/>
        <v>NCC-NorESM1-M_Scaled_Cluster13_repl5</v>
      </c>
      <c r="AF16" s="16" t="s">
        <v>308</v>
      </c>
      <c r="AG16" s="16" t="s">
        <v>309</v>
      </c>
    </row>
  </sheetData>
  <autoFilter ref="A1:AA16" xr:uid="{00000000-0009-0000-0000-000000000000}">
    <sortState ref="A2:AA16">
      <sortCondition ref="C1:C16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DDD8-EC8A-465C-9697-7F8392397513}">
  <sheetPr>
    <outlinePr summaryBelow="0" summaryRight="0"/>
  </sheetPr>
  <dimension ref="A1:AI361"/>
  <sheetViews>
    <sheetView topLeftCell="A150" zoomScale="90" zoomScaleNormal="90" workbookViewId="0">
      <selection activeCell="I2" sqref="I2:I181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5" width="17.44140625" style="13" customWidth="1"/>
    <col min="6" max="6" width="19.88671875" style="13" customWidth="1"/>
    <col min="7" max="12" width="22.109375" style="13" customWidth="1"/>
    <col min="13" max="14" width="13.88671875" style="13" customWidth="1"/>
    <col min="15" max="15" width="13.44140625" style="13" customWidth="1"/>
    <col min="16" max="16" width="12.44140625" style="13" customWidth="1"/>
    <col min="17" max="17" width="48.33203125" style="13" customWidth="1"/>
    <col min="18" max="18" width="10" style="13" customWidth="1"/>
    <col min="19" max="19" width="12.109375" style="13" customWidth="1"/>
    <col min="20" max="20" width="45.5546875" style="13" customWidth="1"/>
    <col min="21" max="21" width="48.6640625" style="13" customWidth="1"/>
    <col min="22" max="22" width="54" style="13" customWidth="1"/>
    <col min="23" max="23" width="31.21875" style="13" customWidth="1"/>
    <col min="24" max="24" width="34.21875" style="13" customWidth="1"/>
    <col min="25" max="25" width="24.109375" style="13" customWidth="1"/>
    <col min="26" max="26" width="31.33203125" style="13" customWidth="1"/>
    <col min="27" max="27" width="28.109375" style="13" customWidth="1"/>
    <col min="28" max="28" width="33" style="13" customWidth="1"/>
    <col min="29" max="29" width="29.109375" style="13" customWidth="1"/>
    <col min="30" max="30" width="31" style="13" customWidth="1"/>
    <col min="31" max="31" width="39.6640625" style="13" customWidth="1"/>
    <col min="32" max="32" width="28.33203125" style="13" bestFit="1" customWidth="1"/>
    <col min="33" max="33" width="42.33203125" style="13" bestFit="1" customWidth="1"/>
    <col min="34" max="34" width="39.88671875" style="13" bestFit="1" customWidth="1"/>
    <col min="35" max="35" width="48.33203125" style="13" bestFit="1" customWidth="1"/>
    <col min="36" max="16384" width="13.88671875" style="13"/>
  </cols>
  <sheetData>
    <row r="1" spans="1:35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61</v>
      </c>
      <c r="I1" s="2" t="s">
        <v>56</v>
      </c>
      <c r="J1" s="2" t="s">
        <v>38</v>
      </c>
      <c r="K1" s="2" t="s">
        <v>62</v>
      </c>
      <c r="L1" s="2" t="s">
        <v>39</v>
      </c>
      <c r="M1" s="2" t="s">
        <v>5</v>
      </c>
      <c r="N1" s="2" t="s">
        <v>6</v>
      </c>
      <c r="O1" s="1" t="s">
        <v>7</v>
      </c>
      <c r="P1" s="1" t="s">
        <v>8</v>
      </c>
      <c r="Q1" s="1" t="s">
        <v>9</v>
      </c>
      <c r="R1" s="3" t="s">
        <v>10</v>
      </c>
      <c r="S1" s="3" t="s">
        <v>40</v>
      </c>
      <c r="T1" s="14" t="s">
        <v>11</v>
      </c>
      <c r="U1" s="15" t="s">
        <v>12</v>
      </c>
      <c r="V1" s="15" t="s">
        <v>48</v>
      </c>
      <c r="W1" s="15" t="s">
        <v>49</v>
      </c>
      <c r="X1" s="15" t="s">
        <v>46</v>
      </c>
      <c r="Y1" s="14" t="s">
        <v>47</v>
      </c>
      <c r="Z1" s="14" t="s">
        <v>50</v>
      </c>
      <c r="AA1" s="15" t="s">
        <v>13</v>
      </c>
      <c r="AB1" s="15" t="s">
        <v>14</v>
      </c>
      <c r="AC1" s="15" t="s">
        <v>51</v>
      </c>
      <c r="AD1" s="15" t="s">
        <v>55</v>
      </c>
      <c r="AE1" s="15" t="s">
        <v>42</v>
      </c>
      <c r="AF1" s="15" t="s">
        <v>37</v>
      </c>
      <c r="AG1" s="15" t="s">
        <v>52</v>
      </c>
      <c r="AH1" s="15" t="s">
        <v>329</v>
      </c>
      <c r="AI1" s="15" t="s">
        <v>330</v>
      </c>
    </row>
    <row r="2" spans="1:35" ht="13.8">
      <c r="A2" s="7" t="str">
        <f t="shared" ref="A2:A65" si="0" xml:space="preserve"> G2 &amp; "_" &amp; C2 &amp;"Cluster" &amp; J2 &amp; "_repl" &amp; L2</f>
        <v>ICHEC-EC-EARTH_Scaled_Cluster2_repl1</v>
      </c>
      <c r="B2" s="8" t="s">
        <v>16</v>
      </c>
      <c r="C2" s="8" t="s">
        <v>54</v>
      </c>
      <c r="D2" s="9" t="s">
        <v>17</v>
      </c>
      <c r="E2" s="9" t="str">
        <f t="shared" ref="E2:E65" si="1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</v>
      </c>
      <c r="I2" s="18">
        <v>6.2493566238876597E-6</v>
      </c>
      <c r="J2" s="8">
        <v>2</v>
      </c>
      <c r="K2" s="8" t="s">
        <v>157</v>
      </c>
      <c r="L2" s="8">
        <v>1</v>
      </c>
      <c r="M2" s="8"/>
      <c r="N2" s="8">
        <v>1</v>
      </c>
      <c r="O2" s="10" t="s">
        <v>21</v>
      </c>
      <c r="P2" s="17" t="s">
        <v>59</v>
      </c>
      <c r="Q2" s="10" t="str">
        <f t="shared" ref="Q2:Q65" si="2">A2  &amp; ".sqlite"</f>
        <v>ICHEC-EC-EARTH_Scaled_Cluster2_repl1.sqlite</v>
      </c>
      <c r="R2" s="11">
        <f t="shared" ref="R2:R65" si="3">(L2-1)*3+H2</f>
        <v>1</v>
      </c>
      <c r="S2" s="11">
        <v>0</v>
      </c>
      <c r="T2" s="16" t="str">
        <f t="shared" ref="T2:T65" si="4">"climate_db_" &amp; G2&amp; "_" &amp;  E2&amp; "_v4.sqlite"</f>
        <v>climate_db_ICHEC-EC-EARTH_historical_v4.sqlite</v>
      </c>
      <c r="U2" s="16" t="str">
        <f t="shared" ref="U2:U65" si="5">"log/" &amp;A2  &amp; ".txt"</f>
        <v>log/ICHEC-EC-EARTH_Scaled_Cluster2_repl1.txt</v>
      </c>
      <c r="V2" s="16" t="str">
        <f t="shared" ref="V2:V65" si="6">"init/env_file_CLUSTER" &amp; TEXT(J2, "00") &amp; "_REPL" &amp; L2 &amp; "_" &amp; G2 &amp; "_" &amp; E2 &amp; ".csv"</f>
        <v>init/env_file_CLUSTER02_REPL1_ICHEC-EC-EARTH_historical.csv</v>
      </c>
      <c r="W2" s="16" t="str">
        <f t="shared" ref="W2:W65" si="7">"init/env_grid_CLUSTER" &amp; TEXT(J2, "00") &amp; "_REPL" &amp; L2 &amp; ".asc"</f>
        <v>init/env_grid_CLUSTER02_REPL1.asc</v>
      </c>
      <c r="X2" s="16" t="str">
        <f t="shared" ref="X2:X65" si="8">W2</f>
        <v>init/env_grid_CLUSTER02_REPL1.asc</v>
      </c>
      <c r="Y2" s="16" t="str">
        <f t="shared" ref="Y2:Y65" si="9">"trees_CLUSTER" &amp; TEXT(J2, "00")  &amp; ".csv"</f>
        <v>trees_CLUSTER02.csv</v>
      </c>
      <c r="Z2" s="16" t="str">
        <f t="shared" ref="Z2:Z65" si="10">"saplings_CLUSTER" &amp; TEXT(J2, "00")  &amp; ".csv"</f>
        <v>saplings_CLUSTER02.csv</v>
      </c>
      <c r="AA2" s="16">
        <f t="shared" ref="AA2:AA65" si="11">F2</f>
        <v>350</v>
      </c>
      <c r="AB2" s="16" t="str">
        <f t="shared" ref="AB2:AB65" si="12">"abe/no_mgmt.csv"</f>
        <v>abe/no_mgmt.csv</v>
      </c>
      <c r="AC2" s="16" t="str">
        <f t="shared" ref="AC2:AC65" si="13">"gis/WindModifier_cl" &amp; J2 &amp; ".asc"</f>
        <v>gis/WindModifier_cl2.asc</v>
      </c>
      <c r="AD2" s="16">
        <f t="shared" ref="AD2:AD65" si="14">IF(C2="Scaled_", I2+0.0000000001,  0.000685)</f>
        <v>6.24945662388766E-6</v>
      </c>
      <c r="AE2" s="16" t="str">
        <f>G2 &amp; "_" &amp; E2 &amp; "_point" &amp; K2</f>
        <v>ICHEC-EC-EARTH_historical_point38526</v>
      </c>
      <c r="AF2" s="16" t="str">
        <f t="shared" ref="AF2:AF65" si="15">"wind_Events/" &amp; C2 &amp; "cl" &amp; J2 &amp; "_repl" &amp; L2 &amp; ".txt"</f>
        <v>wind_Events/Scaled_cl2_repl1.txt</v>
      </c>
      <c r="AG2" s="16" t="str">
        <f t="shared" ref="AG2:AG65" si="16">A2</f>
        <v>ICHEC-EC-EARTH_Scaled_Cluster2_repl1</v>
      </c>
      <c r="AH2" s="16" t="s">
        <v>256</v>
      </c>
      <c r="AI2" s="16" t="s">
        <v>257</v>
      </c>
    </row>
    <row r="3" spans="1:35" ht="13.8">
      <c r="A3" s="7" t="str">
        <f t="shared" si="0"/>
        <v>MPI-M-MPI-ESM-LR_Scaled_Cluster2_repl1</v>
      </c>
      <c r="B3" s="8" t="s">
        <v>16</v>
      </c>
      <c r="C3" s="8" t="s">
        <v>54</v>
      </c>
      <c r="D3" s="9" t="s">
        <v>17</v>
      </c>
      <c r="E3" s="9" t="str">
        <f t="shared" si="1"/>
        <v>historical</v>
      </c>
      <c r="F3" s="8">
        <v>350</v>
      </c>
      <c r="G3" s="8" t="s">
        <v>63</v>
      </c>
      <c r="H3" s="8">
        <v>2</v>
      </c>
      <c r="I3" s="18">
        <v>6.2493566238876597E-6</v>
      </c>
      <c r="J3" s="8">
        <v>2</v>
      </c>
      <c r="K3" s="8" t="s">
        <v>157</v>
      </c>
      <c r="L3" s="8">
        <v>1</v>
      </c>
      <c r="M3" s="8"/>
      <c r="N3" s="8">
        <v>1</v>
      </c>
      <c r="O3" s="10" t="s">
        <v>21</v>
      </c>
      <c r="P3" s="17" t="s">
        <v>59</v>
      </c>
      <c r="Q3" s="10" t="str">
        <f t="shared" si="2"/>
        <v>MPI-M-MPI-ESM-LR_Scaled_Cluster2_repl1.sqlite</v>
      </c>
      <c r="R3" s="11">
        <f t="shared" si="3"/>
        <v>2</v>
      </c>
      <c r="S3" s="11">
        <v>0</v>
      </c>
      <c r="T3" s="16" t="str">
        <f t="shared" si="4"/>
        <v>climate_db_MPI-M-MPI-ESM-LR_historical_v4.sqlite</v>
      </c>
      <c r="U3" s="16" t="str">
        <f t="shared" si="5"/>
        <v>log/MPI-M-MPI-ESM-LR_Scaled_Cluster2_repl1.txt</v>
      </c>
      <c r="V3" s="16" t="str">
        <f t="shared" si="6"/>
        <v>init/env_file_CLUSTER02_REPL1_MPI-M-MPI-ESM-LR_historical.csv</v>
      </c>
      <c r="W3" s="16" t="str">
        <f t="shared" si="7"/>
        <v>init/env_grid_CLUSTER02_REPL1.asc</v>
      </c>
      <c r="X3" s="16" t="str">
        <f t="shared" si="8"/>
        <v>init/env_grid_CLUSTER02_REPL1.asc</v>
      </c>
      <c r="Y3" s="16" t="str">
        <f t="shared" si="9"/>
        <v>trees_CLUSTER02.csv</v>
      </c>
      <c r="Z3" s="16" t="str">
        <f t="shared" si="10"/>
        <v>saplings_CLUSTER02.csv</v>
      </c>
      <c r="AA3" s="16">
        <f t="shared" si="11"/>
        <v>350</v>
      </c>
      <c r="AB3" s="16" t="str">
        <f t="shared" si="12"/>
        <v>abe/no_mgmt.csv</v>
      </c>
      <c r="AC3" s="16" t="str">
        <f t="shared" si="13"/>
        <v>gis/WindModifier_cl2.asc</v>
      </c>
      <c r="AD3" s="16">
        <f t="shared" si="14"/>
        <v>6.24945662388766E-6</v>
      </c>
      <c r="AE3" s="16" t="str">
        <f t="shared" ref="AE3:AE66" si="17">G3 &amp; "_" &amp; E3 &amp; "_point" &amp; K3</f>
        <v>MPI-M-MPI-ESM-LR_historical_point38526</v>
      </c>
      <c r="AF3" s="16" t="str">
        <f t="shared" si="15"/>
        <v>wind_Events/Scaled_cl2_repl1.txt</v>
      </c>
      <c r="AG3" s="16" t="str">
        <f t="shared" si="16"/>
        <v>MPI-M-MPI-ESM-LR_Scaled_Cluster2_repl1</v>
      </c>
      <c r="AH3" s="16" t="s">
        <v>258</v>
      </c>
      <c r="AI3" s="16" t="s">
        <v>259</v>
      </c>
    </row>
    <row r="4" spans="1:35" ht="13.8">
      <c r="A4" s="7" t="str">
        <f t="shared" si="0"/>
        <v>NCC-NorESM1-M_Scaled_Cluster2_repl1</v>
      </c>
      <c r="B4" s="8" t="s">
        <v>16</v>
      </c>
      <c r="C4" s="8" t="s">
        <v>54</v>
      </c>
      <c r="D4" s="9" t="s">
        <v>17</v>
      </c>
      <c r="E4" s="9" t="str">
        <f t="shared" si="1"/>
        <v>historical</v>
      </c>
      <c r="F4" s="8">
        <v>350</v>
      </c>
      <c r="G4" s="8" t="s">
        <v>60</v>
      </c>
      <c r="H4" s="8">
        <v>3</v>
      </c>
      <c r="I4" s="18">
        <v>6.2493566238876597E-6</v>
      </c>
      <c r="J4" s="8">
        <v>2</v>
      </c>
      <c r="K4" s="8" t="s">
        <v>157</v>
      </c>
      <c r="L4" s="8">
        <v>1</v>
      </c>
      <c r="M4" s="8"/>
      <c r="N4" s="8">
        <v>1</v>
      </c>
      <c r="O4" s="10" t="s">
        <v>21</v>
      </c>
      <c r="P4" s="17" t="s">
        <v>59</v>
      </c>
      <c r="Q4" s="10" t="str">
        <f t="shared" si="2"/>
        <v>NCC-NorESM1-M_Scaled_Cluster2_repl1.sqlite</v>
      </c>
      <c r="R4" s="11">
        <f t="shared" si="3"/>
        <v>3</v>
      </c>
      <c r="S4" s="11">
        <v>0</v>
      </c>
      <c r="T4" s="16" t="str">
        <f t="shared" si="4"/>
        <v>climate_db_NCC-NorESM1-M_historical_v4.sqlite</v>
      </c>
      <c r="U4" s="16" t="str">
        <f t="shared" si="5"/>
        <v>log/NCC-NorESM1-M_Scaled_Cluster2_repl1.txt</v>
      </c>
      <c r="V4" s="16" t="str">
        <f t="shared" si="6"/>
        <v>init/env_file_CLUSTER02_REPL1_NCC-NorESM1-M_historical.csv</v>
      </c>
      <c r="W4" s="16" t="str">
        <f t="shared" si="7"/>
        <v>init/env_grid_CLUSTER02_REPL1.asc</v>
      </c>
      <c r="X4" s="16" t="str">
        <f t="shared" si="8"/>
        <v>init/env_grid_CLUSTER02_REPL1.asc</v>
      </c>
      <c r="Y4" s="16" t="str">
        <f t="shared" si="9"/>
        <v>trees_CLUSTER02.csv</v>
      </c>
      <c r="Z4" s="16" t="str">
        <f t="shared" si="10"/>
        <v>saplings_CLUSTER02.csv</v>
      </c>
      <c r="AA4" s="16">
        <f t="shared" si="11"/>
        <v>350</v>
      </c>
      <c r="AB4" s="16" t="str">
        <f t="shared" si="12"/>
        <v>abe/no_mgmt.csv</v>
      </c>
      <c r="AC4" s="16" t="str">
        <f t="shared" si="13"/>
        <v>gis/WindModifier_cl2.asc</v>
      </c>
      <c r="AD4" s="16">
        <f t="shared" si="14"/>
        <v>6.24945662388766E-6</v>
      </c>
      <c r="AE4" s="16" t="str">
        <f t="shared" si="17"/>
        <v>NCC-NorESM1-M_historical_point38526</v>
      </c>
      <c r="AF4" s="16" t="str">
        <f t="shared" si="15"/>
        <v>wind_Events/Scaled_cl2_repl1.txt</v>
      </c>
      <c r="AG4" s="16" t="str">
        <f t="shared" si="16"/>
        <v>NCC-NorESM1-M_Scaled_Cluster2_repl1</v>
      </c>
      <c r="AH4" s="16" t="s">
        <v>260</v>
      </c>
      <c r="AI4" s="16" t="s">
        <v>261</v>
      </c>
    </row>
    <row r="5" spans="1:35" ht="13.8">
      <c r="A5" s="7" t="str">
        <f t="shared" si="0"/>
        <v>ICHEC-EC-EARTH_Scaled_Cluster2_repl2</v>
      </c>
      <c r="B5" s="8" t="s">
        <v>16</v>
      </c>
      <c r="C5" s="8" t="s">
        <v>54</v>
      </c>
      <c r="D5" s="9" t="s">
        <v>17</v>
      </c>
      <c r="E5" s="9" t="str">
        <f t="shared" si="1"/>
        <v>historical</v>
      </c>
      <c r="F5" s="8">
        <v>350</v>
      </c>
      <c r="G5" s="8" t="s">
        <v>18</v>
      </c>
      <c r="H5" s="8">
        <v>1</v>
      </c>
      <c r="I5" s="18">
        <v>6.2493566238876597E-6</v>
      </c>
      <c r="J5" s="8">
        <v>2</v>
      </c>
      <c r="K5" s="8" t="s">
        <v>157</v>
      </c>
      <c r="L5" s="8">
        <v>2</v>
      </c>
      <c r="M5" s="8"/>
      <c r="N5" s="8">
        <v>1</v>
      </c>
      <c r="O5" s="10" t="s">
        <v>21</v>
      </c>
      <c r="P5" s="17" t="s">
        <v>59</v>
      </c>
      <c r="Q5" s="10" t="str">
        <f t="shared" si="2"/>
        <v>ICHEC-EC-EARTH_Scaled_Cluster2_repl2.sqlite</v>
      </c>
      <c r="R5" s="11">
        <f t="shared" si="3"/>
        <v>4</v>
      </c>
      <c r="S5" s="11">
        <v>0</v>
      </c>
      <c r="T5" s="16" t="str">
        <f t="shared" si="4"/>
        <v>climate_db_ICHEC-EC-EARTH_historical_v4.sqlite</v>
      </c>
      <c r="U5" s="16" t="str">
        <f t="shared" si="5"/>
        <v>log/ICHEC-EC-EARTH_Scaled_Cluster2_repl2.txt</v>
      </c>
      <c r="V5" s="16" t="str">
        <f t="shared" si="6"/>
        <v>init/env_file_CLUSTER02_REPL2_ICHEC-EC-EARTH_historical.csv</v>
      </c>
      <c r="W5" s="16" t="str">
        <f t="shared" si="7"/>
        <v>init/env_grid_CLUSTER02_REPL2.asc</v>
      </c>
      <c r="X5" s="16" t="str">
        <f t="shared" si="8"/>
        <v>init/env_grid_CLUSTER02_REPL2.asc</v>
      </c>
      <c r="Y5" s="16" t="str">
        <f t="shared" si="9"/>
        <v>trees_CLUSTER02.csv</v>
      </c>
      <c r="Z5" s="16" t="str">
        <f t="shared" si="10"/>
        <v>saplings_CLUSTER02.csv</v>
      </c>
      <c r="AA5" s="16">
        <f t="shared" si="11"/>
        <v>350</v>
      </c>
      <c r="AB5" s="16" t="str">
        <f t="shared" si="12"/>
        <v>abe/no_mgmt.csv</v>
      </c>
      <c r="AC5" s="16" t="str">
        <f t="shared" si="13"/>
        <v>gis/WindModifier_cl2.asc</v>
      </c>
      <c r="AD5" s="16">
        <f t="shared" si="14"/>
        <v>6.24945662388766E-6</v>
      </c>
      <c r="AE5" s="16" t="str">
        <f t="shared" si="17"/>
        <v>ICHEC-EC-EARTH_historical_point38526</v>
      </c>
      <c r="AF5" s="16" t="str">
        <f t="shared" si="15"/>
        <v>wind_Events/Scaled_cl2_repl2.txt</v>
      </c>
      <c r="AG5" s="16" t="str">
        <f t="shared" si="16"/>
        <v>ICHEC-EC-EARTH_Scaled_Cluster2_repl2</v>
      </c>
      <c r="AH5" s="16" t="s">
        <v>262</v>
      </c>
      <c r="AI5" s="16" t="s">
        <v>263</v>
      </c>
    </row>
    <row r="6" spans="1:35" ht="13.8">
      <c r="A6" s="7" t="str">
        <f t="shared" si="0"/>
        <v>MPI-M-MPI-ESM-LR_Scaled_Cluster2_repl2</v>
      </c>
      <c r="B6" s="8" t="s">
        <v>16</v>
      </c>
      <c r="C6" s="8" t="s">
        <v>54</v>
      </c>
      <c r="D6" s="9" t="s">
        <v>17</v>
      </c>
      <c r="E6" s="9" t="str">
        <f t="shared" si="1"/>
        <v>historical</v>
      </c>
      <c r="F6" s="8">
        <v>350</v>
      </c>
      <c r="G6" s="8" t="s">
        <v>63</v>
      </c>
      <c r="H6" s="8">
        <v>2</v>
      </c>
      <c r="I6" s="18">
        <v>6.2493566238876597E-6</v>
      </c>
      <c r="J6" s="8">
        <v>2</v>
      </c>
      <c r="K6" s="8" t="s">
        <v>157</v>
      </c>
      <c r="L6" s="8">
        <v>2</v>
      </c>
      <c r="M6" s="8"/>
      <c r="N6" s="8">
        <v>1</v>
      </c>
      <c r="O6" s="10" t="s">
        <v>21</v>
      </c>
      <c r="P6" s="17" t="s">
        <v>59</v>
      </c>
      <c r="Q6" s="10" t="str">
        <f t="shared" si="2"/>
        <v>MPI-M-MPI-ESM-LR_Scaled_Cluster2_repl2.sqlite</v>
      </c>
      <c r="R6" s="11">
        <f t="shared" si="3"/>
        <v>5</v>
      </c>
      <c r="S6" s="11">
        <v>0</v>
      </c>
      <c r="T6" s="16" t="str">
        <f t="shared" si="4"/>
        <v>climate_db_MPI-M-MPI-ESM-LR_historical_v4.sqlite</v>
      </c>
      <c r="U6" s="16" t="str">
        <f t="shared" si="5"/>
        <v>log/MPI-M-MPI-ESM-LR_Scaled_Cluster2_repl2.txt</v>
      </c>
      <c r="V6" s="16" t="str">
        <f t="shared" si="6"/>
        <v>init/env_file_CLUSTER02_REPL2_MPI-M-MPI-ESM-LR_historical.csv</v>
      </c>
      <c r="W6" s="16" t="str">
        <f t="shared" si="7"/>
        <v>init/env_grid_CLUSTER02_REPL2.asc</v>
      </c>
      <c r="X6" s="16" t="str">
        <f t="shared" si="8"/>
        <v>init/env_grid_CLUSTER02_REPL2.asc</v>
      </c>
      <c r="Y6" s="16" t="str">
        <f t="shared" si="9"/>
        <v>trees_CLUSTER02.csv</v>
      </c>
      <c r="Z6" s="16" t="str">
        <f t="shared" si="10"/>
        <v>saplings_CLUSTER02.csv</v>
      </c>
      <c r="AA6" s="16">
        <f t="shared" si="11"/>
        <v>350</v>
      </c>
      <c r="AB6" s="16" t="str">
        <f t="shared" si="12"/>
        <v>abe/no_mgmt.csv</v>
      </c>
      <c r="AC6" s="16" t="str">
        <f t="shared" si="13"/>
        <v>gis/WindModifier_cl2.asc</v>
      </c>
      <c r="AD6" s="16">
        <f t="shared" si="14"/>
        <v>6.24945662388766E-6</v>
      </c>
      <c r="AE6" s="16" t="str">
        <f t="shared" si="17"/>
        <v>MPI-M-MPI-ESM-LR_historical_point38526</v>
      </c>
      <c r="AF6" s="16" t="str">
        <f t="shared" si="15"/>
        <v>wind_Events/Scaled_cl2_repl2.txt</v>
      </c>
      <c r="AG6" s="16" t="str">
        <f t="shared" si="16"/>
        <v>MPI-M-MPI-ESM-LR_Scaled_Cluster2_repl2</v>
      </c>
      <c r="AH6" s="16" t="s">
        <v>264</v>
      </c>
      <c r="AI6" s="16" t="s">
        <v>265</v>
      </c>
    </row>
    <row r="7" spans="1:35" ht="13.8">
      <c r="A7" s="7" t="str">
        <f t="shared" si="0"/>
        <v>NCC-NorESM1-M_Scaled_Cluster2_repl2</v>
      </c>
      <c r="B7" s="8" t="s">
        <v>16</v>
      </c>
      <c r="C7" s="8" t="s">
        <v>54</v>
      </c>
      <c r="D7" s="9" t="s">
        <v>17</v>
      </c>
      <c r="E7" s="9" t="str">
        <f t="shared" si="1"/>
        <v>historical</v>
      </c>
      <c r="F7" s="8">
        <v>350</v>
      </c>
      <c r="G7" s="8" t="s">
        <v>60</v>
      </c>
      <c r="H7" s="8">
        <v>3</v>
      </c>
      <c r="I7" s="18">
        <v>6.2493566238876597E-6</v>
      </c>
      <c r="J7" s="8">
        <v>2</v>
      </c>
      <c r="K7" s="8" t="s">
        <v>157</v>
      </c>
      <c r="L7" s="8">
        <v>2</v>
      </c>
      <c r="M7" s="8"/>
      <c r="N7" s="8">
        <v>1</v>
      </c>
      <c r="O7" s="10" t="s">
        <v>21</v>
      </c>
      <c r="P7" s="17" t="s">
        <v>59</v>
      </c>
      <c r="Q7" s="10" t="str">
        <f t="shared" si="2"/>
        <v>NCC-NorESM1-M_Scaled_Cluster2_repl2.sqlite</v>
      </c>
      <c r="R7" s="11">
        <f t="shared" si="3"/>
        <v>6</v>
      </c>
      <c r="S7" s="11">
        <v>0</v>
      </c>
      <c r="T7" s="16" t="str">
        <f t="shared" si="4"/>
        <v>climate_db_NCC-NorESM1-M_historical_v4.sqlite</v>
      </c>
      <c r="U7" s="16" t="str">
        <f t="shared" si="5"/>
        <v>log/NCC-NorESM1-M_Scaled_Cluster2_repl2.txt</v>
      </c>
      <c r="V7" s="16" t="str">
        <f t="shared" si="6"/>
        <v>init/env_file_CLUSTER02_REPL2_NCC-NorESM1-M_historical.csv</v>
      </c>
      <c r="W7" s="16" t="str">
        <f t="shared" si="7"/>
        <v>init/env_grid_CLUSTER02_REPL2.asc</v>
      </c>
      <c r="X7" s="16" t="str">
        <f t="shared" si="8"/>
        <v>init/env_grid_CLUSTER02_REPL2.asc</v>
      </c>
      <c r="Y7" s="16" t="str">
        <f t="shared" si="9"/>
        <v>trees_CLUSTER02.csv</v>
      </c>
      <c r="Z7" s="16" t="str">
        <f t="shared" si="10"/>
        <v>saplings_CLUSTER02.csv</v>
      </c>
      <c r="AA7" s="16">
        <f t="shared" si="11"/>
        <v>350</v>
      </c>
      <c r="AB7" s="16" t="str">
        <f t="shared" si="12"/>
        <v>abe/no_mgmt.csv</v>
      </c>
      <c r="AC7" s="16" t="str">
        <f t="shared" si="13"/>
        <v>gis/WindModifier_cl2.asc</v>
      </c>
      <c r="AD7" s="16">
        <f t="shared" si="14"/>
        <v>6.24945662388766E-6</v>
      </c>
      <c r="AE7" s="16" t="str">
        <f t="shared" si="17"/>
        <v>NCC-NorESM1-M_historical_point38526</v>
      </c>
      <c r="AF7" s="16" t="str">
        <f t="shared" si="15"/>
        <v>wind_Events/Scaled_cl2_repl2.txt</v>
      </c>
      <c r="AG7" s="16" t="str">
        <f t="shared" si="16"/>
        <v>NCC-NorESM1-M_Scaled_Cluster2_repl2</v>
      </c>
      <c r="AH7" s="16" t="s">
        <v>266</v>
      </c>
      <c r="AI7" s="16" t="s">
        <v>267</v>
      </c>
    </row>
    <row r="8" spans="1:35" ht="13.8">
      <c r="A8" s="7" t="str">
        <f t="shared" si="0"/>
        <v>ICHEC-EC-EARTH_Scaled_Cluster2_repl3</v>
      </c>
      <c r="B8" s="8" t="s">
        <v>16</v>
      </c>
      <c r="C8" s="8" t="s">
        <v>54</v>
      </c>
      <c r="D8" s="9" t="s">
        <v>17</v>
      </c>
      <c r="E8" s="9" t="str">
        <f t="shared" si="1"/>
        <v>historical</v>
      </c>
      <c r="F8" s="8">
        <v>350</v>
      </c>
      <c r="G8" s="8" t="s">
        <v>18</v>
      </c>
      <c r="H8" s="8">
        <v>1</v>
      </c>
      <c r="I8" s="18">
        <v>6.2493566238876597E-6</v>
      </c>
      <c r="J8" s="8">
        <v>2</v>
      </c>
      <c r="K8" s="8" t="s">
        <v>157</v>
      </c>
      <c r="L8" s="8">
        <v>3</v>
      </c>
      <c r="M8" s="8"/>
      <c r="N8" s="8">
        <v>1</v>
      </c>
      <c r="O8" s="10" t="s">
        <v>21</v>
      </c>
      <c r="P8" s="17" t="s">
        <v>59</v>
      </c>
      <c r="Q8" s="10" t="str">
        <f t="shared" si="2"/>
        <v>ICHEC-EC-EARTH_Scaled_Cluster2_repl3.sqlite</v>
      </c>
      <c r="R8" s="11">
        <f t="shared" si="3"/>
        <v>7</v>
      </c>
      <c r="S8" s="11">
        <v>0</v>
      </c>
      <c r="T8" s="16" t="str">
        <f t="shared" si="4"/>
        <v>climate_db_ICHEC-EC-EARTH_historical_v4.sqlite</v>
      </c>
      <c r="U8" s="16" t="str">
        <f t="shared" si="5"/>
        <v>log/ICHEC-EC-EARTH_Scaled_Cluster2_repl3.txt</v>
      </c>
      <c r="V8" s="16" t="str">
        <f t="shared" si="6"/>
        <v>init/env_file_CLUSTER02_REPL3_ICHEC-EC-EARTH_historical.csv</v>
      </c>
      <c r="W8" s="16" t="str">
        <f t="shared" si="7"/>
        <v>init/env_grid_CLUSTER02_REPL3.asc</v>
      </c>
      <c r="X8" s="16" t="str">
        <f t="shared" si="8"/>
        <v>init/env_grid_CLUSTER02_REPL3.asc</v>
      </c>
      <c r="Y8" s="16" t="str">
        <f t="shared" si="9"/>
        <v>trees_CLUSTER02.csv</v>
      </c>
      <c r="Z8" s="16" t="str">
        <f t="shared" si="10"/>
        <v>saplings_CLUSTER02.csv</v>
      </c>
      <c r="AA8" s="16">
        <f t="shared" si="11"/>
        <v>350</v>
      </c>
      <c r="AB8" s="16" t="str">
        <f t="shared" si="12"/>
        <v>abe/no_mgmt.csv</v>
      </c>
      <c r="AC8" s="16" t="str">
        <f t="shared" si="13"/>
        <v>gis/WindModifier_cl2.asc</v>
      </c>
      <c r="AD8" s="16">
        <f t="shared" si="14"/>
        <v>6.24945662388766E-6</v>
      </c>
      <c r="AE8" s="16" t="str">
        <f t="shared" si="17"/>
        <v>ICHEC-EC-EARTH_historical_point38526</v>
      </c>
      <c r="AF8" s="16" t="str">
        <f t="shared" si="15"/>
        <v>wind_Events/Scaled_cl2_repl3.txt</v>
      </c>
      <c r="AG8" s="16" t="str">
        <f t="shared" si="16"/>
        <v>ICHEC-EC-EARTH_Scaled_Cluster2_repl3</v>
      </c>
      <c r="AH8" s="16" t="s">
        <v>268</v>
      </c>
      <c r="AI8" s="16" t="s">
        <v>269</v>
      </c>
    </row>
    <row r="9" spans="1:35" ht="13.8">
      <c r="A9" s="7" t="str">
        <f t="shared" si="0"/>
        <v>MPI-M-MPI-ESM-LR_Scaled_Cluster2_repl3</v>
      </c>
      <c r="B9" s="8" t="s">
        <v>16</v>
      </c>
      <c r="C9" s="8" t="s">
        <v>54</v>
      </c>
      <c r="D9" s="9" t="s">
        <v>17</v>
      </c>
      <c r="E9" s="9" t="str">
        <f t="shared" si="1"/>
        <v>historical</v>
      </c>
      <c r="F9" s="8">
        <v>350</v>
      </c>
      <c r="G9" s="8" t="s">
        <v>63</v>
      </c>
      <c r="H9" s="8">
        <v>2</v>
      </c>
      <c r="I9" s="18">
        <v>6.2493566238876597E-6</v>
      </c>
      <c r="J9" s="8">
        <v>2</v>
      </c>
      <c r="K9" s="8" t="s">
        <v>157</v>
      </c>
      <c r="L9" s="8">
        <v>3</v>
      </c>
      <c r="M9" s="8"/>
      <c r="N9" s="8">
        <v>1</v>
      </c>
      <c r="O9" s="10" t="s">
        <v>21</v>
      </c>
      <c r="P9" s="17" t="s">
        <v>59</v>
      </c>
      <c r="Q9" s="10" t="str">
        <f t="shared" si="2"/>
        <v>MPI-M-MPI-ESM-LR_Scaled_Cluster2_repl3.sqlite</v>
      </c>
      <c r="R9" s="11">
        <f t="shared" si="3"/>
        <v>8</v>
      </c>
      <c r="S9" s="11">
        <v>0</v>
      </c>
      <c r="T9" s="16" t="str">
        <f t="shared" si="4"/>
        <v>climate_db_MPI-M-MPI-ESM-LR_historical_v4.sqlite</v>
      </c>
      <c r="U9" s="16" t="str">
        <f t="shared" si="5"/>
        <v>log/MPI-M-MPI-ESM-LR_Scaled_Cluster2_repl3.txt</v>
      </c>
      <c r="V9" s="16" t="str">
        <f t="shared" si="6"/>
        <v>init/env_file_CLUSTER02_REPL3_MPI-M-MPI-ESM-LR_historical.csv</v>
      </c>
      <c r="W9" s="16" t="str">
        <f t="shared" si="7"/>
        <v>init/env_grid_CLUSTER02_REPL3.asc</v>
      </c>
      <c r="X9" s="16" t="str">
        <f t="shared" si="8"/>
        <v>init/env_grid_CLUSTER02_REPL3.asc</v>
      </c>
      <c r="Y9" s="16" t="str">
        <f t="shared" si="9"/>
        <v>trees_CLUSTER02.csv</v>
      </c>
      <c r="Z9" s="16" t="str">
        <f t="shared" si="10"/>
        <v>saplings_CLUSTER02.csv</v>
      </c>
      <c r="AA9" s="16">
        <f t="shared" si="11"/>
        <v>350</v>
      </c>
      <c r="AB9" s="16" t="str">
        <f t="shared" si="12"/>
        <v>abe/no_mgmt.csv</v>
      </c>
      <c r="AC9" s="16" t="str">
        <f t="shared" si="13"/>
        <v>gis/WindModifier_cl2.asc</v>
      </c>
      <c r="AD9" s="16">
        <f t="shared" si="14"/>
        <v>6.24945662388766E-6</v>
      </c>
      <c r="AE9" s="16" t="str">
        <f t="shared" si="17"/>
        <v>MPI-M-MPI-ESM-LR_historical_point38526</v>
      </c>
      <c r="AF9" s="16" t="str">
        <f t="shared" si="15"/>
        <v>wind_Events/Scaled_cl2_repl3.txt</v>
      </c>
      <c r="AG9" s="16" t="str">
        <f t="shared" si="16"/>
        <v>MPI-M-MPI-ESM-LR_Scaled_Cluster2_repl3</v>
      </c>
      <c r="AH9" s="16" t="s">
        <v>270</v>
      </c>
      <c r="AI9" s="16" t="s">
        <v>271</v>
      </c>
    </row>
    <row r="10" spans="1:35" ht="13.8">
      <c r="A10" s="7" t="str">
        <f t="shared" si="0"/>
        <v>NCC-NorESM1-M_Scaled_Cluster2_repl3</v>
      </c>
      <c r="B10" s="8" t="s">
        <v>16</v>
      </c>
      <c r="C10" s="8" t="s">
        <v>54</v>
      </c>
      <c r="D10" s="9" t="s">
        <v>17</v>
      </c>
      <c r="E10" s="9" t="str">
        <f t="shared" si="1"/>
        <v>historical</v>
      </c>
      <c r="F10" s="8">
        <v>350</v>
      </c>
      <c r="G10" s="8" t="s">
        <v>60</v>
      </c>
      <c r="H10" s="8">
        <v>3</v>
      </c>
      <c r="I10" s="18">
        <v>6.2493566238876597E-6</v>
      </c>
      <c r="J10" s="8">
        <v>2</v>
      </c>
      <c r="K10" s="8" t="s">
        <v>157</v>
      </c>
      <c r="L10" s="8">
        <v>3</v>
      </c>
      <c r="M10" s="8"/>
      <c r="N10" s="8">
        <v>1</v>
      </c>
      <c r="O10" s="10" t="s">
        <v>21</v>
      </c>
      <c r="P10" s="17" t="s">
        <v>59</v>
      </c>
      <c r="Q10" s="10" t="str">
        <f t="shared" si="2"/>
        <v>NCC-NorESM1-M_Scaled_Cluster2_repl3.sqlite</v>
      </c>
      <c r="R10" s="11">
        <f t="shared" si="3"/>
        <v>9</v>
      </c>
      <c r="S10" s="11">
        <v>0</v>
      </c>
      <c r="T10" s="16" t="str">
        <f t="shared" si="4"/>
        <v>climate_db_NCC-NorESM1-M_historical_v4.sqlite</v>
      </c>
      <c r="U10" s="16" t="str">
        <f t="shared" si="5"/>
        <v>log/NCC-NorESM1-M_Scaled_Cluster2_repl3.txt</v>
      </c>
      <c r="V10" s="16" t="str">
        <f t="shared" si="6"/>
        <v>init/env_file_CLUSTER02_REPL3_NCC-NorESM1-M_historical.csv</v>
      </c>
      <c r="W10" s="16" t="str">
        <f t="shared" si="7"/>
        <v>init/env_grid_CLUSTER02_REPL3.asc</v>
      </c>
      <c r="X10" s="16" t="str">
        <f t="shared" si="8"/>
        <v>init/env_grid_CLUSTER02_REPL3.asc</v>
      </c>
      <c r="Y10" s="16" t="str">
        <f t="shared" si="9"/>
        <v>trees_CLUSTER02.csv</v>
      </c>
      <c r="Z10" s="16" t="str">
        <f t="shared" si="10"/>
        <v>saplings_CLUSTER02.csv</v>
      </c>
      <c r="AA10" s="16">
        <f t="shared" si="11"/>
        <v>350</v>
      </c>
      <c r="AB10" s="16" t="str">
        <f t="shared" si="12"/>
        <v>abe/no_mgmt.csv</v>
      </c>
      <c r="AC10" s="16" t="str">
        <f t="shared" si="13"/>
        <v>gis/WindModifier_cl2.asc</v>
      </c>
      <c r="AD10" s="16">
        <f t="shared" si="14"/>
        <v>6.24945662388766E-6</v>
      </c>
      <c r="AE10" s="16" t="str">
        <f t="shared" si="17"/>
        <v>NCC-NorESM1-M_historical_point38526</v>
      </c>
      <c r="AF10" s="16" t="str">
        <f t="shared" si="15"/>
        <v>wind_Events/Scaled_cl2_repl3.txt</v>
      </c>
      <c r="AG10" s="16" t="str">
        <f t="shared" si="16"/>
        <v>NCC-NorESM1-M_Scaled_Cluster2_repl3</v>
      </c>
      <c r="AH10" s="16" t="s">
        <v>272</v>
      </c>
      <c r="AI10" s="16" t="s">
        <v>273</v>
      </c>
    </row>
    <row r="11" spans="1:35" ht="13.8">
      <c r="A11" s="7" t="str">
        <f t="shared" si="0"/>
        <v>ICHEC-EC-EARTH_Scaled_Cluster2_repl4</v>
      </c>
      <c r="B11" s="8" t="s">
        <v>16</v>
      </c>
      <c r="C11" s="8" t="s">
        <v>54</v>
      </c>
      <c r="D11" s="9" t="s">
        <v>17</v>
      </c>
      <c r="E11" s="9" t="str">
        <f t="shared" si="1"/>
        <v>historical</v>
      </c>
      <c r="F11" s="8">
        <v>350</v>
      </c>
      <c r="G11" s="8" t="s">
        <v>18</v>
      </c>
      <c r="H11" s="8">
        <v>1</v>
      </c>
      <c r="I11" s="18">
        <v>6.2493566238876597E-6</v>
      </c>
      <c r="J11" s="8">
        <v>2</v>
      </c>
      <c r="K11" s="8" t="s">
        <v>157</v>
      </c>
      <c r="L11" s="8">
        <v>4</v>
      </c>
      <c r="M11" s="8"/>
      <c r="N11" s="8">
        <v>1</v>
      </c>
      <c r="O11" s="10" t="s">
        <v>21</v>
      </c>
      <c r="P11" s="17" t="s">
        <v>59</v>
      </c>
      <c r="Q11" s="10" t="str">
        <f t="shared" si="2"/>
        <v>ICHEC-EC-EARTH_Scaled_Cluster2_repl4.sqlite</v>
      </c>
      <c r="R11" s="11">
        <f t="shared" si="3"/>
        <v>10</v>
      </c>
      <c r="S11" s="11">
        <v>0</v>
      </c>
      <c r="T11" s="16" t="str">
        <f t="shared" si="4"/>
        <v>climate_db_ICHEC-EC-EARTH_historical_v4.sqlite</v>
      </c>
      <c r="U11" s="16" t="str">
        <f t="shared" si="5"/>
        <v>log/ICHEC-EC-EARTH_Scaled_Cluster2_repl4.txt</v>
      </c>
      <c r="V11" s="16" t="str">
        <f t="shared" si="6"/>
        <v>init/env_file_CLUSTER02_REPL4_ICHEC-EC-EARTH_historical.csv</v>
      </c>
      <c r="W11" s="16" t="str">
        <f t="shared" si="7"/>
        <v>init/env_grid_CLUSTER02_REPL4.asc</v>
      </c>
      <c r="X11" s="16" t="str">
        <f t="shared" si="8"/>
        <v>init/env_grid_CLUSTER02_REPL4.asc</v>
      </c>
      <c r="Y11" s="16" t="str">
        <f t="shared" si="9"/>
        <v>trees_CLUSTER02.csv</v>
      </c>
      <c r="Z11" s="16" t="str">
        <f t="shared" si="10"/>
        <v>saplings_CLUSTER02.csv</v>
      </c>
      <c r="AA11" s="16">
        <f t="shared" si="11"/>
        <v>350</v>
      </c>
      <c r="AB11" s="16" t="str">
        <f t="shared" si="12"/>
        <v>abe/no_mgmt.csv</v>
      </c>
      <c r="AC11" s="16" t="str">
        <f t="shared" si="13"/>
        <v>gis/WindModifier_cl2.asc</v>
      </c>
      <c r="AD11" s="16">
        <f t="shared" si="14"/>
        <v>6.24945662388766E-6</v>
      </c>
      <c r="AE11" s="16" t="str">
        <f t="shared" si="17"/>
        <v>ICHEC-EC-EARTH_historical_point38526</v>
      </c>
      <c r="AF11" s="16" t="str">
        <f t="shared" si="15"/>
        <v>wind_Events/Scaled_cl2_repl4.txt</v>
      </c>
      <c r="AG11" s="16" t="str">
        <f t="shared" si="16"/>
        <v>ICHEC-EC-EARTH_Scaled_Cluster2_repl4</v>
      </c>
      <c r="AH11" s="16" t="s">
        <v>274</v>
      </c>
      <c r="AI11" s="16" t="s">
        <v>275</v>
      </c>
    </row>
    <row r="12" spans="1:35" ht="13.8">
      <c r="A12" s="7" t="str">
        <f t="shared" si="0"/>
        <v>MPI-M-MPI-ESM-LR_Scaled_Cluster2_repl4</v>
      </c>
      <c r="B12" s="8" t="s">
        <v>16</v>
      </c>
      <c r="C12" s="8" t="s">
        <v>54</v>
      </c>
      <c r="D12" s="9" t="s">
        <v>17</v>
      </c>
      <c r="E12" s="9" t="str">
        <f t="shared" si="1"/>
        <v>historical</v>
      </c>
      <c r="F12" s="8">
        <v>350</v>
      </c>
      <c r="G12" s="8" t="s">
        <v>63</v>
      </c>
      <c r="H12" s="8">
        <v>2</v>
      </c>
      <c r="I12" s="18">
        <v>6.2493566238876597E-6</v>
      </c>
      <c r="J12" s="8">
        <v>2</v>
      </c>
      <c r="K12" s="8" t="s">
        <v>157</v>
      </c>
      <c r="L12" s="8">
        <v>4</v>
      </c>
      <c r="M12" s="8"/>
      <c r="N12" s="8">
        <v>1</v>
      </c>
      <c r="O12" s="10" t="s">
        <v>21</v>
      </c>
      <c r="P12" s="17" t="s">
        <v>59</v>
      </c>
      <c r="Q12" s="10" t="str">
        <f t="shared" si="2"/>
        <v>MPI-M-MPI-ESM-LR_Scaled_Cluster2_repl4.sqlite</v>
      </c>
      <c r="R12" s="11">
        <f t="shared" si="3"/>
        <v>11</v>
      </c>
      <c r="S12" s="11">
        <v>0</v>
      </c>
      <c r="T12" s="16" t="str">
        <f t="shared" si="4"/>
        <v>climate_db_MPI-M-MPI-ESM-LR_historical_v4.sqlite</v>
      </c>
      <c r="U12" s="16" t="str">
        <f t="shared" si="5"/>
        <v>log/MPI-M-MPI-ESM-LR_Scaled_Cluster2_repl4.txt</v>
      </c>
      <c r="V12" s="16" t="str">
        <f t="shared" si="6"/>
        <v>init/env_file_CLUSTER02_REPL4_MPI-M-MPI-ESM-LR_historical.csv</v>
      </c>
      <c r="W12" s="16" t="str">
        <f t="shared" si="7"/>
        <v>init/env_grid_CLUSTER02_REPL4.asc</v>
      </c>
      <c r="X12" s="16" t="str">
        <f t="shared" si="8"/>
        <v>init/env_grid_CLUSTER02_REPL4.asc</v>
      </c>
      <c r="Y12" s="16" t="str">
        <f t="shared" si="9"/>
        <v>trees_CLUSTER02.csv</v>
      </c>
      <c r="Z12" s="16" t="str">
        <f t="shared" si="10"/>
        <v>saplings_CLUSTER02.csv</v>
      </c>
      <c r="AA12" s="16">
        <f t="shared" si="11"/>
        <v>350</v>
      </c>
      <c r="AB12" s="16" t="str">
        <f t="shared" si="12"/>
        <v>abe/no_mgmt.csv</v>
      </c>
      <c r="AC12" s="16" t="str">
        <f t="shared" si="13"/>
        <v>gis/WindModifier_cl2.asc</v>
      </c>
      <c r="AD12" s="16">
        <f t="shared" si="14"/>
        <v>6.24945662388766E-6</v>
      </c>
      <c r="AE12" s="16" t="str">
        <f t="shared" si="17"/>
        <v>MPI-M-MPI-ESM-LR_historical_point38526</v>
      </c>
      <c r="AF12" s="16" t="str">
        <f t="shared" si="15"/>
        <v>wind_Events/Scaled_cl2_repl4.txt</v>
      </c>
      <c r="AG12" s="16" t="str">
        <f t="shared" si="16"/>
        <v>MPI-M-MPI-ESM-LR_Scaled_Cluster2_repl4</v>
      </c>
      <c r="AH12" s="16" t="s">
        <v>276</v>
      </c>
      <c r="AI12" s="16" t="s">
        <v>277</v>
      </c>
    </row>
    <row r="13" spans="1:35" ht="13.8">
      <c r="A13" s="7" t="str">
        <f t="shared" si="0"/>
        <v>NCC-NorESM1-M_Scaled_Cluster2_repl4</v>
      </c>
      <c r="B13" s="8" t="s">
        <v>16</v>
      </c>
      <c r="C13" s="8" t="s">
        <v>54</v>
      </c>
      <c r="D13" s="9" t="s">
        <v>17</v>
      </c>
      <c r="E13" s="9" t="str">
        <f t="shared" si="1"/>
        <v>historical</v>
      </c>
      <c r="F13" s="8">
        <v>350</v>
      </c>
      <c r="G13" s="8" t="s">
        <v>60</v>
      </c>
      <c r="H13" s="8">
        <v>3</v>
      </c>
      <c r="I13" s="18">
        <v>6.2493566238876597E-6</v>
      </c>
      <c r="J13" s="8">
        <v>2</v>
      </c>
      <c r="K13" s="8" t="s">
        <v>157</v>
      </c>
      <c r="L13" s="8">
        <v>4</v>
      </c>
      <c r="M13" s="8"/>
      <c r="N13" s="8">
        <v>1</v>
      </c>
      <c r="O13" s="10" t="s">
        <v>21</v>
      </c>
      <c r="P13" s="17" t="s">
        <v>59</v>
      </c>
      <c r="Q13" s="10" t="str">
        <f t="shared" si="2"/>
        <v>NCC-NorESM1-M_Scaled_Cluster2_repl4.sqlite</v>
      </c>
      <c r="R13" s="11">
        <f t="shared" si="3"/>
        <v>12</v>
      </c>
      <c r="S13" s="11">
        <v>0</v>
      </c>
      <c r="T13" s="16" t="str">
        <f t="shared" si="4"/>
        <v>climate_db_NCC-NorESM1-M_historical_v4.sqlite</v>
      </c>
      <c r="U13" s="16" t="str">
        <f t="shared" si="5"/>
        <v>log/NCC-NorESM1-M_Scaled_Cluster2_repl4.txt</v>
      </c>
      <c r="V13" s="16" t="str">
        <f t="shared" si="6"/>
        <v>init/env_file_CLUSTER02_REPL4_NCC-NorESM1-M_historical.csv</v>
      </c>
      <c r="W13" s="16" t="str">
        <f t="shared" si="7"/>
        <v>init/env_grid_CLUSTER02_REPL4.asc</v>
      </c>
      <c r="X13" s="16" t="str">
        <f t="shared" si="8"/>
        <v>init/env_grid_CLUSTER02_REPL4.asc</v>
      </c>
      <c r="Y13" s="16" t="str">
        <f t="shared" si="9"/>
        <v>trees_CLUSTER02.csv</v>
      </c>
      <c r="Z13" s="16" t="str">
        <f t="shared" si="10"/>
        <v>saplings_CLUSTER02.csv</v>
      </c>
      <c r="AA13" s="16">
        <f t="shared" si="11"/>
        <v>350</v>
      </c>
      <c r="AB13" s="16" t="str">
        <f t="shared" si="12"/>
        <v>abe/no_mgmt.csv</v>
      </c>
      <c r="AC13" s="16" t="str">
        <f t="shared" si="13"/>
        <v>gis/WindModifier_cl2.asc</v>
      </c>
      <c r="AD13" s="16">
        <f t="shared" si="14"/>
        <v>6.24945662388766E-6</v>
      </c>
      <c r="AE13" s="16" t="str">
        <f t="shared" si="17"/>
        <v>NCC-NorESM1-M_historical_point38526</v>
      </c>
      <c r="AF13" s="16" t="str">
        <f t="shared" si="15"/>
        <v>wind_Events/Scaled_cl2_repl4.txt</v>
      </c>
      <c r="AG13" s="16" t="str">
        <f t="shared" si="16"/>
        <v>NCC-NorESM1-M_Scaled_Cluster2_repl4</v>
      </c>
      <c r="AH13" s="16" t="s">
        <v>278</v>
      </c>
      <c r="AI13" s="16" t="s">
        <v>279</v>
      </c>
    </row>
    <row r="14" spans="1:35" ht="13.8">
      <c r="A14" s="7" t="str">
        <f t="shared" si="0"/>
        <v>ICHEC-EC-EARTH_Scaled_Cluster2_repl5</v>
      </c>
      <c r="B14" s="8" t="s">
        <v>16</v>
      </c>
      <c r="C14" s="8" t="s">
        <v>54</v>
      </c>
      <c r="D14" s="9" t="s">
        <v>17</v>
      </c>
      <c r="E14" s="9" t="str">
        <f t="shared" si="1"/>
        <v>historical</v>
      </c>
      <c r="F14" s="8">
        <v>350</v>
      </c>
      <c r="G14" s="8" t="s">
        <v>18</v>
      </c>
      <c r="H14" s="8">
        <v>1</v>
      </c>
      <c r="I14" s="18">
        <v>6.2493566238876597E-6</v>
      </c>
      <c r="J14" s="8">
        <v>2</v>
      </c>
      <c r="K14" s="8" t="s">
        <v>157</v>
      </c>
      <c r="L14" s="8">
        <v>5</v>
      </c>
      <c r="M14" s="8"/>
      <c r="N14" s="8">
        <v>1</v>
      </c>
      <c r="O14" s="10" t="s">
        <v>21</v>
      </c>
      <c r="P14" s="17" t="s">
        <v>59</v>
      </c>
      <c r="Q14" s="10" t="str">
        <f t="shared" si="2"/>
        <v>ICHEC-EC-EARTH_Scaled_Cluster2_repl5.sqlite</v>
      </c>
      <c r="R14" s="11">
        <f t="shared" si="3"/>
        <v>13</v>
      </c>
      <c r="S14" s="11">
        <v>0</v>
      </c>
      <c r="T14" s="16" t="str">
        <f t="shared" si="4"/>
        <v>climate_db_ICHEC-EC-EARTH_historical_v4.sqlite</v>
      </c>
      <c r="U14" s="16" t="str">
        <f t="shared" si="5"/>
        <v>log/ICHEC-EC-EARTH_Scaled_Cluster2_repl5.txt</v>
      </c>
      <c r="V14" s="16" t="str">
        <f t="shared" si="6"/>
        <v>init/env_file_CLUSTER02_REPL5_ICHEC-EC-EARTH_historical.csv</v>
      </c>
      <c r="W14" s="16" t="str">
        <f t="shared" si="7"/>
        <v>init/env_grid_CLUSTER02_REPL5.asc</v>
      </c>
      <c r="X14" s="16" t="str">
        <f t="shared" si="8"/>
        <v>init/env_grid_CLUSTER02_REPL5.asc</v>
      </c>
      <c r="Y14" s="16" t="str">
        <f t="shared" si="9"/>
        <v>trees_CLUSTER02.csv</v>
      </c>
      <c r="Z14" s="16" t="str">
        <f t="shared" si="10"/>
        <v>saplings_CLUSTER02.csv</v>
      </c>
      <c r="AA14" s="16">
        <f t="shared" si="11"/>
        <v>350</v>
      </c>
      <c r="AB14" s="16" t="str">
        <f t="shared" si="12"/>
        <v>abe/no_mgmt.csv</v>
      </c>
      <c r="AC14" s="16" t="str">
        <f t="shared" si="13"/>
        <v>gis/WindModifier_cl2.asc</v>
      </c>
      <c r="AD14" s="16">
        <f t="shared" si="14"/>
        <v>6.24945662388766E-6</v>
      </c>
      <c r="AE14" s="16" t="str">
        <f t="shared" si="17"/>
        <v>ICHEC-EC-EARTH_historical_point38526</v>
      </c>
      <c r="AF14" s="16" t="str">
        <f t="shared" si="15"/>
        <v>wind_Events/Scaled_cl2_repl5.txt</v>
      </c>
      <c r="AG14" s="16" t="str">
        <f t="shared" si="16"/>
        <v>ICHEC-EC-EARTH_Scaled_Cluster2_repl5</v>
      </c>
      <c r="AH14" s="16" t="s">
        <v>280</v>
      </c>
      <c r="AI14" s="16" t="s">
        <v>281</v>
      </c>
    </row>
    <row r="15" spans="1:35" ht="13.8">
      <c r="A15" s="7" t="str">
        <f t="shared" si="0"/>
        <v>MPI-M-MPI-ESM-LR_Scaled_Cluster2_repl5</v>
      </c>
      <c r="B15" s="8" t="s">
        <v>16</v>
      </c>
      <c r="C15" s="8" t="s">
        <v>54</v>
      </c>
      <c r="D15" s="9" t="s">
        <v>17</v>
      </c>
      <c r="E15" s="9" t="str">
        <f t="shared" si="1"/>
        <v>historical</v>
      </c>
      <c r="F15" s="8">
        <v>350</v>
      </c>
      <c r="G15" s="8" t="s">
        <v>63</v>
      </c>
      <c r="H15" s="8">
        <v>2</v>
      </c>
      <c r="I15" s="18">
        <v>6.2493566238876597E-6</v>
      </c>
      <c r="J15" s="8">
        <v>2</v>
      </c>
      <c r="K15" s="8" t="s">
        <v>157</v>
      </c>
      <c r="L15" s="8">
        <v>5</v>
      </c>
      <c r="M15" s="8"/>
      <c r="N15" s="8">
        <v>1</v>
      </c>
      <c r="O15" s="10" t="s">
        <v>21</v>
      </c>
      <c r="P15" s="17" t="s">
        <v>59</v>
      </c>
      <c r="Q15" s="10" t="str">
        <f t="shared" si="2"/>
        <v>MPI-M-MPI-ESM-LR_Scaled_Cluster2_repl5.sqlite</v>
      </c>
      <c r="R15" s="11">
        <f t="shared" si="3"/>
        <v>14</v>
      </c>
      <c r="S15" s="11">
        <v>0</v>
      </c>
      <c r="T15" s="16" t="str">
        <f t="shared" si="4"/>
        <v>climate_db_MPI-M-MPI-ESM-LR_historical_v4.sqlite</v>
      </c>
      <c r="U15" s="16" t="str">
        <f t="shared" si="5"/>
        <v>log/MPI-M-MPI-ESM-LR_Scaled_Cluster2_repl5.txt</v>
      </c>
      <c r="V15" s="16" t="str">
        <f t="shared" si="6"/>
        <v>init/env_file_CLUSTER02_REPL5_MPI-M-MPI-ESM-LR_historical.csv</v>
      </c>
      <c r="W15" s="16" t="str">
        <f t="shared" si="7"/>
        <v>init/env_grid_CLUSTER02_REPL5.asc</v>
      </c>
      <c r="X15" s="16" t="str">
        <f t="shared" si="8"/>
        <v>init/env_grid_CLUSTER02_REPL5.asc</v>
      </c>
      <c r="Y15" s="16" t="str">
        <f t="shared" si="9"/>
        <v>trees_CLUSTER02.csv</v>
      </c>
      <c r="Z15" s="16" t="str">
        <f t="shared" si="10"/>
        <v>saplings_CLUSTER02.csv</v>
      </c>
      <c r="AA15" s="16">
        <f t="shared" si="11"/>
        <v>350</v>
      </c>
      <c r="AB15" s="16" t="str">
        <f t="shared" si="12"/>
        <v>abe/no_mgmt.csv</v>
      </c>
      <c r="AC15" s="16" t="str">
        <f t="shared" si="13"/>
        <v>gis/WindModifier_cl2.asc</v>
      </c>
      <c r="AD15" s="16">
        <f t="shared" si="14"/>
        <v>6.24945662388766E-6</v>
      </c>
      <c r="AE15" s="16" t="str">
        <f t="shared" si="17"/>
        <v>MPI-M-MPI-ESM-LR_historical_point38526</v>
      </c>
      <c r="AF15" s="16" t="str">
        <f t="shared" si="15"/>
        <v>wind_Events/Scaled_cl2_repl5.txt</v>
      </c>
      <c r="AG15" s="16" t="str">
        <f t="shared" si="16"/>
        <v>MPI-M-MPI-ESM-LR_Scaled_Cluster2_repl5</v>
      </c>
      <c r="AH15" s="16" t="s">
        <v>282</v>
      </c>
      <c r="AI15" s="16" t="s">
        <v>283</v>
      </c>
    </row>
    <row r="16" spans="1:35" ht="13.8">
      <c r="A16" s="7" t="str">
        <f t="shared" si="0"/>
        <v>NCC-NorESM1-M_Scaled_Cluster2_repl5</v>
      </c>
      <c r="B16" s="8" t="s">
        <v>16</v>
      </c>
      <c r="C16" s="8" t="s">
        <v>54</v>
      </c>
      <c r="D16" s="9" t="s">
        <v>17</v>
      </c>
      <c r="E16" s="9" t="str">
        <f t="shared" si="1"/>
        <v>historical</v>
      </c>
      <c r="F16" s="8">
        <v>350</v>
      </c>
      <c r="G16" s="8" t="s">
        <v>60</v>
      </c>
      <c r="H16" s="8">
        <v>3</v>
      </c>
      <c r="I16" s="18">
        <v>6.2493566238876597E-6</v>
      </c>
      <c r="J16" s="8">
        <v>2</v>
      </c>
      <c r="K16" s="8" t="s">
        <v>157</v>
      </c>
      <c r="L16" s="8">
        <v>5</v>
      </c>
      <c r="M16" s="8"/>
      <c r="N16" s="8">
        <v>1</v>
      </c>
      <c r="O16" s="10" t="s">
        <v>21</v>
      </c>
      <c r="P16" s="17" t="s">
        <v>59</v>
      </c>
      <c r="Q16" s="10" t="str">
        <f t="shared" si="2"/>
        <v>NCC-NorESM1-M_Scaled_Cluster2_repl5.sqlite</v>
      </c>
      <c r="R16" s="11">
        <f t="shared" si="3"/>
        <v>15</v>
      </c>
      <c r="S16" s="11">
        <v>0</v>
      </c>
      <c r="T16" s="16" t="str">
        <f t="shared" si="4"/>
        <v>climate_db_NCC-NorESM1-M_historical_v4.sqlite</v>
      </c>
      <c r="U16" s="16" t="str">
        <f t="shared" si="5"/>
        <v>log/NCC-NorESM1-M_Scaled_Cluster2_repl5.txt</v>
      </c>
      <c r="V16" s="16" t="str">
        <f t="shared" si="6"/>
        <v>init/env_file_CLUSTER02_REPL5_NCC-NorESM1-M_historical.csv</v>
      </c>
      <c r="W16" s="16" t="str">
        <f t="shared" si="7"/>
        <v>init/env_grid_CLUSTER02_REPL5.asc</v>
      </c>
      <c r="X16" s="16" t="str">
        <f t="shared" si="8"/>
        <v>init/env_grid_CLUSTER02_REPL5.asc</v>
      </c>
      <c r="Y16" s="16" t="str">
        <f t="shared" si="9"/>
        <v>trees_CLUSTER02.csv</v>
      </c>
      <c r="Z16" s="16" t="str">
        <f t="shared" si="10"/>
        <v>saplings_CLUSTER02.csv</v>
      </c>
      <c r="AA16" s="16">
        <f t="shared" si="11"/>
        <v>350</v>
      </c>
      <c r="AB16" s="16" t="str">
        <f t="shared" si="12"/>
        <v>abe/no_mgmt.csv</v>
      </c>
      <c r="AC16" s="16" t="str">
        <f t="shared" si="13"/>
        <v>gis/WindModifier_cl2.asc</v>
      </c>
      <c r="AD16" s="16">
        <f t="shared" si="14"/>
        <v>6.24945662388766E-6</v>
      </c>
      <c r="AE16" s="16" t="str">
        <f t="shared" si="17"/>
        <v>NCC-NorESM1-M_historical_point38526</v>
      </c>
      <c r="AF16" s="16" t="str">
        <f t="shared" si="15"/>
        <v>wind_Events/Scaled_cl2_repl5.txt</v>
      </c>
      <c r="AG16" s="16" t="str">
        <f t="shared" si="16"/>
        <v>NCC-NorESM1-M_Scaled_Cluster2_repl5</v>
      </c>
      <c r="AH16" s="16" t="s">
        <v>284</v>
      </c>
      <c r="AI16" s="16" t="s">
        <v>285</v>
      </c>
    </row>
    <row r="17" spans="1:35" ht="13.8">
      <c r="A17" s="7" t="str">
        <f t="shared" si="0"/>
        <v>ICHEC-EC-EARTH_Scaled_Cluster3_repl1</v>
      </c>
      <c r="B17" s="8" t="s">
        <v>16</v>
      </c>
      <c r="C17" s="8" t="s">
        <v>54</v>
      </c>
      <c r="D17" s="9" t="s">
        <v>17</v>
      </c>
      <c r="E17" s="9" t="str">
        <f t="shared" si="1"/>
        <v>historical</v>
      </c>
      <c r="F17" s="8">
        <v>350</v>
      </c>
      <c r="G17" s="8" t="s">
        <v>18</v>
      </c>
      <c r="H17" s="8">
        <v>1</v>
      </c>
      <c r="I17" s="8">
        <v>7.5959355299492701E-9</v>
      </c>
      <c r="J17" s="8">
        <v>3</v>
      </c>
      <c r="K17" s="8" t="s">
        <v>158</v>
      </c>
      <c r="L17" s="8">
        <v>1</v>
      </c>
      <c r="M17" s="8"/>
      <c r="N17" s="8">
        <v>1</v>
      </c>
      <c r="O17" s="10" t="s">
        <v>21</v>
      </c>
      <c r="P17" s="17" t="s">
        <v>59</v>
      </c>
      <c r="Q17" s="10" t="str">
        <f t="shared" si="2"/>
        <v>ICHEC-EC-EARTH_Scaled_Cluster3_repl1.sqlite</v>
      </c>
      <c r="R17" s="11">
        <f t="shared" si="3"/>
        <v>1</v>
      </c>
      <c r="S17" s="11">
        <v>0</v>
      </c>
      <c r="T17" s="16" t="str">
        <f t="shared" si="4"/>
        <v>climate_db_ICHEC-EC-EARTH_historical_v4.sqlite</v>
      </c>
      <c r="U17" s="16" t="str">
        <f t="shared" si="5"/>
        <v>log/ICHEC-EC-EARTH_Scaled_Cluster3_repl1.txt</v>
      </c>
      <c r="V17" s="16" t="str">
        <f t="shared" si="6"/>
        <v>init/env_file_CLUSTER03_REPL1_ICHEC-EC-EARTH_historical.csv</v>
      </c>
      <c r="W17" s="16" t="str">
        <f t="shared" si="7"/>
        <v>init/env_grid_CLUSTER03_REPL1.asc</v>
      </c>
      <c r="X17" s="16" t="str">
        <f t="shared" si="8"/>
        <v>init/env_grid_CLUSTER03_REPL1.asc</v>
      </c>
      <c r="Y17" s="16" t="str">
        <f t="shared" si="9"/>
        <v>trees_CLUSTER03.csv</v>
      </c>
      <c r="Z17" s="16" t="str">
        <f t="shared" si="10"/>
        <v>saplings_CLUSTER03.csv</v>
      </c>
      <c r="AA17" s="16">
        <f t="shared" si="11"/>
        <v>350</v>
      </c>
      <c r="AB17" s="16" t="str">
        <f t="shared" si="12"/>
        <v>abe/no_mgmt.csv</v>
      </c>
      <c r="AC17" s="16" t="str">
        <f t="shared" si="13"/>
        <v>gis/WindModifier_cl3.asc</v>
      </c>
      <c r="AD17" s="16">
        <f t="shared" si="14"/>
        <v>7.6959355299492694E-9</v>
      </c>
      <c r="AE17" s="16" t="str">
        <f t="shared" si="17"/>
        <v>ICHEC-EC-EARTH_historical_point31016</v>
      </c>
      <c r="AF17" s="16" t="str">
        <f t="shared" si="15"/>
        <v>wind_Events/Scaled_cl3_repl1.txt</v>
      </c>
      <c r="AG17" s="16" t="str">
        <f t="shared" si="16"/>
        <v>ICHEC-EC-EARTH_Scaled_Cluster3_repl1</v>
      </c>
      <c r="AH17" s="16" t="s">
        <v>286</v>
      </c>
      <c r="AI17" s="16" t="s">
        <v>287</v>
      </c>
    </row>
    <row r="18" spans="1:35" ht="13.8">
      <c r="A18" s="7" t="str">
        <f t="shared" si="0"/>
        <v>MPI-M-MPI-ESM-LR_Scaled_Cluster3_repl1</v>
      </c>
      <c r="B18" s="8" t="s">
        <v>16</v>
      </c>
      <c r="C18" s="8" t="s">
        <v>54</v>
      </c>
      <c r="D18" s="9" t="s">
        <v>17</v>
      </c>
      <c r="E18" s="9" t="str">
        <f t="shared" si="1"/>
        <v>historical</v>
      </c>
      <c r="F18" s="8">
        <v>350</v>
      </c>
      <c r="G18" s="8" t="s">
        <v>63</v>
      </c>
      <c r="H18" s="8">
        <v>2</v>
      </c>
      <c r="I18" s="8">
        <v>7.5959355299492701E-9</v>
      </c>
      <c r="J18" s="8">
        <v>3</v>
      </c>
      <c r="K18" s="8" t="s">
        <v>158</v>
      </c>
      <c r="L18" s="8">
        <v>1</v>
      </c>
      <c r="M18" s="8"/>
      <c r="N18" s="8">
        <v>1</v>
      </c>
      <c r="O18" s="10" t="s">
        <v>21</v>
      </c>
      <c r="P18" s="17" t="s">
        <v>59</v>
      </c>
      <c r="Q18" s="10" t="str">
        <f t="shared" si="2"/>
        <v>MPI-M-MPI-ESM-LR_Scaled_Cluster3_repl1.sqlite</v>
      </c>
      <c r="R18" s="11">
        <f t="shared" si="3"/>
        <v>2</v>
      </c>
      <c r="S18" s="11">
        <v>0</v>
      </c>
      <c r="T18" s="16" t="str">
        <f t="shared" si="4"/>
        <v>climate_db_MPI-M-MPI-ESM-LR_historical_v4.sqlite</v>
      </c>
      <c r="U18" s="16" t="str">
        <f t="shared" si="5"/>
        <v>log/MPI-M-MPI-ESM-LR_Scaled_Cluster3_repl1.txt</v>
      </c>
      <c r="V18" s="16" t="str">
        <f t="shared" si="6"/>
        <v>init/env_file_CLUSTER03_REPL1_MPI-M-MPI-ESM-LR_historical.csv</v>
      </c>
      <c r="W18" s="16" t="str">
        <f t="shared" si="7"/>
        <v>init/env_grid_CLUSTER03_REPL1.asc</v>
      </c>
      <c r="X18" s="16" t="str">
        <f t="shared" si="8"/>
        <v>init/env_grid_CLUSTER03_REPL1.asc</v>
      </c>
      <c r="Y18" s="16" t="str">
        <f t="shared" si="9"/>
        <v>trees_CLUSTER03.csv</v>
      </c>
      <c r="Z18" s="16" t="str">
        <f t="shared" si="10"/>
        <v>saplings_CLUSTER03.csv</v>
      </c>
      <c r="AA18" s="16">
        <f t="shared" si="11"/>
        <v>350</v>
      </c>
      <c r="AB18" s="16" t="str">
        <f t="shared" si="12"/>
        <v>abe/no_mgmt.csv</v>
      </c>
      <c r="AC18" s="16" t="str">
        <f t="shared" si="13"/>
        <v>gis/WindModifier_cl3.asc</v>
      </c>
      <c r="AD18" s="16">
        <f t="shared" si="14"/>
        <v>7.6959355299492694E-9</v>
      </c>
      <c r="AE18" s="16" t="str">
        <f t="shared" si="17"/>
        <v>MPI-M-MPI-ESM-LR_historical_point31016</v>
      </c>
      <c r="AF18" s="16" t="str">
        <f t="shared" si="15"/>
        <v>wind_Events/Scaled_cl3_repl1.txt</v>
      </c>
      <c r="AG18" s="16" t="str">
        <f t="shared" si="16"/>
        <v>MPI-M-MPI-ESM-LR_Scaled_Cluster3_repl1</v>
      </c>
      <c r="AH18" s="16" t="s">
        <v>288</v>
      </c>
      <c r="AI18" s="16" t="s">
        <v>289</v>
      </c>
    </row>
    <row r="19" spans="1:35" ht="13.8">
      <c r="A19" s="7" t="str">
        <f t="shared" si="0"/>
        <v>NCC-NorESM1-M_Scaled_Cluster3_repl1</v>
      </c>
      <c r="B19" s="8" t="s">
        <v>16</v>
      </c>
      <c r="C19" s="8" t="s">
        <v>54</v>
      </c>
      <c r="D19" s="9" t="s">
        <v>17</v>
      </c>
      <c r="E19" s="9" t="str">
        <f t="shared" si="1"/>
        <v>historical</v>
      </c>
      <c r="F19" s="8">
        <v>350</v>
      </c>
      <c r="G19" s="8" t="s">
        <v>60</v>
      </c>
      <c r="H19" s="8">
        <v>3</v>
      </c>
      <c r="I19" s="8">
        <v>7.5959355299492701E-9</v>
      </c>
      <c r="J19" s="8">
        <v>3</v>
      </c>
      <c r="K19" s="8" t="s">
        <v>174</v>
      </c>
      <c r="L19" s="8">
        <v>1</v>
      </c>
      <c r="M19" s="8"/>
      <c r="N19" s="8">
        <v>1</v>
      </c>
      <c r="O19" s="10" t="s">
        <v>21</v>
      </c>
      <c r="P19" s="17" t="s">
        <v>59</v>
      </c>
      <c r="Q19" s="10" t="str">
        <f t="shared" si="2"/>
        <v>NCC-NorESM1-M_Scaled_Cluster3_repl1.sqlite</v>
      </c>
      <c r="R19" s="11">
        <f t="shared" si="3"/>
        <v>3</v>
      </c>
      <c r="S19" s="11">
        <v>0</v>
      </c>
      <c r="T19" s="16" t="str">
        <f t="shared" si="4"/>
        <v>climate_db_NCC-NorESM1-M_historical_v4.sqlite</v>
      </c>
      <c r="U19" s="16" t="str">
        <f t="shared" si="5"/>
        <v>log/NCC-NorESM1-M_Scaled_Cluster3_repl1.txt</v>
      </c>
      <c r="V19" s="16" t="str">
        <f t="shared" si="6"/>
        <v>init/env_file_CLUSTER03_REPL1_NCC-NorESM1-M_historical.csv</v>
      </c>
      <c r="W19" s="16" t="str">
        <f t="shared" si="7"/>
        <v>init/env_grid_CLUSTER03_REPL1.asc</v>
      </c>
      <c r="X19" s="16" t="str">
        <f t="shared" si="8"/>
        <v>init/env_grid_CLUSTER03_REPL1.asc</v>
      </c>
      <c r="Y19" s="16" t="str">
        <f t="shared" si="9"/>
        <v>trees_CLUSTER03.csv</v>
      </c>
      <c r="Z19" s="16" t="str">
        <f t="shared" si="10"/>
        <v>saplings_CLUSTER03.csv</v>
      </c>
      <c r="AA19" s="16">
        <f t="shared" si="11"/>
        <v>350</v>
      </c>
      <c r="AB19" s="16" t="str">
        <f t="shared" si="12"/>
        <v>abe/no_mgmt.csv</v>
      </c>
      <c r="AC19" s="16" t="str">
        <f t="shared" si="13"/>
        <v>gis/WindModifier_cl3.asc</v>
      </c>
      <c r="AD19" s="16">
        <f t="shared" si="14"/>
        <v>7.6959355299492694E-9</v>
      </c>
      <c r="AE19" s="16" t="str">
        <f t="shared" si="17"/>
        <v>NCC-NorESM1-M_historical_point31354</v>
      </c>
      <c r="AF19" s="16" t="str">
        <f t="shared" si="15"/>
        <v>wind_Events/Scaled_cl3_repl1.txt</v>
      </c>
      <c r="AG19" s="16" t="str">
        <f t="shared" si="16"/>
        <v>NCC-NorESM1-M_Scaled_Cluster3_repl1</v>
      </c>
      <c r="AH19" s="16" t="s">
        <v>290</v>
      </c>
      <c r="AI19" s="16" t="s">
        <v>291</v>
      </c>
    </row>
    <row r="20" spans="1:35" ht="13.8">
      <c r="A20" s="7" t="str">
        <f t="shared" si="0"/>
        <v>ICHEC-EC-EARTH_Scaled_Cluster3_repl2</v>
      </c>
      <c r="B20" s="8" t="s">
        <v>16</v>
      </c>
      <c r="C20" s="8" t="s">
        <v>54</v>
      </c>
      <c r="D20" s="9" t="s">
        <v>17</v>
      </c>
      <c r="E20" s="9" t="str">
        <f t="shared" si="1"/>
        <v>historical</v>
      </c>
      <c r="F20" s="8">
        <v>350</v>
      </c>
      <c r="G20" s="8" t="s">
        <v>18</v>
      </c>
      <c r="H20" s="8">
        <v>1</v>
      </c>
      <c r="I20" s="8">
        <v>7.5959355299492701E-9</v>
      </c>
      <c r="J20" s="8">
        <v>3</v>
      </c>
      <c r="K20" s="8" t="s">
        <v>158</v>
      </c>
      <c r="L20" s="8">
        <v>2</v>
      </c>
      <c r="M20" s="8"/>
      <c r="N20" s="8">
        <v>1</v>
      </c>
      <c r="O20" s="10" t="s">
        <v>21</v>
      </c>
      <c r="P20" s="17" t="s">
        <v>59</v>
      </c>
      <c r="Q20" s="10" t="str">
        <f t="shared" si="2"/>
        <v>ICHEC-EC-EARTH_Scaled_Cluster3_repl2.sqlite</v>
      </c>
      <c r="R20" s="11">
        <f t="shared" si="3"/>
        <v>4</v>
      </c>
      <c r="S20" s="11">
        <v>0</v>
      </c>
      <c r="T20" s="16" t="str">
        <f t="shared" si="4"/>
        <v>climate_db_ICHEC-EC-EARTH_historical_v4.sqlite</v>
      </c>
      <c r="U20" s="16" t="str">
        <f t="shared" si="5"/>
        <v>log/ICHEC-EC-EARTH_Scaled_Cluster3_repl2.txt</v>
      </c>
      <c r="V20" s="16" t="str">
        <f t="shared" si="6"/>
        <v>init/env_file_CLUSTER03_REPL2_ICHEC-EC-EARTH_historical.csv</v>
      </c>
      <c r="W20" s="16" t="str">
        <f t="shared" si="7"/>
        <v>init/env_grid_CLUSTER03_REPL2.asc</v>
      </c>
      <c r="X20" s="16" t="str">
        <f t="shared" si="8"/>
        <v>init/env_grid_CLUSTER03_REPL2.asc</v>
      </c>
      <c r="Y20" s="16" t="str">
        <f t="shared" si="9"/>
        <v>trees_CLUSTER03.csv</v>
      </c>
      <c r="Z20" s="16" t="str">
        <f t="shared" si="10"/>
        <v>saplings_CLUSTER03.csv</v>
      </c>
      <c r="AA20" s="16">
        <f t="shared" si="11"/>
        <v>350</v>
      </c>
      <c r="AB20" s="16" t="str">
        <f t="shared" si="12"/>
        <v>abe/no_mgmt.csv</v>
      </c>
      <c r="AC20" s="16" t="str">
        <f t="shared" si="13"/>
        <v>gis/WindModifier_cl3.asc</v>
      </c>
      <c r="AD20" s="16">
        <f t="shared" si="14"/>
        <v>7.6959355299492694E-9</v>
      </c>
      <c r="AE20" s="16" t="str">
        <f t="shared" si="17"/>
        <v>ICHEC-EC-EARTH_historical_point31016</v>
      </c>
      <c r="AF20" s="16" t="str">
        <f t="shared" si="15"/>
        <v>wind_Events/Scaled_cl3_repl2.txt</v>
      </c>
      <c r="AG20" s="16" t="str">
        <f t="shared" si="16"/>
        <v>ICHEC-EC-EARTH_Scaled_Cluster3_repl2</v>
      </c>
      <c r="AH20" s="16" t="s">
        <v>292</v>
      </c>
      <c r="AI20" s="16" t="s">
        <v>293</v>
      </c>
    </row>
    <row r="21" spans="1:35" ht="13.8">
      <c r="A21" s="7" t="str">
        <f t="shared" si="0"/>
        <v>MPI-M-MPI-ESM-LR_Scaled_Cluster3_repl2</v>
      </c>
      <c r="B21" s="8" t="s">
        <v>16</v>
      </c>
      <c r="C21" s="8" t="s">
        <v>54</v>
      </c>
      <c r="D21" s="9" t="s">
        <v>17</v>
      </c>
      <c r="E21" s="9" t="str">
        <f t="shared" si="1"/>
        <v>historical</v>
      </c>
      <c r="F21" s="8">
        <v>350</v>
      </c>
      <c r="G21" s="8" t="s">
        <v>63</v>
      </c>
      <c r="H21" s="8">
        <v>2</v>
      </c>
      <c r="I21" s="8">
        <v>7.5959355299492701E-9</v>
      </c>
      <c r="J21" s="8">
        <v>3</v>
      </c>
      <c r="K21" s="8" t="s">
        <v>158</v>
      </c>
      <c r="L21" s="8">
        <v>2</v>
      </c>
      <c r="M21" s="8"/>
      <c r="N21" s="8">
        <v>1</v>
      </c>
      <c r="O21" s="10" t="s">
        <v>21</v>
      </c>
      <c r="P21" s="17" t="s">
        <v>59</v>
      </c>
      <c r="Q21" s="10" t="str">
        <f t="shared" si="2"/>
        <v>MPI-M-MPI-ESM-LR_Scaled_Cluster3_repl2.sqlite</v>
      </c>
      <c r="R21" s="11">
        <f t="shared" si="3"/>
        <v>5</v>
      </c>
      <c r="S21" s="11">
        <v>0</v>
      </c>
      <c r="T21" s="16" t="str">
        <f t="shared" si="4"/>
        <v>climate_db_MPI-M-MPI-ESM-LR_historical_v4.sqlite</v>
      </c>
      <c r="U21" s="16" t="str">
        <f t="shared" si="5"/>
        <v>log/MPI-M-MPI-ESM-LR_Scaled_Cluster3_repl2.txt</v>
      </c>
      <c r="V21" s="16" t="str">
        <f t="shared" si="6"/>
        <v>init/env_file_CLUSTER03_REPL2_MPI-M-MPI-ESM-LR_historical.csv</v>
      </c>
      <c r="W21" s="16" t="str">
        <f t="shared" si="7"/>
        <v>init/env_grid_CLUSTER03_REPL2.asc</v>
      </c>
      <c r="X21" s="16" t="str">
        <f t="shared" si="8"/>
        <v>init/env_grid_CLUSTER03_REPL2.asc</v>
      </c>
      <c r="Y21" s="16" t="str">
        <f t="shared" si="9"/>
        <v>trees_CLUSTER03.csv</v>
      </c>
      <c r="Z21" s="16" t="str">
        <f t="shared" si="10"/>
        <v>saplings_CLUSTER03.csv</v>
      </c>
      <c r="AA21" s="16">
        <f t="shared" si="11"/>
        <v>350</v>
      </c>
      <c r="AB21" s="16" t="str">
        <f t="shared" si="12"/>
        <v>abe/no_mgmt.csv</v>
      </c>
      <c r="AC21" s="16" t="str">
        <f t="shared" si="13"/>
        <v>gis/WindModifier_cl3.asc</v>
      </c>
      <c r="AD21" s="16">
        <f t="shared" si="14"/>
        <v>7.6959355299492694E-9</v>
      </c>
      <c r="AE21" s="16" t="str">
        <f t="shared" si="17"/>
        <v>MPI-M-MPI-ESM-LR_historical_point31016</v>
      </c>
      <c r="AF21" s="16" t="str">
        <f t="shared" si="15"/>
        <v>wind_Events/Scaled_cl3_repl2.txt</v>
      </c>
      <c r="AG21" s="16" t="str">
        <f t="shared" si="16"/>
        <v>MPI-M-MPI-ESM-LR_Scaled_Cluster3_repl2</v>
      </c>
      <c r="AH21" s="16" t="s">
        <v>294</v>
      </c>
      <c r="AI21" s="16" t="s">
        <v>295</v>
      </c>
    </row>
    <row r="22" spans="1:35" ht="13.8">
      <c r="A22" s="7" t="str">
        <f t="shared" si="0"/>
        <v>NCC-NorESM1-M_Scaled_Cluster3_repl2</v>
      </c>
      <c r="B22" s="8" t="s">
        <v>16</v>
      </c>
      <c r="C22" s="8" t="s">
        <v>54</v>
      </c>
      <c r="D22" s="9" t="s">
        <v>17</v>
      </c>
      <c r="E22" s="9" t="str">
        <f t="shared" si="1"/>
        <v>historical</v>
      </c>
      <c r="F22" s="8">
        <v>350</v>
      </c>
      <c r="G22" s="8" t="s">
        <v>60</v>
      </c>
      <c r="H22" s="8">
        <v>3</v>
      </c>
      <c r="I22" s="8">
        <v>7.5959355299492701E-9</v>
      </c>
      <c r="J22" s="8">
        <v>3</v>
      </c>
      <c r="K22" s="8" t="s">
        <v>174</v>
      </c>
      <c r="L22" s="8">
        <v>2</v>
      </c>
      <c r="M22" s="8"/>
      <c r="N22" s="8">
        <v>1</v>
      </c>
      <c r="O22" s="10" t="s">
        <v>21</v>
      </c>
      <c r="P22" s="17" t="s">
        <v>59</v>
      </c>
      <c r="Q22" s="10" t="str">
        <f t="shared" si="2"/>
        <v>NCC-NorESM1-M_Scaled_Cluster3_repl2.sqlite</v>
      </c>
      <c r="R22" s="11">
        <f t="shared" si="3"/>
        <v>6</v>
      </c>
      <c r="S22" s="11">
        <v>0</v>
      </c>
      <c r="T22" s="16" t="str">
        <f t="shared" si="4"/>
        <v>climate_db_NCC-NorESM1-M_historical_v4.sqlite</v>
      </c>
      <c r="U22" s="16" t="str">
        <f t="shared" si="5"/>
        <v>log/NCC-NorESM1-M_Scaled_Cluster3_repl2.txt</v>
      </c>
      <c r="V22" s="16" t="str">
        <f t="shared" si="6"/>
        <v>init/env_file_CLUSTER03_REPL2_NCC-NorESM1-M_historical.csv</v>
      </c>
      <c r="W22" s="16" t="str">
        <f t="shared" si="7"/>
        <v>init/env_grid_CLUSTER03_REPL2.asc</v>
      </c>
      <c r="X22" s="16" t="str">
        <f t="shared" si="8"/>
        <v>init/env_grid_CLUSTER03_REPL2.asc</v>
      </c>
      <c r="Y22" s="16" t="str">
        <f t="shared" si="9"/>
        <v>trees_CLUSTER03.csv</v>
      </c>
      <c r="Z22" s="16" t="str">
        <f t="shared" si="10"/>
        <v>saplings_CLUSTER03.csv</v>
      </c>
      <c r="AA22" s="16">
        <f t="shared" si="11"/>
        <v>350</v>
      </c>
      <c r="AB22" s="16" t="str">
        <f t="shared" si="12"/>
        <v>abe/no_mgmt.csv</v>
      </c>
      <c r="AC22" s="16" t="str">
        <f t="shared" si="13"/>
        <v>gis/WindModifier_cl3.asc</v>
      </c>
      <c r="AD22" s="16">
        <f t="shared" si="14"/>
        <v>7.6959355299492694E-9</v>
      </c>
      <c r="AE22" s="16" t="str">
        <f t="shared" si="17"/>
        <v>NCC-NorESM1-M_historical_point31354</v>
      </c>
      <c r="AF22" s="16" t="str">
        <f t="shared" si="15"/>
        <v>wind_Events/Scaled_cl3_repl2.txt</v>
      </c>
      <c r="AG22" s="16" t="str">
        <f t="shared" si="16"/>
        <v>NCC-NorESM1-M_Scaled_Cluster3_repl2</v>
      </c>
      <c r="AH22" s="16" t="s">
        <v>296</v>
      </c>
      <c r="AI22" s="16" t="s">
        <v>297</v>
      </c>
    </row>
    <row r="23" spans="1:35" ht="13.8">
      <c r="A23" s="7" t="str">
        <f t="shared" si="0"/>
        <v>ICHEC-EC-EARTH_Scaled_Cluster3_repl3</v>
      </c>
      <c r="B23" s="8" t="s">
        <v>16</v>
      </c>
      <c r="C23" s="8" t="s">
        <v>54</v>
      </c>
      <c r="D23" s="9" t="s">
        <v>17</v>
      </c>
      <c r="E23" s="9" t="str">
        <f t="shared" si="1"/>
        <v>historical</v>
      </c>
      <c r="F23" s="8">
        <v>350</v>
      </c>
      <c r="G23" s="8" t="s">
        <v>18</v>
      </c>
      <c r="H23" s="8">
        <v>1</v>
      </c>
      <c r="I23" s="8">
        <v>7.5959355299492701E-9</v>
      </c>
      <c r="J23" s="8">
        <v>3</v>
      </c>
      <c r="K23" s="8" t="s">
        <v>158</v>
      </c>
      <c r="L23" s="8">
        <v>3</v>
      </c>
      <c r="M23" s="8"/>
      <c r="N23" s="8">
        <v>1</v>
      </c>
      <c r="O23" s="10" t="s">
        <v>21</v>
      </c>
      <c r="P23" s="17" t="s">
        <v>59</v>
      </c>
      <c r="Q23" s="10" t="str">
        <f t="shared" si="2"/>
        <v>ICHEC-EC-EARTH_Scaled_Cluster3_repl3.sqlite</v>
      </c>
      <c r="R23" s="11">
        <f t="shared" si="3"/>
        <v>7</v>
      </c>
      <c r="S23" s="11">
        <v>0</v>
      </c>
      <c r="T23" s="16" t="str">
        <f t="shared" si="4"/>
        <v>climate_db_ICHEC-EC-EARTH_historical_v4.sqlite</v>
      </c>
      <c r="U23" s="16" t="str">
        <f t="shared" si="5"/>
        <v>log/ICHEC-EC-EARTH_Scaled_Cluster3_repl3.txt</v>
      </c>
      <c r="V23" s="16" t="str">
        <f t="shared" si="6"/>
        <v>init/env_file_CLUSTER03_REPL3_ICHEC-EC-EARTH_historical.csv</v>
      </c>
      <c r="W23" s="16" t="str">
        <f t="shared" si="7"/>
        <v>init/env_grid_CLUSTER03_REPL3.asc</v>
      </c>
      <c r="X23" s="16" t="str">
        <f t="shared" si="8"/>
        <v>init/env_grid_CLUSTER03_REPL3.asc</v>
      </c>
      <c r="Y23" s="16" t="str">
        <f t="shared" si="9"/>
        <v>trees_CLUSTER03.csv</v>
      </c>
      <c r="Z23" s="16" t="str">
        <f t="shared" si="10"/>
        <v>saplings_CLUSTER03.csv</v>
      </c>
      <c r="AA23" s="16">
        <f t="shared" si="11"/>
        <v>350</v>
      </c>
      <c r="AB23" s="16" t="str">
        <f t="shared" si="12"/>
        <v>abe/no_mgmt.csv</v>
      </c>
      <c r="AC23" s="16" t="str">
        <f t="shared" si="13"/>
        <v>gis/WindModifier_cl3.asc</v>
      </c>
      <c r="AD23" s="16">
        <f t="shared" si="14"/>
        <v>7.6959355299492694E-9</v>
      </c>
      <c r="AE23" s="16" t="str">
        <f t="shared" si="17"/>
        <v>ICHEC-EC-EARTH_historical_point31016</v>
      </c>
      <c r="AF23" s="16" t="str">
        <f t="shared" si="15"/>
        <v>wind_Events/Scaled_cl3_repl3.txt</v>
      </c>
      <c r="AG23" s="16" t="str">
        <f t="shared" si="16"/>
        <v>ICHEC-EC-EARTH_Scaled_Cluster3_repl3</v>
      </c>
      <c r="AH23" s="16" t="s">
        <v>298</v>
      </c>
      <c r="AI23" s="16" t="s">
        <v>299</v>
      </c>
    </row>
    <row r="24" spans="1:35" ht="13.8">
      <c r="A24" s="7" t="str">
        <f t="shared" si="0"/>
        <v>MPI-M-MPI-ESM-LR_Scaled_Cluster3_repl3</v>
      </c>
      <c r="B24" s="8" t="s">
        <v>16</v>
      </c>
      <c r="C24" s="8" t="s">
        <v>54</v>
      </c>
      <c r="D24" s="9" t="s">
        <v>17</v>
      </c>
      <c r="E24" s="9" t="str">
        <f t="shared" si="1"/>
        <v>historical</v>
      </c>
      <c r="F24" s="8">
        <v>350</v>
      </c>
      <c r="G24" s="8" t="s">
        <v>63</v>
      </c>
      <c r="H24" s="8">
        <v>2</v>
      </c>
      <c r="I24" s="8">
        <v>7.5959355299492701E-9</v>
      </c>
      <c r="J24" s="8">
        <v>3</v>
      </c>
      <c r="K24" s="8" t="s">
        <v>158</v>
      </c>
      <c r="L24" s="8">
        <v>3</v>
      </c>
      <c r="M24" s="8"/>
      <c r="N24" s="8">
        <v>1</v>
      </c>
      <c r="O24" s="10" t="s">
        <v>21</v>
      </c>
      <c r="P24" s="17" t="s">
        <v>59</v>
      </c>
      <c r="Q24" s="10" t="str">
        <f t="shared" si="2"/>
        <v>MPI-M-MPI-ESM-LR_Scaled_Cluster3_repl3.sqlite</v>
      </c>
      <c r="R24" s="11">
        <f t="shared" si="3"/>
        <v>8</v>
      </c>
      <c r="S24" s="11">
        <v>0</v>
      </c>
      <c r="T24" s="16" t="str">
        <f t="shared" si="4"/>
        <v>climate_db_MPI-M-MPI-ESM-LR_historical_v4.sqlite</v>
      </c>
      <c r="U24" s="16" t="str">
        <f t="shared" si="5"/>
        <v>log/MPI-M-MPI-ESM-LR_Scaled_Cluster3_repl3.txt</v>
      </c>
      <c r="V24" s="16" t="str">
        <f t="shared" si="6"/>
        <v>init/env_file_CLUSTER03_REPL3_MPI-M-MPI-ESM-LR_historical.csv</v>
      </c>
      <c r="W24" s="16" t="str">
        <f t="shared" si="7"/>
        <v>init/env_grid_CLUSTER03_REPL3.asc</v>
      </c>
      <c r="X24" s="16" t="str">
        <f t="shared" si="8"/>
        <v>init/env_grid_CLUSTER03_REPL3.asc</v>
      </c>
      <c r="Y24" s="16" t="str">
        <f t="shared" si="9"/>
        <v>trees_CLUSTER03.csv</v>
      </c>
      <c r="Z24" s="16" t="str">
        <f t="shared" si="10"/>
        <v>saplings_CLUSTER03.csv</v>
      </c>
      <c r="AA24" s="16">
        <f t="shared" si="11"/>
        <v>350</v>
      </c>
      <c r="AB24" s="16" t="str">
        <f t="shared" si="12"/>
        <v>abe/no_mgmt.csv</v>
      </c>
      <c r="AC24" s="16" t="str">
        <f t="shared" si="13"/>
        <v>gis/WindModifier_cl3.asc</v>
      </c>
      <c r="AD24" s="16">
        <f t="shared" si="14"/>
        <v>7.6959355299492694E-9</v>
      </c>
      <c r="AE24" s="16" t="str">
        <f t="shared" si="17"/>
        <v>MPI-M-MPI-ESM-LR_historical_point31016</v>
      </c>
      <c r="AF24" s="16" t="str">
        <f t="shared" si="15"/>
        <v>wind_Events/Scaled_cl3_repl3.txt</v>
      </c>
      <c r="AG24" s="16" t="str">
        <f t="shared" si="16"/>
        <v>MPI-M-MPI-ESM-LR_Scaled_Cluster3_repl3</v>
      </c>
      <c r="AH24" s="16" t="s">
        <v>300</v>
      </c>
      <c r="AI24" s="16" t="s">
        <v>301</v>
      </c>
    </row>
    <row r="25" spans="1:35" ht="13.8">
      <c r="A25" s="7" t="str">
        <f t="shared" si="0"/>
        <v>NCC-NorESM1-M_Scaled_Cluster3_repl3</v>
      </c>
      <c r="B25" s="8" t="s">
        <v>16</v>
      </c>
      <c r="C25" s="8" t="s">
        <v>54</v>
      </c>
      <c r="D25" s="9" t="s">
        <v>17</v>
      </c>
      <c r="E25" s="9" t="str">
        <f t="shared" si="1"/>
        <v>historical</v>
      </c>
      <c r="F25" s="8">
        <v>350</v>
      </c>
      <c r="G25" s="8" t="s">
        <v>60</v>
      </c>
      <c r="H25" s="8">
        <v>3</v>
      </c>
      <c r="I25" s="8">
        <v>7.5959355299492701E-9</v>
      </c>
      <c r="J25" s="8">
        <v>3</v>
      </c>
      <c r="K25" s="8" t="s">
        <v>174</v>
      </c>
      <c r="L25" s="8">
        <v>3</v>
      </c>
      <c r="M25" s="8"/>
      <c r="N25" s="8">
        <v>1</v>
      </c>
      <c r="O25" s="10" t="s">
        <v>21</v>
      </c>
      <c r="P25" s="17" t="s">
        <v>59</v>
      </c>
      <c r="Q25" s="10" t="str">
        <f t="shared" si="2"/>
        <v>NCC-NorESM1-M_Scaled_Cluster3_repl3.sqlite</v>
      </c>
      <c r="R25" s="11">
        <f t="shared" si="3"/>
        <v>9</v>
      </c>
      <c r="S25" s="11">
        <v>0</v>
      </c>
      <c r="T25" s="16" t="str">
        <f t="shared" si="4"/>
        <v>climate_db_NCC-NorESM1-M_historical_v4.sqlite</v>
      </c>
      <c r="U25" s="16" t="str">
        <f t="shared" si="5"/>
        <v>log/NCC-NorESM1-M_Scaled_Cluster3_repl3.txt</v>
      </c>
      <c r="V25" s="16" t="str">
        <f t="shared" si="6"/>
        <v>init/env_file_CLUSTER03_REPL3_NCC-NorESM1-M_historical.csv</v>
      </c>
      <c r="W25" s="16" t="str">
        <f t="shared" si="7"/>
        <v>init/env_grid_CLUSTER03_REPL3.asc</v>
      </c>
      <c r="X25" s="16" t="str">
        <f t="shared" si="8"/>
        <v>init/env_grid_CLUSTER03_REPL3.asc</v>
      </c>
      <c r="Y25" s="16" t="str">
        <f t="shared" si="9"/>
        <v>trees_CLUSTER03.csv</v>
      </c>
      <c r="Z25" s="16" t="str">
        <f t="shared" si="10"/>
        <v>saplings_CLUSTER03.csv</v>
      </c>
      <c r="AA25" s="16">
        <f t="shared" si="11"/>
        <v>350</v>
      </c>
      <c r="AB25" s="16" t="str">
        <f t="shared" si="12"/>
        <v>abe/no_mgmt.csv</v>
      </c>
      <c r="AC25" s="16" t="str">
        <f t="shared" si="13"/>
        <v>gis/WindModifier_cl3.asc</v>
      </c>
      <c r="AD25" s="16">
        <f t="shared" si="14"/>
        <v>7.6959355299492694E-9</v>
      </c>
      <c r="AE25" s="16" t="str">
        <f t="shared" si="17"/>
        <v>NCC-NorESM1-M_historical_point31354</v>
      </c>
      <c r="AF25" s="16" t="str">
        <f t="shared" si="15"/>
        <v>wind_Events/Scaled_cl3_repl3.txt</v>
      </c>
      <c r="AG25" s="16" t="str">
        <f t="shared" si="16"/>
        <v>NCC-NorESM1-M_Scaled_Cluster3_repl3</v>
      </c>
      <c r="AH25" s="16" t="s">
        <v>302</v>
      </c>
      <c r="AI25" s="16" t="s">
        <v>303</v>
      </c>
    </row>
    <row r="26" spans="1:35" ht="13.8">
      <c r="A26" s="7" t="str">
        <f t="shared" si="0"/>
        <v>ICHEC-EC-EARTH_Scaled_Cluster3_repl4</v>
      </c>
      <c r="B26" s="8" t="s">
        <v>16</v>
      </c>
      <c r="C26" s="8" t="s">
        <v>54</v>
      </c>
      <c r="D26" s="9" t="s">
        <v>17</v>
      </c>
      <c r="E26" s="9" t="str">
        <f t="shared" si="1"/>
        <v>historical</v>
      </c>
      <c r="F26" s="8">
        <v>350</v>
      </c>
      <c r="G26" s="8" t="s">
        <v>18</v>
      </c>
      <c r="H26" s="8">
        <v>1</v>
      </c>
      <c r="I26" s="8">
        <v>7.5959355299492701E-9</v>
      </c>
      <c r="J26" s="8">
        <v>3</v>
      </c>
      <c r="K26" s="8" t="s">
        <v>158</v>
      </c>
      <c r="L26" s="8">
        <v>4</v>
      </c>
      <c r="M26" s="8"/>
      <c r="N26" s="8">
        <v>1</v>
      </c>
      <c r="O26" s="10" t="s">
        <v>21</v>
      </c>
      <c r="P26" s="17" t="s">
        <v>59</v>
      </c>
      <c r="Q26" s="10" t="str">
        <f t="shared" si="2"/>
        <v>ICHEC-EC-EARTH_Scaled_Cluster3_repl4.sqlite</v>
      </c>
      <c r="R26" s="11">
        <f t="shared" si="3"/>
        <v>10</v>
      </c>
      <c r="S26" s="11">
        <v>0</v>
      </c>
      <c r="T26" s="16" t="str">
        <f t="shared" si="4"/>
        <v>climate_db_ICHEC-EC-EARTH_historical_v4.sqlite</v>
      </c>
      <c r="U26" s="16" t="str">
        <f t="shared" si="5"/>
        <v>log/ICHEC-EC-EARTH_Scaled_Cluster3_repl4.txt</v>
      </c>
      <c r="V26" s="16" t="str">
        <f t="shared" si="6"/>
        <v>init/env_file_CLUSTER03_REPL4_ICHEC-EC-EARTH_historical.csv</v>
      </c>
      <c r="W26" s="16" t="str">
        <f t="shared" si="7"/>
        <v>init/env_grid_CLUSTER03_REPL4.asc</v>
      </c>
      <c r="X26" s="16" t="str">
        <f t="shared" si="8"/>
        <v>init/env_grid_CLUSTER03_REPL4.asc</v>
      </c>
      <c r="Y26" s="16" t="str">
        <f t="shared" si="9"/>
        <v>trees_CLUSTER03.csv</v>
      </c>
      <c r="Z26" s="16" t="str">
        <f t="shared" si="10"/>
        <v>saplings_CLUSTER03.csv</v>
      </c>
      <c r="AA26" s="16">
        <f t="shared" si="11"/>
        <v>350</v>
      </c>
      <c r="AB26" s="16" t="str">
        <f t="shared" si="12"/>
        <v>abe/no_mgmt.csv</v>
      </c>
      <c r="AC26" s="16" t="str">
        <f t="shared" si="13"/>
        <v>gis/WindModifier_cl3.asc</v>
      </c>
      <c r="AD26" s="16">
        <f t="shared" si="14"/>
        <v>7.6959355299492694E-9</v>
      </c>
      <c r="AE26" s="16" t="str">
        <f t="shared" si="17"/>
        <v>ICHEC-EC-EARTH_historical_point31016</v>
      </c>
      <c r="AF26" s="16" t="str">
        <f t="shared" si="15"/>
        <v>wind_Events/Scaled_cl3_repl4.txt</v>
      </c>
      <c r="AG26" s="16" t="str">
        <f t="shared" si="16"/>
        <v>ICHEC-EC-EARTH_Scaled_Cluster3_repl4</v>
      </c>
      <c r="AH26" s="16" t="s">
        <v>304</v>
      </c>
      <c r="AI26" s="16" t="s">
        <v>305</v>
      </c>
    </row>
    <row r="27" spans="1:35" ht="13.8">
      <c r="A27" s="7" t="str">
        <f t="shared" si="0"/>
        <v>MPI-M-MPI-ESM-LR_Scaled_Cluster3_repl4</v>
      </c>
      <c r="B27" s="8" t="s">
        <v>16</v>
      </c>
      <c r="C27" s="8" t="s">
        <v>54</v>
      </c>
      <c r="D27" s="9" t="s">
        <v>17</v>
      </c>
      <c r="E27" s="9" t="str">
        <f t="shared" si="1"/>
        <v>historical</v>
      </c>
      <c r="F27" s="8">
        <v>350</v>
      </c>
      <c r="G27" s="8" t="s">
        <v>63</v>
      </c>
      <c r="H27" s="8">
        <v>2</v>
      </c>
      <c r="I27" s="8">
        <v>7.5959355299492701E-9</v>
      </c>
      <c r="J27" s="8">
        <v>3</v>
      </c>
      <c r="K27" s="8" t="s">
        <v>158</v>
      </c>
      <c r="L27" s="8">
        <v>4</v>
      </c>
      <c r="M27" s="8"/>
      <c r="N27" s="8">
        <v>1</v>
      </c>
      <c r="O27" s="10" t="s">
        <v>21</v>
      </c>
      <c r="P27" s="17" t="s">
        <v>59</v>
      </c>
      <c r="Q27" s="10" t="str">
        <f t="shared" si="2"/>
        <v>MPI-M-MPI-ESM-LR_Scaled_Cluster3_repl4.sqlite</v>
      </c>
      <c r="R27" s="11">
        <f t="shared" si="3"/>
        <v>11</v>
      </c>
      <c r="S27" s="11">
        <v>0</v>
      </c>
      <c r="T27" s="16" t="str">
        <f t="shared" si="4"/>
        <v>climate_db_MPI-M-MPI-ESM-LR_historical_v4.sqlite</v>
      </c>
      <c r="U27" s="16" t="str">
        <f t="shared" si="5"/>
        <v>log/MPI-M-MPI-ESM-LR_Scaled_Cluster3_repl4.txt</v>
      </c>
      <c r="V27" s="16" t="str">
        <f t="shared" si="6"/>
        <v>init/env_file_CLUSTER03_REPL4_MPI-M-MPI-ESM-LR_historical.csv</v>
      </c>
      <c r="W27" s="16" t="str">
        <f t="shared" si="7"/>
        <v>init/env_grid_CLUSTER03_REPL4.asc</v>
      </c>
      <c r="X27" s="16" t="str">
        <f t="shared" si="8"/>
        <v>init/env_grid_CLUSTER03_REPL4.asc</v>
      </c>
      <c r="Y27" s="16" t="str">
        <f t="shared" si="9"/>
        <v>trees_CLUSTER03.csv</v>
      </c>
      <c r="Z27" s="16" t="str">
        <f t="shared" si="10"/>
        <v>saplings_CLUSTER03.csv</v>
      </c>
      <c r="AA27" s="16">
        <f t="shared" si="11"/>
        <v>350</v>
      </c>
      <c r="AB27" s="16" t="str">
        <f t="shared" si="12"/>
        <v>abe/no_mgmt.csv</v>
      </c>
      <c r="AC27" s="16" t="str">
        <f t="shared" si="13"/>
        <v>gis/WindModifier_cl3.asc</v>
      </c>
      <c r="AD27" s="16">
        <f t="shared" si="14"/>
        <v>7.6959355299492694E-9</v>
      </c>
      <c r="AE27" s="16" t="str">
        <f t="shared" si="17"/>
        <v>MPI-M-MPI-ESM-LR_historical_point31016</v>
      </c>
      <c r="AF27" s="16" t="str">
        <f t="shared" si="15"/>
        <v>wind_Events/Scaled_cl3_repl4.txt</v>
      </c>
      <c r="AG27" s="16" t="str">
        <f t="shared" si="16"/>
        <v>MPI-M-MPI-ESM-LR_Scaled_Cluster3_repl4</v>
      </c>
      <c r="AH27" s="16" t="s">
        <v>306</v>
      </c>
      <c r="AI27" s="16" t="s">
        <v>307</v>
      </c>
    </row>
    <row r="28" spans="1:35" ht="13.8">
      <c r="A28" s="7" t="str">
        <f t="shared" si="0"/>
        <v>NCC-NorESM1-M_Scaled_Cluster3_repl4</v>
      </c>
      <c r="B28" s="8" t="s">
        <v>16</v>
      </c>
      <c r="C28" s="8" t="s">
        <v>54</v>
      </c>
      <c r="D28" s="9" t="s">
        <v>17</v>
      </c>
      <c r="E28" s="9" t="str">
        <f t="shared" si="1"/>
        <v>historical</v>
      </c>
      <c r="F28" s="8">
        <v>350</v>
      </c>
      <c r="G28" s="8" t="s">
        <v>60</v>
      </c>
      <c r="H28" s="8">
        <v>3</v>
      </c>
      <c r="I28" s="8">
        <v>7.5959355299492701E-9</v>
      </c>
      <c r="J28" s="8">
        <v>3</v>
      </c>
      <c r="K28" s="8" t="s">
        <v>174</v>
      </c>
      <c r="L28" s="8">
        <v>4</v>
      </c>
      <c r="M28" s="8"/>
      <c r="N28" s="8">
        <v>1</v>
      </c>
      <c r="O28" s="10" t="s">
        <v>21</v>
      </c>
      <c r="P28" s="17" t="s">
        <v>59</v>
      </c>
      <c r="Q28" s="10" t="str">
        <f t="shared" si="2"/>
        <v>NCC-NorESM1-M_Scaled_Cluster3_repl4.sqlite</v>
      </c>
      <c r="R28" s="11">
        <f t="shared" si="3"/>
        <v>12</v>
      </c>
      <c r="S28" s="11">
        <v>0</v>
      </c>
      <c r="T28" s="16" t="str">
        <f t="shared" si="4"/>
        <v>climate_db_NCC-NorESM1-M_historical_v4.sqlite</v>
      </c>
      <c r="U28" s="16" t="str">
        <f t="shared" si="5"/>
        <v>log/NCC-NorESM1-M_Scaled_Cluster3_repl4.txt</v>
      </c>
      <c r="V28" s="16" t="str">
        <f t="shared" si="6"/>
        <v>init/env_file_CLUSTER03_REPL4_NCC-NorESM1-M_historical.csv</v>
      </c>
      <c r="W28" s="16" t="str">
        <f t="shared" si="7"/>
        <v>init/env_grid_CLUSTER03_REPL4.asc</v>
      </c>
      <c r="X28" s="16" t="str">
        <f t="shared" si="8"/>
        <v>init/env_grid_CLUSTER03_REPL4.asc</v>
      </c>
      <c r="Y28" s="16" t="str">
        <f t="shared" si="9"/>
        <v>trees_CLUSTER03.csv</v>
      </c>
      <c r="Z28" s="16" t="str">
        <f t="shared" si="10"/>
        <v>saplings_CLUSTER03.csv</v>
      </c>
      <c r="AA28" s="16">
        <f t="shared" si="11"/>
        <v>350</v>
      </c>
      <c r="AB28" s="16" t="str">
        <f t="shared" si="12"/>
        <v>abe/no_mgmt.csv</v>
      </c>
      <c r="AC28" s="16" t="str">
        <f t="shared" si="13"/>
        <v>gis/WindModifier_cl3.asc</v>
      </c>
      <c r="AD28" s="16">
        <f t="shared" si="14"/>
        <v>7.6959355299492694E-9</v>
      </c>
      <c r="AE28" s="16" t="str">
        <f t="shared" si="17"/>
        <v>NCC-NorESM1-M_historical_point31354</v>
      </c>
      <c r="AF28" s="16" t="str">
        <f t="shared" si="15"/>
        <v>wind_Events/Scaled_cl3_repl4.txt</v>
      </c>
      <c r="AG28" s="16" t="str">
        <f t="shared" si="16"/>
        <v>NCC-NorESM1-M_Scaled_Cluster3_repl4</v>
      </c>
      <c r="AH28" s="16" t="s">
        <v>308</v>
      </c>
      <c r="AI28" s="16" t="s">
        <v>309</v>
      </c>
    </row>
    <row r="29" spans="1:35" ht="13.8">
      <c r="A29" s="7" t="str">
        <f t="shared" si="0"/>
        <v>ICHEC-EC-EARTH_Scaled_Cluster3_repl5</v>
      </c>
      <c r="B29" s="8" t="s">
        <v>16</v>
      </c>
      <c r="C29" s="8" t="s">
        <v>54</v>
      </c>
      <c r="D29" s="9" t="s">
        <v>17</v>
      </c>
      <c r="E29" s="9" t="str">
        <f t="shared" si="1"/>
        <v>historical</v>
      </c>
      <c r="F29" s="8">
        <v>350</v>
      </c>
      <c r="G29" s="8" t="s">
        <v>18</v>
      </c>
      <c r="H29" s="8">
        <v>1</v>
      </c>
      <c r="I29" s="8">
        <v>7.5959355299492701E-9</v>
      </c>
      <c r="J29" s="8">
        <v>3</v>
      </c>
      <c r="K29" s="8" t="s">
        <v>158</v>
      </c>
      <c r="L29" s="8">
        <v>5</v>
      </c>
      <c r="M29" s="8"/>
      <c r="N29" s="8">
        <v>1</v>
      </c>
      <c r="O29" s="10" t="s">
        <v>21</v>
      </c>
      <c r="P29" s="17" t="s">
        <v>59</v>
      </c>
      <c r="Q29" s="10" t="str">
        <f t="shared" si="2"/>
        <v>ICHEC-EC-EARTH_Scaled_Cluster3_repl5.sqlite</v>
      </c>
      <c r="R29" s="11">
        <f t="shared" si="3"/>
        <v>13</v>
      </c>
      <c r="S29" s="11">
        <v>0</v>
      </c>
      <c r="T29" s="16" t="str">
        <f t="shared" si="4"/>
        <v>climate_db_ICHEC-EC-EARTH_historical_v4.sqlite</v>
      </c>
      <c r="U29" s="16" t="str">
        <f t="shared" si="5"/>
        <v>log/ICHEC-EC-EARTH_Scaled_Cluster3_repl5.txt</v>
      </c>
      <c r="V29" s="16" t="str">
        <f t="shared" si="6"/>
        <v>init/env_file_CLUSTER03_REPL5_ICHEC-EC-EARTH_historical.csv</v>
      </c>
      <c r="W29" s="16" t="str">
        <f t="shared" si="7"/>
        <v>init/env_grid_CLUSTER03_REPL5.asc</v>
      </c>
      <c r="X29" s="16" t="str">
        <f t="shared" si="8"/>
        <v>init/env_grid_CLUSTER03_REPL5.asc</v>
      </c>
      <c r="Y29" s="16" t="str">
        <f t="shared" si="9"/>
        <v>trees_CLUSTER03.csv</v>
      </c>
      <c r="Z29" s="16" t="str">
        <f t="shared" si="10"/>
        <v>saplings_CLUSTER03.csv</v>
      </c>
      <c r="AA29" s="16">
        <f t="shared" si="11"/>
        <v>350</v>
      </c>
      <c r="AB29" s="16" t="str">
        <f t="shared" si="12"/>
        <v>abe/no_mgmt.csv</v>
      </c>
      <c r="AC29" s="16" t="str">
        <f t="shared" si="13"/>
        <v>gis/WindModifier_cl3.asc</v>
      </c>
      <c r="AD29" s="16">
        <f t="shared" si="14"/>
        <v>7.6959355299492694E-9</v>
      </c>
      <c r="AE29" s="16" t="str">
        <f t="shared" si="17"/>
        <v>ICHEC-EC-EARTH_historical_point31016</v>
      </c>
      <c r="AF29" s="16" t="str">
        <f t="shared" si="15"/>
        <v>wind_Events/Scaled_cl3_repl5.txt</v>
      </c>
      <c r="AG29" s="16" t="str">
        <f t="shared" si="16"/>
        <v>ICHEC-EC-EARTH_Scaled_Cluster3_repl5</v>
      </c>
      <c r="AH29" s="16" t="s">
        <v>310</v>
      </c>
      <c r="AI29" s="16" t="s">
        <v>311</v>
      </c>
    </row>
    <row r="30" spans="1:35" ht="13.8">
      <c r="A30" s="7" t="str">
        <f t="shared" si="0"/>
        <v>MPI-M-MPI-ESM-LR_Scaled_Cluster3_repl5</v>
      </c>
      <c r="B30" s="8" t="s">
        <v>16</v>
      </c>
      <c r="C30" s="8" t="s">
        <v>54</v>
      </c>
      <c r="D30" s="9" t="s">
        <v>17</v>
      </c>
      <c r="E30" s="9" t="str">
        <f t="shared" si="1"/>
        <v>historical</v>
      </c>
      <c r="F30" s="8">
        <v>350</v>
      </c>
      <c r="G30" s="8" t="s">
        <v>63</v>
      </c>
      <c r="H30" s="8">
        <v>2</v>
      </c>
      <c r="I30" s="8">
        <v>7.5959355299492701E-9</v>
      </c>
      <c r="J30" s="8">
        <v>3</v>
      </c>
      <c r="K30" s="8" t="s">
        <v>158</v>
      </c>
      <c r="L30" s="8">
        <v>5</v>
      </c>
      <c r="M30" s="8"/>
      <c r="N30" s="8">
        <v>1</v>
      </c>
      <c r="O30" s="10" t="s">
        <v>21</v>
      </c>
      <c r="P30" s="17" t="s">
        <v>59</v>
      </c>
      <c r="Q30" s="10" t="str">
        <f t="shared" si="2"/>
        <v>MPI-M-MPI-ESM-LR_Scaled_Cluster3_repl5.sqlite</v>
      </c>
      <c r="R30" s="11">
        <f t="shared" si="3"/>
        <v>14</v>
      </c>
      <c r="S30" s="11">
        <v>0</v>
      </c>
      <c r="T30" s="16" t="str">
        <f t="shared" si="4"/>
        <v>climate_db_MPI-M-MPI-ESM-LR_historical_v4.sqlite</v>
      </c>
      <c r="U30" s="16" t="str">
        <f t="shared" si="5"/>
        <v>log/MPI-M-MPI-ESM-LR_Scaled_Cluster3_repl5.txt</v>
      </c>
      <c r="V30" s="16" t="str">
        <f t="shared" si="6"/>
        <v>init/env_file_CLUSTER03_REPL5_MPI-M-MPI-ESM-LR_historical.csv</v>
      </c>
      <c r="W30" s="16" t="str">
        <f t="shared" si="7"/>
        <v>init/env_grid_CLUSTER03_REPL5.asc</v>
      </c>
      <c r="X30" s="16" t="str">
        <f t="shared" si="8"/>
        <v>init/env_grid_CLUSTER03_REPL5.asc</v>
      </c>
      <c r="Y30" s="16" t="str">
        <f t="shared" si="9"/>
        <v>trees_CLUSTER03.csv</v>
      </c>
      <c r="Z30" s="16" t="str">
        <f t="shared" si="10"/>
        <v>saplings_CLUSTER03.csv</v>
      </c>
      <c r="AA30" s="16">
        <f t="shared" si="11"/>
        <v>350</v>
      </c>
      <c r="AB30" s="16" t="str">
        <f t="shared" si="12"/>
        <v>abe/no_mgmt.csv</v>
      </c>
      <c r="AC30" s="16" t="str">
        <f t="shared" si="13"/>
        <v>gis/WindModifier_cl3.asc</v>
      </c>
      <c r="AD30" s="16">
        <f t="shared" si="14"/>
        <v>7.6959355299492694E-9</v>
      </c>
      <c r="AE30" s="16" t="str">
        <f t="shared" si="17"/>
        <v>MPI-M-MPI-ESM-LR_historical_point31016</v>
      </c>
      <c r="AF30" s="16" t="str">
        <f t="shared" si="15"/>
        <v>wind_Events/Scaled_cl3_repl5.txt</v>
      </c>
      <c r="AG30" s="16" t="str">
        <f t="shared" si="16"/>
        <v>MPI-M-MPI-ESM-LR_Scaled_Cluster3_repl5</v>
      </c>
      <c r="AH30" s="16" t="s">
        <v>312</v>
      </c>
      <c r="AI30" s="16" t="s">
        <v>313</v>
      </c>
    </row>
    <row r="31" spans="1:35" ht="13.8">
      <c r="A31" s="7" t="str">
        <f t="shared" si="0"/>
        <v>NCC-NorESM1-M_Scaled_Cluster3_repl5</v>
      </c>
      <c r="B31" s="8" t="s">
        <v>16</v>
      </c>
      <c r="C31" s="8" t="s">
        <v>54</v>
      </c>
      <c r="D31" s="9" t="s">
        <v>17</v>
      </c>
      <c r="E31" s="9" t="str">
        <f t="shared" si="1"/>
        <v>historical</v>
      </c>
      <c r="F31" s="8">
        <v>350</v>
      </c>
      <c r="G31" s="8" t="s">
        <v>60</v>
      </c>
      <c r="H31" s="8">
        <v>3</v>
      </c>
      <c r="I31" s="8">
        <v>7.5959355299492701E-9</v>
      </c>
      <c r="J31" s="8">
        <v>3</v>
      </c>
      <c r="K31" s="8" t="s">
        <v>174</v>
      </c>
      <c r="L31" s="8">
        <v>5</v>
      </c>
      <c r="M31" s="8"/>
      <c r="N31" s="8">
        <v>1</v>
      </c>
      <c r="O31" s="10" t="s">
        <v>21</v>
      </c>
      <c r="P31" s="17" t="s">
        <v>59</v>
      </c>
      <c r="Q31" s="10" t="str">
        <f t="shared" si="2"/>
        <v>NCC-NorESM1-M_Scaled_Cluster3_repl5.sqlite</v>
      </c>
      <c r="R31" s="11">
        <f t="shared" si="3"/>
        <v>15</v>
      </c>
      <c r="S31" s="11">
        <v>0</v>
      </c>
      <c r="T31" s="16" t="str">
        <f t="shared" si="4"/>
        <v>climate_db_NCC-NorESM1-M_historical_v4.sqlite</v>
      </c>
      <c r="U31" s="16" t="str">
        <f t="shared" si="5"/>
        <v>log/NCC-NorESM1-M_Scaled_Cluster3_repl5.txt</v>
      </c>
      <c r="V31" s="16" t="str">
        <f t="shared" si="6"/>
        <v>init/env_file_CLUSTER03_REPL5_NCC-NorESM1-M_historical.csv</v>
      </c>
      <c r="W31" s="16" t="str">
        <f t="shared" si="7"/>
        <v>init/env_grid_CLUSTER03_REPL5.asc</v>
      </c>
      <c r="X31" s="16" t="str">
        <f t="shared" si="8"/>
        <v>init/env_grid_CLUSTER03_REPL5.asc</v>
      </c>
      <c r="Y31" s="16" t="str">
        <f t="shared" si="9"/>
        <v>trees_CLUSTER03.csv</v>
      </c>
      <c r="Z31" s="16" t="str">
        <f t="shared" si="10"/>
        <v>saplings_CLUSTER03.csv</v>
      </c>
      <c r="AA31" s="16">
        <f t="shared" si="11"/>
        <v>350</v>
      </c>
      <c r="AB31" s="16" t="str">
        <f t="shared" si="12"/>
        <v>abe/no_mgmt.csv</v>
      </c>
      <c r="AC31" s="16" t="str">
        <f t="shared" si="13"/>
        <v>gis/WindModifier_cl3.asc</v>
      </c>
      <c r="AD31" s="16">
        <f t="shared" si="14"/>
        <v>7.6959355299492694E-9</v>
      </c>
      <c r="AE31" s="16" t="str">
        <f t="shared" si="17"/>
        <v>NCC-NorESM1-M_historical_point31354</v>
      </c>
      <c r="AF31" s="16" t="str">
        <f t="shared" si="15"/>
        <v>wind_Events/Scaled_cl3_repl5.txt</v>
      </c>
      <c r="AG31" s="16" t="str">
        <f t="shared" si="16"/>
        <v>NCC-NorESM1-M_Scaled_Cluster3_repl5</v>
      </c>
      <c r="AH31" s="16" t="s">
        <v>314</v>
      </c>
      <c r="AI31" s="16" t="s">
        <v>315</v>
      </c>
    </row>
    <row r="32" spans="1:35" ht="13.8">
      <c r="A32" s="7" t="str">
        <f t="shared" si="0"/>
        <v>ICHEC-EC-EARTH_Scaled_Cluster4_repl1</v>
      </c>
      <c r="B32" s="8" t="s">
        <v>16</v>
      </c>
      <c r="C32" s="8" t="s">
        <v>54</v>
      </c>
      <c r="D32" s="9" t="s">
        <v>17</v>
      </c>
      <c r="E32" s="9" t="str">
        <f t="shared" si="1"/>
        <v>historical</v>
      </c>
      <c r="F32" s="8">
        <v>350</v>
      </c>
      <c r="G32" s="8" t="s">
        <v>18</v>
      </c>
      <c r="H32" s="8">
        <v>1</v>
      </c>
      <c r="I32" s="8">
        <v>5.0254403465713305E-7</v>
      </c>
      <c r="J32" s="8">
        <v>4</v>
      </c>
      <c r="K32" s="8" t="s">
        <v>159</v>
      </c>
      <c r="L32" s="8">
        <v>1</v>
      </c>
      <c r="M32" s="8"/>
      <c r="N32" s="8">
        <v>1</v>
      </c>
      <c r="O32" s="10" t="s">
        <v>21</v>
      </c>
      <c r="P32" s="17" t="s">
        <v>59</v>
      </c>
      <c r="Q32" s="10" t="str">
        <f t="shared" si="2"/>
        <v>ICHEC-EC-EARTH_Scaled_Cluster4_repl1.sqlite</v>
      </c>
      <c r="R32" s="11">
        <f t="shared" si="3"/>
        <v>1</v>
      </c>
      <c r="S32" s="11">
        <v>0</v>
      </c>
      <c r="T32" s="16" t="str">
        <f t="shared" si="4"/>
        <v>climate_db_ICHEC-EC-EARTH_historical_v4.sqlite</v>
      </c>
      <c r="U32" s="16" t="str">
        <f t="shared" si="5"/>
        <v>log/ICHEC-EC-EARTH_Scaled_Cluster4_repl1.txt</v>
      </c>
      <c r="V32" s="16" t="str">
        <f t="shared" si="6"/>
        <v>init/env_file_CLUSTER04_REPL1_ICHEC-EC-EARTH_historical.csv</v>
      </c>
      <c r="W32" s="16" t="str">
        <f t="shared" si="7"/>
        <v>init/env_grid_CLUSTER04_REPL1.asc</v>
      </c>
      <c r="X32" s="16" t="str">
        <f t="shared" si="8"/>
        <v>init/env_grid_CLUSTER04_REPL1.asc</v>
      </c>
      <c r="Y32" s="16" t="str">
        <f t="shared" si="9"/>
        <v>trees_CLUSTER04.csv</v>
      </c>
      <c r="Z32" s="16" t="str">
        <f t="shared" si="10"/>
        <v>saplings_CLUSTER04.csv</v>
      </c>
      <c r="AA32" s="16">
        <f t="shared" si="11"/>
        <v>350</v>
      </c>
      <c r="AB32" s="16" t="str">
        <f t="shared" si="12"/>
        <v>abe/no_mgmt.csv</v>
      </c>
      <c r="AC32" s="16" t="str">
        <f t="shared" si="13"/>
        <v>gis/WindModifier_cl4.asc</v>
      </c>
      <c r="AD32" s="16">
        <f t="shared" si="14"/>
        <v>5.0264403465713306E-7</v>
      </c>
      <c r="AE32" s="16" t="str">
        <f t="shared" si="17"/>
        <v>ICHEC-EC-EARTH_historical_point26511</v>
      </c>
      <c r="AF32" s="16" t="str">
        <f t="shared" si="15"/>
        <v>wind_Events/Scaled_cl4_repl1.txt</v>
      </c>
      <c r="AG32" s="16" t="str">
        <f t="shared" si="16"/>
        <v>ICHEC-EC-EARTH_Scaled_Cluster4_repl1</v>
      </c>
      <c r="AH32" s="16" t="s">
        <v>316</v>
      </c>
      <c r="AI32" s="16" t="s">
        <v>317</v>
      </c>
    </row>
    <row r="33" spans="1:35" ht="13.8">
      <c r="A33" s="7" t="str">
        <f t="shared" si="0"/>
        <v>MPI-M-MPI-ESM-LR_Scaled_Cluster4_repl1</v>
      </c>
      <c r="B33" s="8" t="s">
        <v>16</v>
      </c>
      <c r="C33" s="8" t="s">
        <v>54</v>
      </c>
      <c r="D33" s="9" t="s">
        <v>17</v>
      </c>
      <c r="E33" s="9" t="str">
        <f t="shared" si="1"/>
        <v>historical</v>
      </c>
      <c r="F33" s="8">
        <v>350</v>
      </c>
      <c r="G33" s="8" t="s">
        <v>63</v>
      </c>
      <c r="H33" s="8">
        <v>2</v>
      </c>
      <c r="I33" s="8">
        <v>5.0254403465713305E-7</v>
      </c>
      <c r="J33" s="8">
        <v>4</v>
      </c>
      <c r="K33" s="8" t="s">
        <v>159</v>
      </c>
      <c r="L33" s="8">
        <v>1</v>
      </c>
      <c r="M33" s="8"/>
      <c r="N33" s="8">
        <v>1</v>
      </c>
      <c r="O33" s="10" t="s">
        <v>21</v>
      </c>
      <c r="P33" s="17" t="s">
        <v>59</v>
      </c>
      <c r="Q33" s="10" t="str">
        <f t="shared" si="2"/>
        <v>MPI-M-MPI-ESM-LR_Scaled_Cluster4_repl1.sqlite</v>
      </c>
      <c r="R33" s="11">
        <f t="shared" si="3"/>
        <v>2</v>
      </c>
      <c r="S33" s="11">
        <v>0</v>
      </c>
      <c r="T33" s="16" t="str">
        <f t="shared" si="4"/>
        <v>climate_db_MPI-M-MPI-ESM-LR_historical_v4.sqlite</v>
      </c>
      <c r="U33" s="16" t="str">
        <f t="shared" si="5"/>
        <v>log/MPI-M-MPI-ESM-LR_Scaled_Cluster4_repl1.txt</v>
      </c>
      <c r="V33" s="16" t="str">
        <f t="shared" si="6"/>
        <v>init/env_file_CLUSTER04_REPL1_MPI-M-MPI-ESM-LR_historical.csv</v>
      </c>
      <c r="W33" s="16" t="str">
        <f t="shared" si="7"/>
        <v>init/env_grid_CLUSTER04_REPL1.asc</v>
      </c>
      <c r="X33" s="16" t="str">
        <f t="shared" si="8"/>
        <v>init/env_grid_CLUSTER04_REPL1.asc</v>
      </c>
      <c r="Y33" s="16" t="str">
        <f t="shared" si="9"/>
        <v>trees_CLUSTER04.csv</v>
      </c>
      <c r="Z33" s="16" t="str">
        <f t="shared" si="10"/>
        <v>saplings_CLUSTER04.csv</v>
      </c>
      <c r="AA33" s="16">
        <f t="shared" si="11"/>
        <v>350</v>
      </c>
      <c r="AB33" s="16" t="str">
        <f t="shared" si="12"/>
        <v>abe/no_mgmt.csv</v>
      </c>
      <c r="AC33" s="16" t="str">
        <f t="shared" si="13"/>
        <v>gis/WindModifier_cl4.asc</v>
      </c>
      <c r="AD33" s="16">
        <f t="shared" si="14"/>
        <v>5.0264403465713306E-7</v>
      </c>
      <c r="AE33" s="16" t="str">
        <f t="shared" si="17"/>
        <v>MPI-M-MPI-ESM-LR_historical_point26511</v>
      </c>
      <c r="AF33" s="16" t="str">
        <f t="shared" si="15"/>
        <v>wind_Events/Scaled_cl4_repl1.txt</v>
      </c>
      <c r="AG33" s="16" t="str">
        <f t="shared" si="16"/>
        <v>MPI-M-MPI-ESM-LR_Scaled_Cluster4_repl1</v>
      </c>
      <c r="AH33" s="16" t="s">
        <v>318</v>
      </c>
      <c r="AI33" s="16" t="s">
        <v>319</v>
      </c>
    </row>
    <row r="34" spans="1:35" ht="13.8">
      <c r="A34" s="7" t="str">
        <f t="shared" si="0"/>
        <v>NCC-NorESM1-M_Scaled_Cluster4_repl1</v>
      </c>
      <c r="B34" s="8" t="s">
        <v>16</v>
      </c>
      <c r="C34" s="8" t="s">
        <v>54</v>
      </c>
      <c r="D34" s="9" t="s">
        <v>17</v>
      </c>
      <c r="E34" s="9" t="str">
        <f t="shared" si="1"/>
        <v>historical</v>
      </c>
      <c r="F34" s="8">
        <v>350</v>
      </c>
      <c r="G34" s="8" t="s">
        <v>60</v>
      </c>
      <c r="H34" s="8">
        <v>3</v>
      </c>
      <c r="I34" s="8">
        <v>5.0254403465713305E-7</v>
      </c>
      <c r="J34" s="8">
        <v>4</v>
      </c>
      <c r="K34" s="8" t="s">
        <v>159</v>
      </c>
      <c r="L34" s="8">
        <v>1</v>
      </c>
      <c r="M34" s="8"/>
      <c r="N34" s="8">
        <v>1</v>
      </c>
      <c r="O34" s="10" t="s">
        <v>21</v>
      </c>
      <c r="P34" s="17" t="s">
        <v>59</v>
      </c>
      <c r="Q34" s="10" t="str">
        <f t="shared" si="2"/>
        <v>NCC-NorESM1-M_Scaled_Cluster4_repl1.sqlite</v>
      </c>
      <c r="R34" s="11">
        <f t="shared" si="3"/>
        <v>3</v>
      </c>
      <c r="S34" s="11">
        <v>0</v>
      </c>
      <c r="T34" s="16" t="str">
        <f t="shared" si="4"/>
        <v>climate_db_NCC-NorESM1-M_historical_v4.sqlite</v>
      </c>
      <c r="U34" s="16" t="str">
        <f t="shared" si="5"/>
        <v>log/NCC-NorESM1-M_Scaled_Cluster4_repl1.txt</v>
      </c>
      <c r="V34" s="16" t="str">
        <f t="shared" si="6"/>
        <v>init/env_file_CLUSTER04_REPL1_NCC-NorESM1-M_historical.csv</v>
      </c>
      <c r="W34" s="16" t="str">
        <f t="shared" si="7"/>
        <v>init/env_grid_CLUSTER04_REPL1.asc</v>
      </c>
      <c r="X34" s="16" t="str">
        <f t="shared" si="8"/>
        <v>init/env_grid_CLUSTER04_REPL1.asc</v>
      </c>
      <c r="Y34" s="16" t="str">
        <f t="shared" si="9"/>
        <v>trees_CLUSTER04.csv</v>
      </c>
      <c r="Z34" s="16" t="str">
        <f t="shared" si="10"/>
        <v>saplings_CLUSTER04.csv</v>
      </c>
      <c r="AA34" s="16">
        <f t="shared" si="11"/>
        <v>350</v>
      </c>
      <c r="AB34" s="16" t="str">
        <f t="shared" si="12"/>
        <v>abe/no_mgmt.csv</v>
      </c>
      <c r="AC34" s="16" t="str">
        <f t="shared" si="13"/>
        <v>gis/WindModifier_cl4.asc</v>
      </c>
      <c r="AD34" s="16">
        <f t="shared" si="14"/>
        <v>5.0264403465713306E-7</v>
      </c>
      <c r="AE34" s="16" t="str">
        <f t="shared" si="17"/>
        <v>NCC-NorESM1-M_historical_point26511</v>
      </c>
      <c r="AF34" s="16" t="str">
        <f t="shared" si="15"/>
        <v>wind_Events/Scaled_cl4_repl1.txt</v>
      </c>
      <c r="AG34" s="16" t="str">
        <f t="shared" si="16"/>
        <v>NCC-NorESM1-M_Scaled_Cluster4_repl1</v>
      </c>
      <c r="AH34" s="16" t="s">
        <v>320</v>
      </c>
      <c r="AI34" s="16" t="s">
        <v>321</v>
      </c>
    </row>
    <row r="35" spans="1:35" ht="13.8">
      <c r="A35" s="7" t="str">
        <f t="shared" si="0"/>
        <v>ICHEC-EC-EARTH_Scaled_Cluster4_repl2</v>
      </c>
      <c r="B35" s="8" t="s">
        <v>16</v>
      </c>
      <c r="C35" s="8" t="s">
        <v>54</v>
      </c>
      <c r="D35" s="9" t="s">
        <v>17</v>
      </c>
      <c r="E35" s="9" t="str">
        <f t="shared" si="1"/>
        <v>historical</v>
      </c>
      <c r="F35" s="8">
        <v>350</v>
      </c>
      <c r="G35" s="8" t="s">
        <v>18</v>
      </c>
      <c r="H35" s="8">
        <v>1</v>
      </c>
      <c r="I35" s="8">
        <v>5.0254403465713305E-7</v>
      </c>
      <c r="J35" s="8">
        <v>4</v>
      </c>
      <c r="K35" s="8" t="s">
        <v>159</v>
      </c>
      <c r="L35" s="8">
        <v>2</v>
      </c>
      <c r="M35" s="8"/>
      <c r="N35" s="8">
        <v>1</v>
      </c>
      <c r="O35" s="10" t="s">
        <v>21</v>
      </c>
      <c r="P35" s="17" t="s">
        <v>59</v>
      </c>
      <c r="Q35" s="10" t="str">
        <f t="shared" si="2"/>
        <v>ICHEC-EC-EARTH_Scaled_Cluster4_repl2.sqlite</v>
      </c>
      <c r="R35" s="11">
        <f t="shared" si="3"/>
        <v>4</v>
      </c>
      <c r="S35" s="11">
        <v>0</v>
      </c>
      <c r="T35" s="16" t="str">
        <f t="shared" si="4"/>
        <v>climate_db_ICHEC-EC-EARTH_historical_v4.sqlite</v>
      </c>
      <c r="U35" s="16" t="str">
        <f t="shared" si="5"/>
        <v>log/ICHEC-EC-EARTH_Scaled_Cluster4_repl2.txt</v>
      </c>
      <c r="V35" s="16" t="str">
        <f t="shared" si="6"/>
        <v>init/env_file_CLUSTER04_REPL2_ICHEC-EC-EARTH_historical.csv</v>
      </c>
      <c r="W35" s="16" t="str">
        <f t="shared" si="7"/>
        <v>init/env_grid_CLUSTER04_REPL2.asc</v>
      </c>
      <c r="X35" s="16" t="str">
        <f t="shared" si="8"/>
        <v>init/env_grid_CLUSTER04_REPL2.asc</v>
      </c>
      <c r="Y35" s="16" t="str">
        <f t="shared" si="9"/>
        <v>trees_CLUSTER04.csv</v>
      </c>
      <c r="Z35" s="16" t="str">
        <f t="shared" si="10"/>
        <v>saplings_CLUSTER04.csv</v>
      </c>
      <c r="AA35" s="16">
        <f t="shared" si="11"/>
        <v>350</v>
      </c>
      <c r="AB35" s="16" t="str">
        <f t="shared" si="12"/>
        <v>abe/no_mgmt.csv</v>
      </c>
      <c r="AC35" s="16" t="str">
        <f t="shared" si="13"/>
        <v>gis/WindModifier_cl4.asc</v>
      </c>
      <c r="AD35" s="16">
        <f t="shared" si="14"/>
        <v>5.0264403465713306E-7</v>
      </c>
      <c r="AE35" s="16" t="str">
        <f t="shared" si="17"/>
        <v>ICHEC-EC-EARTH_historical_point26511</v>
      </c>
      <c r="AF35" s="16" t="str">
        <f t="shared" si="15"/>
        <v>wind_Events/Scaled_cl4_repl2.txt</v>
      </c>
      <c r="AG35" s="16" t="str">
        <f t="shared" si="16"/>
        <v>ICHEC-EC-EARTH_Scaled_Cluster4_repl2</v>
      </c>
      <c r="AH35" s="16" t="s">
        <v>322</v>
      </c>
      <c r="AI35" s="16" t="s">
        <v>323</v>
      </c>
    </row>
    <row r="36" spans="1:35" ht="13.8">
      <c r="A36" s="7" t="str">
        <f t="shared" si="0"/>
        <v>MPI-M-MPI-ESM-LR_Scaled_Cluster4_repl2</v>
      </c>
      <c r="B36" s="8" t="s">
        <v>16</v>
      </c>
      <c r="C36" s="8" t="s">
        <v>54</v>
      </c>
      <c r="D36" s="9" t="s">
        <v>17</v>
      </c>
      <c r="E36" s="9" t="str">
        <f t="shared" si="1"/>
        <v>historical</v>
      </c>
      <c r="F36" s="8">
        <v>350</v>
      </c>
      <c r="G36" s="8" t="s">
        <v>63</v>
      </c>
      <c r="H36" s="8">
        <v>2</v>
      </c>
      <c r="I36" s="8">
        <v>5.0254403465713305E-7</v>
      </c>
      <c r="J36" s="8">
        <v>4</v>
      </c>
      <c r="K36" s="8" t="s">
        <v>159</v>
      </c>
      <c r="L36" s="8">
        <v>2</v>
      </c>
      <c r="M36" s="8"/>
      <c r="N36" s="8">
        <v>1</v>
      </c>
      <c r="O36" s="10" t="s">
        <v>21</v>
      </c>
      <c r="P36" s="17" t="s">
        <v>59</v>
      </c>
      <c r="Q36" s="10" t="str">
        <f t="shared" si="2"/>
        <v>MPI-M-MPI-ESM-LR_Scaled_Cluster4_repl2.sqlite</v>
      </c>
      <c r="R36" s="11">
        <f t="shared" si="3"/>
        <v>5</v>
      </c>
      <c r="S36" s="11">
        <v>0</v>
      </c>
      <c r="T36" s="16" t="str">
        <f t="shared" si="4"/>
        <v>climate_db_MPI-M-MPI-ESM-LR_historical_v4.sqlite</v>
      </c>
      <c r="U36" s="16" t="str">
        <f t="shared" si="5"/>
        <v>log/MPI-M-MPI-ESM-LR_Scaled_Cluster4_repl2.txt</v>
      </c>
      <c r="V36" s="16" t="str">
        <f t="shared" si="6"/>
        <v>init/env_file_CLUSTER04_REPL2_MPI-M-MPI-ESM-LR_historical.csv</v>
      </c>
      <c r="W36" s="16" t="str">
        <f t="shared" si="7"/>
        <v>init/env_grid_CLUSTER04_REPL2.asc</v>
      </c>
      <c r="X36" s="16" t="str">
        <f t="shared" si="8"/>
        <v>init/env_grid_CLUSTER04_REPL2.asc</v>
      </c>
      <c r="Y36" s="16" t="str">
        <f t="shared" si="9"/>
        <v>trees_CLUSTER04.csv</v>
      </c>
      <c r="Z36" s="16" t="str">
        <f t="shared" si="10"/>
        <v>saplings_CLUSTER04.csv</v>
      </c>
      <c r="AA36" s="16">
        <f t="shared" si="11"/>
        <v>350</v>
      </c>
      <c r="AB36" s="16" t="str">
        <f t="shared" si="12"/>
        <v>abe/no_mgmt.csv</v>
      </c>
      <c r="AC36" s="16" t="str">
        <f t="shared" si="13"/>
        <v>gis/WindModifier_cl4.asc</v>
      </c>
      <c r="AD36" s="16">
        <f t="shared" si="14"/>
        <v>5.0264403465713306E-7</v>
      </c>
      <c r="AE36" s="16" t="str">
        <f t="shared" si="17"/>
        <v>MPI-M-MPI-ESM-LR_historical_point26511</v>
      </c>
      <c r="AF36" s="16" t="str">
        <f t="shared" si="15"/>
        <v>wind_Events/Scaled_cl4_repl2.txt</v>
      </c>
      <c r="AG36" s="16" t="str">
        <f t="shared" si="16"/>
        <v>MPI-M-MPI-ESM-LR_Scaled_Cluster4_repl2</v>
      </c>
      <c r="AH36" s="16" t="s">
        <v>324</v>
      </c>
      <c r="AI36" s="16" t="s">
        <v>325</v>
      </c>
    </row>
    <row r="37" spans="1:35" ht="13.8">
      <c r="A37" s="7" t="str">
        <f t="shared" si="0"/>
        <v>NCC-NorESM1-M_Scaled_Cluster4_repl2</v>
      </c>
      <c r="B37" s="8" t="s">
        <v>16</v>
      </c>
      <c r="C37" s="8" t="s">
        <v>54</v>
      </c>
      <c r="D37" s="9" t="s">
        <v>17</v>
      </c>
      <c r="E37" s="9" t="str">
        <f t="shared" si="1"/>
        <v>historical</v>
      </c>
      <c r="F37" s="8">
        <v>350</v>
      </c>
      <c r="G37" s="8" t="s">
        <v>60</v>
      </c>
      <c r="H37" s="8">
        <v>3</v>
      </c>
      <c r="I37" s="8">
        <v>5.0254403465713305E-7</v>
      </c>
      <c r="J37" s="8">
        <v>4</v>
      </c>
      <c r="K37" s="8" t="s">
        <v>159</v>
      </c>
      <c r="L37" s="8">
        <v>2</v>
      </c>
      <c r="M37" s="8"/>
      <c r="N37" s="8">
        <v>1</v>
      </c>
      <c r="O37" s="10" t="s">
        <v>21</v>
      </c>
      <c r="P37" s="17" t="s">
        <v>59</v>
      </c>
      <c r="Q37" s="10" t="str">
        <f t="shared" si="2"/>
        <v>NCC-NorESM1-M_Scaled_Cluster4_repl2.sqlite</v>
      </c>
      <c r="R37" s="11">
        <f t="shared" si="3"/>
        <v>6</v>
      </c>
      <c r="S37" s="11">
        <v>0</v>
      </c>
      <c r="T37" s="16" t="str">
        <f t="shared" si="4"/>
        <v>climate_db_NCC-NorESM1-M_historical_v4.sqlite</v>
      </c>
      <c r="U37" s="16" t="str">
        <f t="shared" si="5"/>
        <v>log/NCC-NorESM1-M_Scaled_Cluster4_repl2.txt</v>
      </c>
      <c r="V37" s="16" t="str">
        <f t="shared" si="6"/>
        <v>init/env_file_CLUSTER04_REPL2_NCC-NorESM1-M_historical.csv</v>
      </c>
      <c r="W37" s="16" t="str">
        <f t="shared" si="7"/>
        <v>init/env_grid_CLUSTER04_REPL2.asc</v>
      </c>
      <c r="X37" s="16" t="str">
        <f t="shared" si="8"/>
        <v>init/env_grid_CLUSTER04_REPL2.asc</v>
      </c>
      <c r="Y37" s="16" t="str">
        <f t="shared" si="9"/>
        <v>trees_CLUSTER04.csv</v>
      </c>
      <c r="Z37" s="16" t="str">
        <f t="shared" si="10"/>
        <v>saplings_CLUSTER04.csv</v>
      </c>
      <c r="AA37" s="16">
        <f t="shared" si="11"/>
        <v>350</v>
      </c>
      <c r="AB37" s="16" t="str">
        <f t="shared" si="12"/>
        <v>abe/no_mgmt.csv</v>
      </c>
      <c r="AC37" s="16" t="str">
        <f t="shared" si="13"/>
        <v>gis/WindModifier_cl4.asc</v>
      </c>
      <c r="AD37" s="16">
        <f t="shared" si="14"/>
        <v>5.0264403465713306E-7</v>
      </c>
      <c r="AE37" s="16" t="str">
        <f t="shared" si="17"/>
        <v>NCC-NorESM1-M_historical_point26511</v>
      </c>
      <c r="AF37" s="16" t="str">
        <f t="shared" si="15"/>
        <v>wind_Events/Scaled_cl4_repl2.txt</v>
      </c>
      <c r="AG37" s="16" t="str">
        <f t="shared" si="16"/>
        <v>NCC-NorESM1-M_Scaled_Cluster4_repl2</v>
      </c>
      <c r="AH37" s="16" t="s">
        <v>326</v>
      </c>
      <c r="AI37" s="16" t="s">
        <v>327</v>
      </c>
    </row>
    <row r="38" spans="1:35" ht="13.8">
      <c r="A38" s="7" t="str">
        <f t="shared" si="0"/>
        <v>ICHEC-EC-EARTH_Scaled_Cluster4_repl3</v>
      </c>
      <c r="B38" s="8" t="s">
        <v>16</v>
      </c>
      <c r="C38" s="8" t="s">
        <v>54</v>
      </c>
      <c r="D38" s="9" t="s">
        <v>17</v>
      </c>
      <c r="E38" s="9" t="str">
        <f t="shared" si="1"/>
        <v>historical</v>
      </c>
      <c r="F38" s="8">
        <v>350</v>
      </c>
      <c r="G38" s="8" t="s">
        <v>18</v>
      </c>
      <c r="H38" s="8">
        <v>1</v>
      </c>
      <c r="I38" s="8">
        <v>5.0254403465713305E-7</v>
      </c>
      <c r="J38" s="8">
        <v>4</v>
      </c>
      <c r="K38" s="8" t="s">
        <v>159</v>
      </c>
      <c r="L38" s="8">
        <v>3</v>
      </c>
      <c r="M38" s="8"/>
      <c r="N38" s="8">
        <v>1</v>
      </c>
      <c r="O38" s="10" t="s">
        <v>21</v>
      </c>
      <c r="P38" s="17" t="s">
        <v>59</v>
      </c>
      <c r="Q38" s="10" t="str">
        <f t="shared" si="2"/>
        <v>ICHEC-EC-EARTH_Scaled_Cluster4_repl3.sqlite</v>
      </c>
      <c r="R38" s="11">
        <f t="shared" si="3"/>
        <v>7</v>
      </c>
      <c r="S38" s="11">
        <v>0</v>
      </c>
      <c r="T38" s="16" t="str">
        <f t="shared" si="4"/>
        <v>climate_db_ICHEC-EC-EARTH_historical_v4.sqlite</v>
      </c>
      <c r="U38" s="16" t="str">
        <f t="shared" si="5"/>
        <v>log/ICHEC-EC-EARTH_Scaled_Cluster4_repl3.txt</v>
      </c>
      <c r="V38" s="16" t="str">
        <f t="shared" si="6"/>
        <v>init/env_file_CLUSTER04_REPL3_ICHEC-EC-EARTH_historical.csv</v>
      </c>
      <c r="W38" s="16" t="str">
        <f t="shared" si="7"/>
        <v>init/env_grid_CLUSTER04_REPL3.asc</v>
      </c>
      <c r="X38" s="16" t="str">
        <f t="shared" si="8"/>
        <v>init/env_grid_CLUSTER04_REPL3.asc</v>
      </c>
      <c r="Y38" s="16" t="str">
        <f t="shared" si="9"/>
        <v>trees_CLUSTER04.csv</v>
      </c>
      <c r="Z38" s="16" t="str">
        <f t="shared" si="10"/>
        <v>saplings_CLUSTER04.csv</v>
      </c>
      <c r="AA38" s="16">
        <f t="shared" si="11"/>
        <v>350</v>
      </c>
      <c r="AB38" s="16" t="str">
        <f t="shared" si="12"/>
        <v>abe/no_mgmt.csv</v>
      </c>
      <c r="AC38" s="16" t="str">
        <f t="shared" si="13"/>
        <v>gis/WindModifier_cl4.asc</v>
      </c>
      <c r="AD38" s="16">
        <f t="shared" si="14"/>
        <v>5.0264403465713306E-7</v>
      </c>
      <c r="AE38" s="16" t="str">
        <f t="shared" si="17"/>
        <v>ICHEC-EC-EARTH_historical_point26511</v>
      </c>
      <c r="AF38" s="16" t="str">
        <f t="shared" si="15"/>
        <v>wind_Events/Scaled_cl4_repl3.txt</v>
      </c>
      <c r="AG38" s="16" t="str">
        <f t="shared" si="16"/>
        <v>ICHEC-EC-EARTH_Scaled_Cluster4_repl3</v>
      </c>
      <c r="AH38" s="16" t="s">
        <v>256</v>
      </c>
      <c r="AI38" s="16" t="s">
        <v>257</v>
      </c>
    </row>
    <row r="39" spans="1:35" ht="13.8">
      <c r="A39" s="7" t="str">
        <f t="shared" si="0"/>
        <v>MPI-M-MPI-ESM-LR_Scaled_Cluster4_repl3</v>
      </c>
      <c r="B39" s="8" t="s">
        <v>16</v>
      </c>
      <c r="C39" s="8" t="s">
        <v>54</v>
      </c>
      <c r="D39" s="9" t="s">
        <v>17</v>
      </c>
      <c r="E39" s="9" t="str">
        <f t="shared" si="1"/>
        <v>historical</v>
      </c>
      <c r="F39" s="8">
        <v>350</v>
      </c>
      <c r="G39" s="8" t="s">
        <v>63</v>
      </c>
      <c r="H39" s="8">
        <v>2</v>
      </c>
      <c r="I39" s="8">
        <v>5.0254403465713305E-7</v>
      </c>
      <c r="J39" s="8">
        <v>4</v>
      </c>
      <c r="K39" s="8" t="s">
        <v>159</v>
      </c>
      <c r="L39" s="8">
        <v>3</v>
      </c>
      <c r="M39" s="8"/>
      <c r="N39" s="8">
        <v>1</v>
      </c>
      <c r="O39" s="10" t="s">
        <v>21</v>
      </c>
      <c r="P39" s="17" t="s">
        <v>59</v>
      </c>
      <c r="Q39" s="10" t="str">
        <f t="shared" si="2"/>
        <v>MPI-M-MPI-ESM-LR_Scaled_Cluster4_repl3.sqlite</v>
      </c>
      <c r="R39" s="11">
        <f t="shared" si="3"/>
        <v>8</v>
      </c>
      <c r="S39" s="11">
        <v>0</v>
      </c>
      <c r="T39" s="16" t="str">
        <f t="shared" si="4"/>
        <v>climate_db_MPI-M-MPI-ESM-LR_historical_v4.sqlite</v>
      </c>
      <c r="U39" s="16" t="str">
        <f t="shared" si="5"/>
        <v>log/MPI-M-MPI-ESM-LR_Scaled_Cluster4_repl3.txt</v>
      </c>
      <c r="V39" s="16" t="str">
        <f t="shared" si="6"/>
        <v>init/env_file_CLUSTER04_REPL3_MPI-M-MPI-ESM-LR_historical.csv</v>
      </c>
      <c r="W39" s="16" t="str">
        <f t="shared" si="7"/>
        <v>init/env_grid_CLUSTER04_REPL3.asc</v>
      </c>
      <c r="X39" s="16" t="str">
        <f t="shared" si="8"/>
        <v>init/env_grid_CLUSTER04_REPL3.asc</v>
      </c>
      <c r="Y39" s="16" t="str">
        <f t="shared" si="9"/>
        <v>trees_CLUSTER04.csv</v>
      </c>
      <c r="Z39" s="16" t="str">
        <f t="shared" si="10"/>
        <v>saplings_CLUSTER04.csv</v>
      </c>
      <c r="AA39" s="16">
        <f t="shared" si="11"/>
        <v>350</v>
      </c>
      <c r="AB39" s="16" t="str">
        <f t="shared" si="12"/>
        <v>abe/no_mgmt.csv</v>
      </c>
      <c r="AC39" s="16" t="str">
        <f t="shared" si="13"/>
        <v>gis/WindModifier_cl4.asc</v>
      </c>
      <c r="AD39" s="16">
        <f t="shared" si="14"/>
        <v>5.0264403465713306E-7</v>
      </c>
      <c r="AE39" s="16" t="str">
        <f t="shared" si="17"/>
        <v>MPI-M-MPI-ESM-LR_historical_point26511</v>
      </c>
      <c r="AF39" s="16" t="str">
        <f t="shared" si="15"/>
        <v>wind_Events/Scaled_cl4_repl3.txt</v>
      </c>
      <c r="AG39" s="16" t="str">
        <f t="shared" si="16"/>
        <v>MPI-M-MPI-ESM-LR_Scaled_Cluster4_repl3</v>
      </c>
      <c r="AH39" s="16" t="s">
        <v>258</v>
      </c>
      <c r="AI39" s="16" t="s">
        <v>259</v>
      </c>
    </row>
    <row r="40" spans="1:35" ht="13.8">
      <c r="A40" s="7" t="str">
        <f t="shared" si="0"/>
        <v>NCC-NorESM1-M_Scaled_Cluster4_repl3</v>
      </c>
      <c r="B40" s="8" t="s">
        <v>16</v>
      </c>
      <c r="C40" s="8" t="s">
        <v>54</v>
      </c>
      <c r="D40" s="9" t="s">
        <v>17</v>
      </c>
      <c r="E40" s="9" t="str">
        <f t="shared" si="1"/>
        <v>historical</v>
      </c>
      <c r="F40" s="8">
        <v>350</v>
      </c>
      <c r="G40" s="8" t="s">
        <v>60</v>
      </c>
      <c r="H40" s="8">
        <v>3</v>
      </c>
      <c r="I40" s="8">
        <v>5.0254403465713305E-7</v>
      </c>
      <c r="J40" s="8">
        <v>4</v>
      </c>
      <c r="K40" s="8" t="s">
        <v>159</v>
      </c>
      <c r="L40" s="8">
        <v>3</v>
      </c>
      <c r="M40" s="8"/>
      <c r="N40" s="8">
        <v>1</v>
      </c>
      <c r="O40" s="10" t="s">
        <v>21</v>
      </c>
      <c r="P40" s="17" t="s">
        <v>59</v>
      </c>
      <c r="Q40" s="10" t="str">
        <f t="shared" si="2"/>
        <v>NCC-NorESM1-M_Scaled_Cluster4_repl3.sqlite</v>
      </c>
      <c r="R40" s="11">
        <f t="shared" si="3"/>
        <v>9</v>
      </c>
      <c r="S40" s="11">
        <v>0</v>
      </c>
      <c r="T40" s="16" t="str">
        <f t="shared" si="4"/>
        <v>climate_db_NCC-NorESM1-M_historical_v4.sqlite</v>
      </c>
      <c r="U40" s="16" t="str">
        <f t="shared" si="5"/>
        <v>log/NCC-NorESM1-M_Scaled_Cluster4_repl3.txt</v>
      </c>
      <c r="V40" s="16" t="str">
        <f t="shared" si="6"/>
        <v>init/env_file_CLUSTER04_REPL3_NCC-NorESM1-M_historical.csv</v>
      </c>
      <c r="W40" s="16" t="str">
        <f t="shared" si="7"/>
        <v>init/env_grid_CLUSTER04_REPL3.asc</v>
      </c>
      <c r="X40" s="16" t="str">
        <f t="shared" si="8"/>
        <v>init/env_grid_CLUSTER04_REPL3.asc</v>
      </c>
      <c r="Y40" s="16" t="str">
        <f t="shared" si="9"/>
        <v>trees_CLUSTER04.csv</v>
      </c>
      <c r="Z40" s="16" t="str">
        <f t="shared" si="10"/>
        <v>saplings_CLUSTER04.csv</v>
      </c>
      <c r="AA40" s="16">
        <f t="shared" si="11"/>
        <v>350</v>
      </c>
      <c r="AB40" s="16" t="str">
        <f t="shared" si="12"/>
        <v>abe/no_mgmt.csv</v>
      </c>
      <c r="AC40" s="16" t="str">
        <f t="shared" si="13"/>
        <v>gis/WindModifier_cl4.asc</v>
      </c>
      <c r="AD40" s="16">
        <f t="shared" si="14"/>
        <v>5.0264403465713306E-7</v>
      </c>
      <c r="AE40" s="16" t="str">
        <f t="shared" si="17"/>
        <v>NCC-NorESM1-M_historical_point26511</v>
      </c>
      <c r="AF40" s="16" t="str">
        <f t="shared" si="15"/>
        <v>wind_Events/Scaled_cl4_repl3.txt</v>
      </c>
      <c r="AG40" s="16" t="str">
        <f t="shared" si="16"/>
        <v>NCC-NorESM1-M_Scaled_Cluster4_repl3</v>
      </c>
      <c r="AH40" s="16" t="s">
        <v>260</v>
      </c>
      <c r="AI40" s="16" t="s">
        <v>261</v>
      </c>
    </row>
    <row r="41" spans="1:35" ht="13.8">
      <c r="A41" s="7" t="str">
        <f t="shared" si="0"/>
        <v>ICHEC-EC-EARTH_Scaled_Cluster4_repl4</v>
      </c>
      <c r="B41" s="8" t="s">
        <v>16</v>
      </c>
      <c r="C41" s="8" t="s">
        <v>54</v>
      </c>
      <c r="D41" s="9" t="s">
        <v>17</v>
      </c>
      <c r="E41" s="9" t="str">
        <f t="shared" si="1"/>
        <v>historical</v>
      </c>
      <c r="F41" s="8">
        <v>350</v>
      </c>
      <c r="G41" s="8" t="s">
        <v>18</v>
      </c>
      <c r="H41" s="8">
        <v>1</v>
      </c>
      <c r="I41" s="8">
        <v>5.0254403465713305E-7</v>
      </c>
      <c r="J41" s="8">
        <v>4</v>
      </c>
      <c r="K41" s="8" t="s">
        <v>159</v>
      </c>
      <c r="L41" s="8">
        <v>4</v>
      </c>
      <c r="M41" s="8"/>
      <c r="N41" s="8">
        <v>1</v>
      </c>
      <c r="O41" s="10" t="s">
        <v>21</v>
      </c>
      <c r="P41" s="17" t="s">
        <v>59</v>
      </c>
      <c r="Q41" s="10" t="str">
        <f t="shared" si="2"/>
        <v>ICHEC-EC-EARTH_Scaled_Cluster4_repl4.sqlite</v>
      </c>
      <c r="R41" s="11">
        <f t="shared" si="3"/>
        <v>10</v>
      </c>
      <c r="S41" s="11">
        <v>0</v>
      </c>
      <c r="T41" s="16" t="str">
        <f t="shared" si="4"/>
        <v>climate_db_ICHEC-EC-EARTH_historical_v4.sqlite</v>
      </c>
      <c r="U41" s="16" t="str">
        <f t="shared" si="5"/>
        <v>log/ICHEC-EC-EARTH_Scaled_Cluster4_repl4.txt</v>
      </c>
      <c r="V41" s="16" t="str">
        <f t="shared" si="6"/>
        <v>init/env_file_CLUSTER04_REPL4_ICHEC-EC-EARTH_historical.csv</v>
      </c>
      <c r="W41" s="16" t="str">
        <f t="shared" si="7"/>
        <v>init/env_grid_CLUSTER04_REPL4.asc</v>
      </c>
      <c r="X41" s="16" t="str">
        <f t="shared" si="8"/>
        <v>init/env_grid_CLUSTER04_REPL4.asc</v>
      </c>
      <c r="Y41" s="16" t="str">
        <f t="shared" si="9"/>
        <v>trees_CLUSTER04.csv</v>
      </c>
      <c r="Z41" s="16" t="str">
        <f t="shared" si="10"/>
        <v>saplings_CLUSTER04.csv</v>
      </c>
      <c r="AA41" s="16">
        <f t="shared" si="11"/>
        <v>350</v>
      </c>
      <c r="AB41" s="16" t="str">
        <f t="shared" si="12"/>
        <v>abe/no_mgmt.csv</v>
      </c>
      <c r="AC41" s="16" t="str">
        <f t="shared" si="13"/>
        <v>gis/WindModifier_cl4.asc</v>
      </c>
      <c r="AD41" s="16">
        <f t="shared" si="14"/>
        <v>5.0264403465713306E-7</v>
      </c>
      <c r="AE41" s="16" t="str">
        <f t="shared" si="17"/>
        <v>ICHEC-EC-EARTH_historical_point26511</v>
      </c>
      <c r="AF41" s="16" t="str">
        <f t="shared" si="15"/>
        <v>wind_Events/Scaled_cl4_repl4.txt</v>
      </c>
      <c r="AG41" s="16" t="str">
        <f t="shared" si="16"/>
        <v>ICHEC-EC-EARTH_Scaled_Cluster4_repl4</v>
      </c>
      <c r="AH41" s="16" t="s">
        <v>262</v>
      </c>
      <c r="AI41" s="16" t="s">
        <v>263</v>
      </c>
    </row>
    <row r="42" spans="1:35" ht="13.8">
      <c r="A42" s="7" t="str">
        <f t="shared" si="0"/>
        <v>MPI-M-MPI-ESM-LR_Scaled_Cluster4_repl4</v>
      </c>
      <c r="B42" s="8" t="s">
        <v>16</v>
      </c>
      <c r="C42" s="8" t="s">
        <v>54</v>
      </c>
      <c r="D42" s="9" t="s">
        <v>17</v>
      </c>
      <c r="E42" s="9" t="str">
        <f t="shared" si="1"/>
        <v>historical</v>
      </c>
      <c r="F42" s="8">
        <v>350</v>
      </c>
      <c r="G42" s="8" t="s">
        <v>63</v>
      </c>
      <c r="H42" s="8">
        <v>2</v>
      </c>
      <c r="I42" s="8">
        <v>5.0254403465713305E-7</v>
      </c>
      <c r="J42" s="8">
        <v>4</v>
      </c>
      <c r="K42" s="8" t="s">
        <v>159</v>
      </c>
      <c r="L42" s="8">
        <v>4</v>
      </c>
      <c r="M42" s="8"/>
      <c r="N42" s="8">
        <v>1</v>
      </c>
      <c r="O42" s="10" t="s">
        <v>21</v>
      </c>
      <c r="P42" s="17" t="s">
        <v>59</v>
      </c>
      <c r="Q42" s="10" t="str">
        <f t="shared" si="2"/>
        <v>MPI-M-MPI-ESM-LR_Scaled_Cluster4_repl4.sqlite</v>
      </c>
      <c r="R42" s="11">
        <f t="shared" si="3"/>
        <v>11</v>
      </c>
      <c r="S42" s="11">
        <v>0</v>
      </c>
      <c r="T42" s="16" t="str">
        <f t="shared" si="4"/>
        <v>climate_db_MPI-M-MPI-ESM-LR_historical_v4.sqlite</v>
      </c>
      <c r="U42" s="16" t="str">
        <f t="shared" si="5"/>
        <v>log/MPI-M-MPI-ESM-LR_Scaled_Cluster4_repl4.txt</v>
      </c>
      <c r="V42" s="16" t="str">
        <f t="shared" si="6"/>
        <v>init/env_file_CLUSTER04_REPL4_MPI-M-MPI-ESM-LR_historical.csv</v>
      </c>
      <c r="W42" s="16" t="str">
        <f t="shared" si="7"/>
        <v>init/env_grid_CLUSTER04_REPL4.asc</v>
      </c>
      <c r="X42" s="16" t="str">
        <f t="shared" si="8"/>
        <v>init/env_grid_CLUSTER04_REPL4.asc</v>
      </c>
      <c r="Y42" s="16" t="str">
        <f t="shared" si="9"/>
        <v>trees_CLUSTER04.csv</v>
      </c>
      <c r="Z42" s="16" t="str">
        <f t="shared" si="10"/>
        <v>saplings_CLUSTER04.csv</v>
      </c>
      <c r="AA42" s="16">
        <f t="shared" si="11"/>
        <v>350</v>
      </c>
      <c r="AB42" s="16" t="str">
        <f t="shared" si="12"/>
        <v>abe/no_mgmt.csv</v>
      </c>
      <c r="AC42" s="16" t="str">
        <f t="shared" si="13"/>
        <v>gis/WindModifier_cl4.asc</v>
      </c>
      <c r="AD42" s="16">
        <f t="shared" si="14"/>
        <v>5.0264403465713306E-7</v>
      </c>
      <c r="AE42" s="16" t="str">
        <f t="shared" si="17"/>
        <v>MPI-M-MPI-ESM-LR_historical_point26511</v>
      </c>
      <c r="AF42" s="16" t="str">
        <f t="shared" si="15"/>
        <v>wind_Events/Scaled_cl4_repl4.txt</v>
      </c>
      <c r="AG42" s="16" t="str">
        <f t="shared" si="16"/>
        <v>MPI-M-MPI-ESM-LR_Scaled_Cluster4_repl4</v>
      </c>
      <c r="AH42" s="16" t="s">
        <v>264</v>
      </c>
      <c r="AI42" s="16" t="s">
        <v>265</v>
      </c>
    </row>
    <row r="43" spans="1:35" ht="13.8">
      <c r="A43" s="7" t="str">
        <f t="shared" si="0"/>
        <v>NCC-NorESM1-M_Scaled_Cluster4_repl4</v>
      </c>
      <c r="B43" s="8" t="s">
        <v>16</v>
      </c>
      <c r="C43" s="8" t="s">
        <v>54</v>
      </c>
      <c r="D43" s="9" t="s">
        <v>17</v>
      </c>
      <c r="E43" s="9" t="str">
        <f t="shared" si="1"/>
        <v>historical</v>
      </c>
      <c r="F43" s="8">
        <v>350</v>
      </c>
      <c r="G43" s="8" t="s">
        <v>60</v>
      </c>
      <c r="H43" s="8">
        <v>3</v>
      </c>
      <c r="I43" s="8">
        <v>5.0254403465713305E-7</v>
      </c>
      <c r="J43" s="8">
        <v>4</v>
      </c>
      <c r="K43" s="8" t="s">
        <v>159</v>
      </c>
      <c r="L43" s="8">
        <v>4</v>
      </c>
      <c r="M43" s="8"/>
      <c r="N43" s="8">
        <v>1</v>
      </c>
      <c r="O43" s="10" t="s">
        <v>21</v>
      </c>
      <c r="P43" s="17" t="s">
        <v>59</v>
      </c>
      <c r="Q43" s="10" t="str">
        <f t="shared" si="2"/>
        <v>NCC-NorESM1-M_Scaled_Cluster4_repl4.sqlite</v>
      </c>
      <c r="R43" s="11">
        <f t="shared" si="3"/>
        <v>12</v>
      </c>
      <c r="S43" s="11">
        <v>0</v>
      </c>
      <c r="T43" s="16" t="str">
        <f t="shared" si="4"/>
        <v>climate_db_NCC-NorESM1-M_historical_v4.sqlite</v>
      </c>
      <c r="U43" s="16" t="str">
        <f t="shared" si="5"/>
        <v>log/NCC-NorESM1-M_Scaled_Cluster4_repl4.txt</v>
      </c>
      <c r="V43" s="16" t="str">
        <f t="shared" si="6"/>
        <v>init/env_file_CLUSTER04_REPL4_NCC-NorESM1-M_historical.csv</v>
      </c>
      <c r="W43" s="16" t="str">
        <f t="shared" si="7"/>
        <v>init/env_grid_CLUSTER04_REPL4.asc</v>
      </c>
      <c r="X43" s="16" t="str">
        <f t="shared" si="8"/>
        <v>init/env_grid_CLUSTER04_REPL4.asc</v>
      </c>
      <c r="Y43" s="16" t="str">
        <f t="shared" si="9"/>
        <v>trees_CLUSTER04.csv</v>
      </c>
      <c r="Z43" s="16" t="str">
        <f t="shared" si="10"/>
        <v>saplings_CLUSTER04.csv</v>
      </c>
      <c r="AA43" s="16">
        <f t="shared" si="11"/>
        <v>350</v>
      </c>
      <c r="AB43" s="16" t="str">
        <f t="shared" si="12"/>
        <v>abe/no_mgmt.csv</v>
      </c>
      <c r="AC43" s="16" t="str">
        <f t="shared" si="13"/>
        <v>gis/WindModifier_cl4.asc</v>
      </c>
      <c r="AD43" s="16">
        <f t="shared" si="14"/>
        <v>5.0264403465713306E-7</v>
      </c>
      <c r="AE43" s="16" t="str">
        <f t="shared" si="17"/>
        <v>NCC-NorESM1-M_historical_point26511</v>
      </c>
      <c r="AF43" s="16" t="str">
        <f t="shared" si="15"/>
        <v>wind_Events/Scaled_cl4_repl4.txt</v>
      </c>
      <c r="AG43" s="16" t="str">
        <f t="shared" si="16"/>
        <v>NCC-NorESM1-M_Scaled_Cluster4_repl4</v>
      </c>
      <c r="AH43" s="16" t="s">
        <v>266</v>
      </c>
      <c r="AI43" s="16" t="s">
        <v>267</v>
      </c>
    </row>
    <row r="44" spans="1:35" ht="13.8">
      <c r="A44" s="7" t="str">
        <f t="shared" si="0"/>
        <v>ICHEC-EC-EARTH_Scaled_Cluster4_repl5</v>
      </c>
      <c r="B44" s="8" t="s">
        <v>16</v>
      </c>
      <c r="C44" s="8" t="s">
        <v>54</v>
      </c>
      <c r="D44" s="9" t="s">
        <v>17</v>
      </c>
      <c r="E44" s="9" t="str">
        <f t="shared" si="1"/>
        <v>historical</v>
      </c>
      <c r="F44" s="8">
        <v>350</v>
      </c>
      <c r="G44" s="8" t="s">
        <v>18</v>
      </c>
      <c r="H44" s="8">
        <v>1</v>
      </c>
      <c r="I44" s="8">
        <v>5.0254403465713305E-7</v>
      </c>
      <c r="J44" s="8">
        <v>4</v>
      </c>
      <c r="K44" s="8" t="s">
        <v>159</v>
      </c>
      <c r="L44" s="8">
        <v>5</v>
      </c>
      <c r="M44" s="8"/>
      <c r="N44" s="8">
        <v>1</v>
      </c>
      <c r="O44" s="10" t="s">
        <v>21</v>
      </c>
      <c r="P44" s="17" t="s">
        <v>59</v>
      </c>
      <c r="Q44" s="10" t="str">
        <f t="shared" si="2"/>
        <v>ICHEC-EC-EARTH_Scaled_Cluster4_repl5.sqlite</v>
      </c>
      <c r="R44" s="11">
        <f t="shared" si="3"/>
        <v>13</v>
      </c>
      <c r="S44" s="11">
        <v>0</v>
      </c>
      <c r="T44" s="16" t="str">
        <f t="shared" si="4"/>
        <v>climate_db_ICHEC-EC-EARTH_historical_v4.sqlite</v>
      </c>
      <c r="U44" s="16" t="str">
        <f t="shared" si="5"/>
        <v>log/ICHEC-EC-EARTH_Scaled_Cluster4_repl5.txt</v>
      </c>
      <c r="V44" s="16" t="str">
        <f t="shared" si="6"/>
        <v>init/env_file_CLUSTER04_REPL5_ICHEC-EC-EARTH_historical.csv</v>
      </c>
      <c r="W44" s="16" t="str">
        <f t="shared" si="7"/>
        <v>init/env_grid_CLUSTER04_REPL5.asc</v>
      </c>
      <c r="X44" s="16" t="str">
        <f t="shared" si="8"/>
        <v>init/env_grid_CLUSTER04_REPL5.asc</v>
      </c>
      <c r="Y44" s="16" t="str">
        <f t="shared" si="9"/>
        <v>trees_CLUSTER04.csv</v>
      </c>
      <c r="Z44" s="16" t="str">
        <f t="shared" si="10"/>
        <v>saplings_CLUSTER04.csv</v>
      </c>
      <c r="AA44" s="16">
        <f t="shared" si="11"/>
        <v>350</v>
      </c>
      <c r="AB44" s="16" t="str">
        <f t="shared" si="12"/>
        <v>abe/no_mgmt.csv</v>
      </c>
      <c r="AC44" s="16" t="str">
        <f t="shared" si="13"/>
        <v>gis/WindModifier_cl4.asc</v>
      </c>
      <c r="AD44" s="16">
        <f t="shared" si="14"/>
        <v>5.0264403465713306E-7</v>
      </c>
      <c r="AE44" s="16" t="str">
        <f t="shared" si="17"/>
        <v>ICHEC-EC-EARTH_historical_point26511</v>
      </c>
      <c r="AF44" s="16" t="str">
        <f t="shared" si="15"/>
        <v>wind_Events/Scaled_cl4_repl5.txt</v>
      </c>
      <c r="AG44" s="16" t="str">
        <f t="shared" si="16"/>
        <v>ICHEC-EC-EARTH_Scaled_Cluster4_repl5</v>
      </c>
      <c r="AH44" s="16" t="s">
        <v>268</v>
      </c>
      <c r="AI44" s="16" t="s">
        <v>269</v>
      </c>
    </row>
    <row r="45" spans="1:35" ht="13.8">
      <c r="A45" s="7" t="str">
        <f t="shared" si="0"/>
        <v>MPI-M-MPI-ESM-LR_Scaled_Cluster4_repl5</v>
      </c>
      <c r="B45" s="8" t="s">
        <v>16</v>
      </c>
      <c r="C45" s="8" t="s">
        <v>54</v>
      </c>
      <c r="D45" s="9" t="s">
        <v>17</v>
      </c>
      <c r="E45" s="9" t="str">
        <f t="shared" si="1"/>
        <v>historical</v>
      </c>
      <c r="F45" s="8">
        <v>350</v>
      </c>
      <c r="G45" s="8" t="s">
        <v>63</v>
      </c>
      <c r="H45" s="8">
        <v>2</v>
      </c>
      <c r="I45" s="8">
        <v>5.0254403465713305E-7</v>
      </c>
      <c r="J45" s="8">
        <v>4</v>
      </c>
      <c r="K45" s="8" t="s">
        <v>159</v>
      </c>
      <c r="L45" s="8">
        <v>5</v>
      </c>
      <c r="M45" s="8"/>
      <c r="N45" s="8">
        <v>1</v>
      </c>
      <c r="O45" s="10" t="s">
        <v>21</v>
      </c>
      <c r="P45" s="17" t="s">
        <v>59</v>
      </c>
      <c r="Q45" s="10" t="str">
        <f t="shared" si="2"/>
        <v>MPI-M-MPI-ESM-LR_Scaled_Cluster4_repl5.sqlite</v>
      </c>
      <c r="R45" s="11">
        <f t="shared" si="3"/>
        <v>14</v>
      </c>
      <c r="S45" s="11">
        <v>0</v>
      </c>
      <c r="T45" s="16" t="str">
        <f t="shared" si="4"/>
        <v>climate_db_MPI-M-MPI-ESM-LR_historical_v4.sqlite</v>
      </c>
      <c r="U45" s="16" t="str">
        <f t="shared" si="5"/>
        <v>log/MPI-M-MPI-ESM-LR_Scaled_Cluster4_repl5.txt</v>
      </c>
      <c r="V45" s="16" t="str">
        <f t="shared" si="6"/>
        <v>init/env_file_CLUSTER04_REPL5_MPI-M-MPI-ESM-LR_historical.csv</v>
      </c>
      <c r="W45" s="16" t="str">
        <f t="shared" si="7"/>
        <v>init/env_grid_CLUSTER04_REPL5.asc</v>
      </c>
      <c r="X45" s="16" t="str">
        <f t="shared" si="8"/>
        <v>init/env_grid_CLUSTER04_REPL5.asc</v>
      </c>
      <c r="Y45" s="16" t="str">
        <f t="shared" si="9"/>
        <v>trees_CLUSTER04.csv</v>
      </c>
      <c r="Z45" s="16" t="str">
        <f t="shared" si="10"/>
        <v>saplings_CLUSTER04.csv</v>
      </c>
      <c r="AA45" s="16">
        <f t="shared" si="11"/>
        <v>350</v>
      </c>
      <c r="AB45" s="16" t="str">
        <f t="shared" si="12"/>
        <v>abe/no_mgmt.csv</v>
      </c>
      <c r="AC45" s="16" t="str">
        <f t="shared" si="13"/>
        <v>gis/WindModifier_cl4.asc</v>
      </c>
      <c r="AD45" s="16">
        <f t="shared" si="14"/>
        <v>5.0264403465713306E-7</v>
      </c>
      <c r="AE45" s="16" t="str">
        <f t="shared" si="17"/>
        <v>MPI-M-MPI-ESM-LR_historical_point26511</v>
      </c>
      <c r="AF45" s="16" t="str">
        <f t="shared" si="15"/>
        <v>wind_Events/Scaled_cl4_repl5.txt</v>
      </c>
      <c r="AG45" s="16" t="str">
        <f t="shared" si="16"/>
        <v>MPI-M-MPI-ESM-LR_Scaled_Cluster4_repl5</v>
      </c>
      <c r="AH45" s="16" t="s">
        <v>270</v>
      </c>
      <c r="AI45" s="16" t="s">
        <v>271</v>
      </c>
    </row>
    <row r="46" spans="1:35" ht="13.8">
      <c r="A46" s="7" t="str">
        <f t="shared" si="0"/>
        <v>NCC-NorESM1-M_Scaled_Cluster4_repl5</v>
      </c>
      <c r="B46" s="8" t="s">
        <v>16</v>
      </c>
      <c r="C46" s="8" t="s">
        <v>54</v>
      </c>
      <c r="D46" s="9" t="s">
        <v>17</v>
      </c>
      <c r="E46" s="9" t="str">
        <f t="shared" si="1"/>
        <v>historical</v>
      </c>
      <c r="F46" s="8">
        <v>350</v>
      </c>
      <c r="G46" s="8" t="s">
        <v>60</v>
      </c>
      <c r="H46" s="8">
        <v>3</v>
      </c>
      <c r="I46" s="8">
        <v>5.0254403465713305E-7</v>
      </c>
      <c r="J46" s="8">
        <v>4</v>
      </c>
      <c r="K46" s="8" t="s">
        <v>159</v>
      </c>
      <c r="L46" s="8">
        <v>5</v>
      </c>
      <c r="M46" s="8"/>
      <c r="N46" s="8">
        <v>1</v>
      </c>
      <c r="O46" s="10" t="s">
        <v>21</v>
      </c>
      <c r="P46" s="17" t="s">
        <v>59</v>
      </c>
      <c r="Q46" s="10" t="str">
        <f t="shared" si="2"/>
        <v>NCC-NorESM1-M_Scaled_Cluster4_repl5.sqlite</v>
      </c>
      <c r="R46" s="11">
        <f t="shared" si="3"/>
        <v>15</v>
      </c>
      <c r="S46" s="11">
        <v>0</v>
      </c>
      <c r="T46" s="16" t="str">
        <f t="shared" si="4"/>
        <v>climate_db_NCC-NorESM1-M_historical_v4.sqlite</v>
      </c>
      <c r="U46" s="16" t="str">
        <f t="shared" si="5"/>
        <v>log/NCC-NorESM1-M_Scaled_Cluster4_repl5.txt</v>
      </c>
      <c r="V46" s="16" t="str">
        <f t="shared" si="6"/>
        <v>init/env_file_CLUSTER04_REPL5_NCC-NorESM1-M_historical.csv</v>
      </c>
      <c r="W46" s="16" t="str">
        <f t="shared" si="7"/>
        <v>init/env_grid_CLUSTER04_REPL5.asc</v>
      </c>
      <c r="X46" s="16" t="str">
        <f t="shared" si="8"/>
        <v>init/env_grid_CLUSTER04_REPL5.asc</v>
      </c>
      <c r="Y46" s="16" t="str">
        <f t="shared" si="9"/>
        <v>trees_CLUSTER04.csv</v>
      </c>
      <c r="Z46" s="16" t="str">
        <f t="shared" si="10"/>
        <v>saplings_CLUSTER04.csv</v>
      </c>
      <c r="AA46" s="16">
        <f t="shared" si="11"/>
        <v>350</v>
      </c>
      <c r="AB46" s="16" t="str">
        <f t="shared" si="12"/>
        <v>abe/no_mgmt.csv</v>
      </c>
      <c r="AC46" s="16" t="str">
        <f t="shared" si="13"/>
        <v>gis/WindModifier_cl4.asc</v>
      </c>
      <c r="AD46" s="16">
        <f t="shared" si="14"/>
        <v>5.0264403465713306E-7</v>
      </c>
      <c r="AE46" s="16" t="str">
        <f t="shared" si="17"/>
        <v>NCC-NorESM1-M_historical_point26511</v>
      </c>
      <c r="AF46" s="16" t="str">
        <f t="shared" si="15"/>
        <v>wind_Events/Scaled_cl4_repl5.txt</v>
      </c>
      <c r="AG46" s="16" t="str">
        <f t="shared" si="16"/>
        <v>NCC-NorESM1-M_Scaled_Cluster4_repl5</v>
      </c>
      <c r="AH46" s="16" t="s">
        <v>272</v>
      </c>
      <c r="AI46" s="16" t="s">
        <v>273</v>
      </c>
    </row>
    <row r="47" spans="1:35" ht="13.8">
      <c r="A47" s="7" t="str">
        <f t="shared" si="0"/>
        <v>ICHEC-EC-EARTH_Scaled_Cluster5_repl1</v>
      </c>
      <c r="B47" s="8" t="s">
        <v>16</v>
      </c>
      <c r="C47" s="8" t="s">
        <v>54</v>
      </c>
      <c r="D47" s="9" t="s">
        <v>17</v>
      </c>
      <c r="E47" s="9" t="str">
        <f t="shared" si="1"/>
        <v>historical</v>
      </c>
      <c r="F47" s="8">
        <v>350</v>
      </c>
      <c r="G47" s="8" t="s">
        <v>18</v>
      </c>
      <c r="H47" s="8">
        <v>1</v>
      </c>
      <c r="I47" s="8">
        <v>0</v>
      </c>
      <c r="J47" s="8">
        <v>5</v>
      </c>
      <c r="K47" s="8" t="s">
        <v>160</v>
      </c>
      <c r="L47" s="8">
        <v>1</v>
      </c>
      <c r="M47" s="8"/>
      <c r="N47" s="8">
        <v>1</v>
      </c>
      <c r="O47" s="10" t="s">
        <v>21</v>
      </c>
      <c r="P47" s="17" t="s">
        <v>59</v>
      </c>
      <c r="Q47" s="10" t="str">
        <f t="shared" si="2"/>
        <v>ICHEC-EC-EARTH_Scaled_Cluster5_repl1.sqlite</v>
      </c>
      <c r="R47" s="11">
        <f t="shared" si="3"/>
        <v>1</v>
      </c>
      <c r="S47" s="11">
        <v>0</v>
      </c>
      <c r="T47" s="16" t="str">
        <f t="shared" si="4"/>
        <v>climate_db_ICHEC-EC-EARTH_historical_v4.sqlite</v>
      </c>
      <c r="U47" s="16" t="str">
        <f t="shared" si="5"/>
        <v>log/ICHEC-EC-EARTH_Scaled_Cluster5_repl1.txt</v>
      </c>
      <c r="V47" s="16" t="str">
        <f t="shared" si="6"/>
        <v>init/env_file_CLUSTER05_REPL1_ICHEC-EC-EARTH_historical.csv</v>
      </c>
      <c r="W47" s="16" t="str">
        <f t="shared" si="7"/>
        <v>init/env_grid_CLUSTER05_REPL1.asc</v>
      </c>
      <c r="X47" s="16" t="str">
        <f t="shared" si="8"/>
        <v>init/env_grid_CLUSTER05_REPL1.asc</v>
      </c>
      <c r="Y47" s="16" t="str">
        <f t="shared" si="9"/>
        <v>trees_CLUSTER05.csv</v>
      </c>
      <c r="Z47" s="16" t="str">
        <f t="shared" si="10"/>
        <v>saplings_CLUSTER05.csv</v>
      </c>
      <c r="AA47" s="16">
        <f t="shared" si="11"/>
        <v>350</v>
      </c>
      <c r="AB47" s="16" t="str">
        <f t="shared" si="12"/>
        <v>abe/no_mgmt.csv</v>
      </c>
      <c r="AC47" s="16" t="str">
        <f t="shared" si="13"/>
        <v>gis/WindModifier_cl5.asc</v>
      </c>
      <c r="AD47" s="16">
        <f t="shared" si="14"/>
        <v>1E-10</v>
      </c>
      <c r="AE47" s="16" t="str">
        <f t="shared" si="17"/>
        <v>ICHEC-EC-EARTH_historical_point31053</v>
      </c>
      <c r="AF47" s="16" t="str">
        <f t="shared" si="15"/>
        <v>wind_Events/Scaled_cl5_repl1.txt</v>
      </c>
      <c r="AG47" s="16" t="str">
        <f t="shared" si="16"/>
        <v>ICHEC-EC-EARTH_Scaled_Cluster5_repl1</v>
      </c>
      <c r="AH47" s="16" t="s">
        <v>274</v>
      </c>
      <c r="AI47" s="16" t="s">
        <v>275</v>
      </c>
    </row>
    <row r="48" spans="1:35" ht="13.8">
      <c r="A48" s="7" t="str">
        <f t="shared" si="0"/>
        <v>MPI-M-MPI-ESM-LR_Scaled_Cluster5_repl1</v>
      </c>
      <c r="B48" s="8" t="s">
        <v>16</v>
      </c>
      <c r="C48" s="8" t="s">
        <v>54</v>
      </c>
      <c r="D48" s="9" t="s">
        <v>17</v>
      </c>
      <c r="E48" s="9" t="str">
        <f t="shared" si="1"/>
        <v>historical</v>
      </c>
      <c r="F48" s="8">
        <v>350</v>
      </c>
      <c r="G48" s="8" t="s">
        <v>63</v>
      </c>
      <c r="H48" s="8">
        <v>2</v>
      </c>
      <c r="I48" s="8">
        <v>0</v>
      </c>
      <c r="J48" s="8">
        <v>5</v>
      </c>
      <c r="K48" s="8" t="s">
        <v>169</v>
      </c>
      <c r="L48" s="8">
        <v>1</v>
      </c>
      <c r="M48" s="8"/>
      <c r="N48" s="8">
        <v>1</v>
      </c>
      <c r="O48" s="10" t="s">
        <v>21</v>
      </c>
      <c r="P48" s="17" t="s">
        <v>59</v>
      </c>
      <c r="Q48" s="10" t="str">
        <f t="shared" si="2"/>
        <v>MPI-M-MPI-ESM-LR_Scaled_Cluster5_repl1.sqlite</v>
      </c>
      <c r="R48" s="11">
        <f t="shared" si="3"/>
        <v>2</v>
      </c>
      <c r="S48" s="11">
        <v>0</v>
      </c>
      <c r="T48" s="16" t="str">
        <f t="shared" si="4"/>
        <v>climate_db_MPI-M-MPI-ESM-LR_historical_v4.sqlite</v>
      </c>
      <c r="U48" s="16" t="str">
        <f t="shared" si="5"/>
        <v>log/MPI-M-MPI-ESM-LR_Scaled_Cluster5_repl1.txt</v>
      </c>
      <c r="V48" s="16" t="str">
        <f t="shared" si="6"/>
        <v>init/env_file_CLUSTER05_REPL1_MPI-M-MPI-ESM-LR_historical.csv</v>
      </c>
      <c r="W48" s="16" t="str">
        <f t="shared" si="7"/>
        <v>init/env_grid_CLUSTER05_REPL1.asc</v>
      </c>
      <c r="X48" s="16" t="str">
        <f t="shared" si="8"/>
        <v>init/env_grid_CLUSTER05_REPL1.asc</v>
      </c>
      <c r="Y48" s="16" t="str">
        <f t="shared" si="9"/>
        <v>trees_CLUSTER05.csv</v>
      </c>
      <c r="Z48" s="16" t="str">
        <f t="shared" si="10"/>
        <v>saplings_CLUSTER05.csv</v>
      </c>
      <c r="AA48" s="16">
        <f t="shared" si="11"/>
        <v>350</v>
      </c>
      <c r="AB48" s="16" t="str">
        <f t="shared" si="12"/>
        <v>abe/no_mgmt.csv</v>
      </c>
      <c r="AC48" s="16" t="str">
        <f t="shared" si="13"/>
        <v>gis/WindModifier_cl5.asc</v>
      </c>
      <c r="AD48" s="16">
        <f t="shared" si="14"/>
        <v>1E-10</v>
      </c>
      <c r="AE48" s="16" t="str">
        <f t="shared" si="17"/>
        <v>MPI-M-MPI-ESM-LR_historical_point31054</v>
      </c>
      <c r="AF48" s="16" t="str">
        <f t="shared" si="15"/>
        <v>wind_Events/Scaled_cl5_repl1.txt</v>
      </c>
      <c r="AG48" s="16" t="str">
        <f t="shared" si="16"/>
        <v>MPI-M-MPI-ESM-LR_Scaled_Cluster5_repl1</v>
      </c>
      <c r="AH48" s="16" t="s">
        <v>276</v>
      </c>
      <c r="AI48" s="16" t="s">
        <v>277</v>
      </c>
    </row>
    <row r="49" spans="1:35" ht="13.8">
      <c r="A49" s="7" t="str">
        <f t="shared" si="0"/>
        <v>NCC-NorESM1-M_Scaled_Cluster5_repl1</v>
      </c>
      <c r="B49" s="8" t="s">
        <v>16</v>
      </c>
      <c r="C49" s="8" t="s">
        <v>54</v>
      </c>
      <c r="D49" s="9" t="s">
        <v>17</v>
      </c>
      <c r="E49" s="9" t="str">
        <f t="shared" si="1"/>
        <v>historical</v>
      </c>
      <c r="F49" s="8">
        <v>350</v>
      </c>
      <c r="G49" s="8" t="s">
        <v>60</v>
      </c>
      <c r="H49" s="8">
        <v>3</v>
      </c>
      <c r="I49" s="8">
        <v>0</v>
      </c>
      <c r="J49" s="8">
        <v>5</v>
      </c>
      <c r="K49" s="8" t="s">
        <v>175</v>
      </c>
      <c r="L49" s="8">
        <v>1</v>
      </c>
      <c r="M49" s="8"/>
      <c r="N49" s="8">
        <v>1</v>
      </c>
      <c r="O49" s="10" t="s">
        <v>21</v>
      </c>
      <c r="P49" s="17" t="s">
        <v>59</v>
      </c>
      <c r="Q49" s="10" t="str">
        <f t="shared" si="2"/>
        <v>NCC-NorESM1-M_Scaled_Cluster5_repl1.sqlite</v>
      </c>
      <c r="R49" s="11">
        <f t="shared" si="3"/>
        <v>3</v>
      </c>
      <c r="S49" s="11">
        <v>0</v>
      </c>
      <c r="T49" s="16" t="str">
        <f t="shared" si="4"/>
        <v>climate_db_NCC-NorESM1-M_historical_v4.sqlite</v>
      </c>
      <c r="U49" s="16" t="str">
        <f t="shared" si="5"/>
        <v>log/NCC-NorESM1-M_Scaled_Cluster5_repl1.txt</v>
      </c>
      <c r="V49" s="16" t="str">
        <f t="shared" si="6"/>
        <v>init/env_file_CLUSTER05_REPL1_NCC-NorESM1-M_historical.csv</v>
      </c>
      <c r="W49" s="16" t="str">
        <f t="shared" si="7"/>
        <v>init/env_grid_CLUSTER05_REPL1.asc</v>
      </c>
      <c r="X49" s="16" t="str">
        <f t="shared" si="8"/>
        <v>init/env_grid_CLUSTER05_REPL1.asc</v>
      </c>
      <c r="Y49" s="16" t="str">
        <f t="shared" si="9"/>
        <v>trees_CLUSTER05.csv</v>
      </c>
      <c r="Z49" s="16" t="str">
        <f t="shared" si="10"/>
        <v>saplings_CLUSTER05.csv</v>
      </c>
      <c r="AA49" s="16">
        <f t="shared" si="11"/>
        <v>350</v>
      </c>
      <c r="AB49" s="16" t="str">
        <f t="shared" si="12"/>
        <v>abe/no_mgmt.csv</v>
      </c>
      <c r="AC49" s="16" t="str">
        <f t="shared" si="13"/>
        <v>gis/WindModifier_cl5.asc</v>
      </c>
      <c r="AD49" s="16">
        <f t="shared" si="14"/>
        <v>1E-10</v>
      </c>
      <c r="AE49" s="16" t="str">
        <f t="shared" si="17"/>
        <v>NCC-NorESM1-M_historical_point29016</v>
      </c>
      <c r="AF49" s="16" t="str">
        <f t="shared" si="15"/>
        <v>wind_Events/Scaled_cl5_repl1.txt</v>
      </c>
      <c r="AG49" s="16" t="str">
        <f t="shared" si="16"/>
        <v>NCC-NorESM1-M_Scaled_Cluster5_repl1</v>
      </c>
      <c r="AH49" s="16" t="s">
        <v>278</v>
      </c>
      <c r="AI49" s="16" t="s">
        <v>279</v>
      </c>
    </row>
    <row r="50" spans="1:35" ht="13.8">
      <c r="A50" s="7" t="str">
        <f t="shared" si="0"/>
        <v>ICHEC-EC-EARTH_Scaled_Cluster5_repl2</v>
      </c>
      <c r="B50" s="8" t="s">
        <v>16</v>
      </c>
      <c r="C50" s="8" t="s">
        <v>54</v>
      </c>
      <c r="D50" s="9" t="s">
        <v>17</v>
      </c>
      <c r="E50" s="9" t="str">
        <f t="shared" si="1"/>
        <v>historical</v>
      </c>
      <c r="F50" s="8">
        <v>350</v>
      </c>
      <c r="G50" s="8" t="s">
        <v>18</v>
      </c>
      <c r="H50" s="8">
        <v>1</v>
      </c>
      <c r="I50" s="8">
        <v>0</v>
      </c>
      <c r="J50" s="8">
        <v>5</v>
      </c>
      <c r="K50" s="8" t="s">
        <v>160</v>
      </c>
      <c r="L50" s="8">
        <v>2</v>
      </c>
      <c r="M50" s="8"/>
      <c r="N50" s="8">
        <v>1</v>
      </c>
      <c r="O50" s="10" t="s">
        <v>21</v>
      </c>
      <c r="P50" s="17" t="s">
        <v>59</v>
      </c>
      <c r="Q50" s="10" t="str">
        <f t="shared" si="2"/>
        <v>ICHEC-EC-EARTH_Scaled_Cluster5_repl2.sqlite</v>
      </c>
      <c r="R50" s="11">
        <f t="shared" si="3"/>
        <v>4</v>
      </c>
      <c r="S50" s="11">
        <v>0</v>
      </c>
      <c r="T50" s="16" t="str">
        <f t="shared" si="4"/>
        <v>climate_db_ICHEC-EC-EARTH_historical_v4.sqlite</v>
      </c>
      <c r="U50" s="16" t="str">
        <f t="shared" si="5"/>
        <v>log/ICHEC-EC-EARTH_Scaled_Cluster5_repl2.txt</v>
      </c>
      <c r="V50" s="16" t="str">
        <f t="shared" si="6"/>
        <v>init/env_file_CLUSTER05_REPL2_ICHEC-EC-EARTH_historical.csv</v>
      </c>
      <c r="W50" s="16" t="str">
        <f t="shared" si="7"/>
        <v>init/env_grid_CLUSTER05_REPL2.asc</v>
      </c>
      <c r="X50" s="16" t="str">
        <f t="shared" si="8"/>
        <v>init/env_grid_CLUSTER05_REPL2.asc</v>
      </c>
      <c r="Y50" s="16" t="str">
        <f t="shared" si="9"/>
        <v>trees_CLUSTER05.csv</v>
      </c>
      <c r="Z50" s="16" t="str">
        <f t="shared" si="10"/>
        <v>saplings_CLUSTER05.csv</v>
      </c>
      <c r="AA50" s="16">
        <f t="shared" si="11"/>
        <v>350</v>
      </c>
      <c r="AB50" s="16" t="str">
        <f t="shared" si="12"/>
        <v>abe/no_mgmt.csv</v>
      </c>
      <c r="AC50" s="16" t="str">
        <f t="shared" si="13"/>
        <v>gis/WindModifier_cl5.asc</v>
      </c>
      <c r="AD50" s="16">
        <f t="shared" si="14"/>
        <v>1E-10</v>
      </c>
      <c r="AE50" s="16" t="str">
        <f t="shared" si="17"/>
        <v>ICHEC-EC-EARTH_historical_point31053</v>
      </c>
      <c r="AF50" s="16" t="str">
        <f t="shared" si="15"/>
        <v>wind_Events/Scaled_cl5_repl2.txt</v>
      </c>
      <c r="AG50" s="16" t="str">
        <f t="shared" si="16"/>
        <v>ICHEC-EC-EARTH_Scaled_Cluster5_repl2</v>
      </c>
      <c r="AH50" s="16" t="s">
        <v>280</v>
      </c>
      <c r="AI50" s="16" t="s">
        <v>281</v>
      </c>
    </row>
    <row r="51" spans="1:35" ht="13.8">
      <c r="A51" s="7" t="str">
        <f t="shared" si="0"/>
        <v>MPI-M-MPI-ESM-LR_Scaled_Cluster5_repl2</v>
      </c>
      <c r="B51" s="8" t="s">
        <v>16</v>
      </c>
      <c r="C51" s="8" t="s">
        <v>54</v>
      </c>
      <c r="D51" s="9" t="s">
        <v>17</v>
      </c>
      <c r="E51" s="9" t="str">
        <f t="shared" si="1"/>
        <v>historical</v>
      </c>
      <c r="F51" s="8">
        <v>350</v>
      </c>
      <c r="G51" s="8" t="s">
        <v>63</v>
      </c>
      <c r="H51" s="8">
        <v>2</v>
      </c>
      <c r="I51" s="8">
        <v>0</v>
      </c>
      <c r="J51" s="8">
        <v>5</v>
      </c>
      <c r="K51" s="8" t="s">
        <v>169</v>
      </c>
      <c r="L51" s="8">
        <v>2</v>
      </c>
      <c r="M51" s="8"/>
      <c r="N51" s="8">
        <v>1</v>
      </c>
      <c r="O51" s="10" t="s">
        <v>21</v>
      </c>
      <c r="P51" s="17" t="s">
        <v>59</v>
      </c>
      <c r="Q51" s="10" t="str">
        <f t="shared" si="2"/>
        <v>MPI-M-MPI-ESM-LR_Scaled_Cluster5_repl2.sqlite</v>
      </c>
      <c r="R51" s="11">
        <f t="shared" si="3"/>
        <v>5</v>
      </c>
      <c r="S51" s="11">
        <v>0</v>
      </c>
      <c r="T51" s="16" t="str">
        <f t="shared" si="4"/>
        <v>climate_db_MPI-M-MPI-ESM-LR_historical_v4.sqlite</v>
      </c>
      <c r="U51" s="16" t="str">
        <f t="shared" si="5"/>
        <v>log/MPI-M-MPI-ESM-LR_Scaled_Cluster5_repl2.txt</v>
      </c>
      <c r="V51" s="16" t="str">
        <f t="shared" si="6"/>
        <v>init/env_file_CLUSTER05_REPL2_MPI-M-MPI-ESM-LR_historical.csv</v>
      </c>
      <c r="W51" s="16" t="str">
        <f t="shared" si="7"/>
        <v>init/env_grid_CLUSTER05_REPL2.asc</v>
      </c>
      <c r="X51" s="16" t="str">
        <f t="shared" si="8"/>
        <v>init/env_grid_CLUSTER05_REPL2.asc</v>
      </c>
      <c r="Y51" s="16" t="str">
        <f t="shared" si="9"/>
        <v>trees_CLUSTER05.csv</v>
      </c>
      <c r="Z51" s="16" t="str">
        <f t="shared" si="10"/>
        <v>saplings_CLUSTER05.csv</v>
      </c>
      <c r="AA51" s="16">
        <f t="shared" si="11"/>
        <v>350</v>
      </c>
      <c r="AB51" s="16" t="str">
        <f t="shared" si="12"/>
        <v>abe/no_mgmt.csv</v>
      </c>
      <c r="AC51" s="16" t="str">
        <f t="shared" si="13"/>
        <v>gis/WindModifier_cl5.asc</v>
      </c>
      <c r="AD51" s="16">
        <f t="shared" si="14"/>
        <v>1E-10</v>
      </c>
      <c r="AE51" s="16" t="str">
        <f t="shared" si="17"/>
        <v>MPI-M-MPI-ESM-LR_historical_point31054</v>
      </c>
      <c r="AF51" s="16" t="str">
        <f t="shared" si="15"/>
        <v>wind_Events/Scaled_cl5_repl2.txt</v>
      </c>
      <c r="AG51" s="16" t="str">
        <f t="shared" si="16"/>
        <v>MPI-M-MPI-ESM-LR_Scaled_Cluster5_repl2</v>
      </c>
      <c r="AH51" s="16" t="s">
        <v>282</v>
      </c>
      <c r="AI51" s="16" t="s">
        <v>283</v>
      </c>
    </row>
    <row r="52" spans="1:35" ht="13.8">
      <c r="A52" s="7" t="str">
        <f t="shared" si="0"/>
        <v>NCC-NorESM1-M_Scaled_Cluster5_repl2</v>
      </c>
      <c r="B52" s="8" t="s">
        <v>16</v>
      </c>
      <c r="C52" s="8" t="s">
        <v>54</v>
      </c>
      <c r="D52" s="9" t="s">
        <v>17</v>
      </c>
      <c r="E52" s="9" t="str">
        <f t="shared" si="1"/>
        <v>historical</v>
      </c>
      <c r="F52" s="8">
        <v>350</v>
      </c>
      <c r="G52" s="8" t="s">
        <v>60</v>
      </c>
      <c r="H52" s="8">
        <v>3</v>
      </c>
      <c r="I52" s="8">
        <v>0</v>
      </c>
      <c r="J52" s="8">
        <v>5</v>
      </c>
      <c r="K52" s="8" t="s">
        <v>175</v>
      </c>
      <c r="L52" s="8">
        <v>2</v>
      </c>
      <c r="M52" s="8"/>
      <c r="N52" s="8">
        <v>1</v>
      </c>
      <c r="O52" s="10" t="s">
        <v>21</v>
      </c>
      <c r="P52" s="17" t="s">
        <v>59</v>
      </c>
      <c r="Q52" s="10" t="str">
        <f t="shared" si="2"/>
        <v>NCC-NorESM1-M_Scaled_Cluster5_repl2.sqlite</v>
      </c>
      <c r="R52" s="11">
        <f t="shared" si="3"/>
        <v>6</v>
      </c>
      <c r="S52" s="11">
        <v>0</v>
      </c>
      <c r="T52" s="16" t="str">
        <f t="shared" si="4"/>
        <v>climate_db_NCC-NorESM1-M_historical_v4.sqlite</v>
      </c>
      <c r="U52" s="16" t="str">
        <f t="shared" si="5"/>
        <v>log/NCC-NorESM1-M_Scaled_Cluster5_repl2.txt</v>
      </c>
      <c r="V52" s="16" t="str">
        <f t="shared" si="6"/>
        <v>init/env_file_CLUSTER05_REPL2_NCC-NorESM1-M_historical.csv</v>
      </c>
      <c r="W52" s="16" t="str">
        <f t="shared" si="7"/>
        <v>init/env_grid_CLUSTER05_REPL2.asc</v>
      </c>
      <c r="X52" s="16" t="str">
        <f t="shared" si="8"/>
        <v>init/env_grid_CLUSTER05_REPL2.asc</v>
      </c>
      <c r="Y52" s="16" t="str">
        <f t="shared" si="9"/>
        <v>trees_CLUSTER05.csv</v>
      </c>
      <c r="Z52" s="16" t="str">
        <f t="shared" si="10"/>
        <v>saplings_CLUSTER05.csv</v>
      </c>
      <c r="AA52" s="16">
        <f t="shared" si="11"/>
        <v>350</v>
      </c>
      <c r="AB52" s="16" t="str">
        <f t="shared" si="12"/>
        <v>abe/no_mgmt.csv</v>
      </c>
      <c r="AC52" s="16" t="str">
        <f t="shared" si="13"/>
        <v>gis/WindModifier_cl5.asc</v>
      </c>
      <c r="AD52" s="16">
        <f t="shared" si="14"/>
        <v>1E-10</v>
      </c>
      <c r="AE52" s="16" t="str">
        <f t="shared" si="17"/>
        <v>NCC-NorESM1-M_historical_point29016</v>
      </c>
      <c r="AF52" s="16" t="str">
        <f t="shared" si="15"/>
        <v>wind_Events/Scaled_cl5_repl2.txt</v>
      </c>
      <c r="AG52" s="16" t="str">
        <f t="shared" si="16"/>
        <v>NCC-NorESM1-M_Scaled_Cluster5_repl2</v>
      </c>
      <c r="AH52" s="16" t="s">
        <v>284</v>
      </c>
      <c r="AI52" s="16" t="s">
        <v>285</v>
      </c>
    </row>
    <row r="53" spans="1:35" ht="13.8">
      <c r="A53" s="7" t="str">
        <f t="shared" si="0"/>
        <v>ICHEC-EC-EARTH_Scaled_Cluster5_repl3</v>
      </c>
      <c r="B53" s="8" t="s">
        <v>16</v>
      </c>
      <c r="C53" s="8" t="s">
        <v>54</v>
      </c>
      <c r="D53" s="9" t="s">
        <v>17</v>
      </c>
      <c r="E53" s="9" t="str">
        <f t="shared" si="1"/>
        <v>historical</v>
      </c>
      <c r="F53" s="8">
        <v>350</v>
      </c>
      <c r="G53" s="8" t="s">
        <v>18</v>
      </c>
      <c r="H53" s="8">
        <v>1</v>
      </c>
      <c r="I53" s="8">
        <v>0</v>
      </c>
      <c r="J53" s="8">
        <v>5</v>
      </c>
      <c r="K53" s="8" t="s">
        <v>160</v>
      </c>
      <c r="L53" s="8">
        <v>3</v>
      </c>
      <c r="M53" s="8"/>
      <c r="N53" s="8">
        <v>1</v>
      </c>
      <c r="O53" s="10" t="s">
        <v>21</v>
      </c>
      <c r="P53" s="17" t="s">
        <v>59</v>
      </c>
      <c r="Q53" s="10" t="str">
        <f t="shared" si="2"/>
        <v>ICHEC-EC-EARTH_Scaled_Cluster5_repl3.sqlite</v>
      </c>
      <c r="R53" s="11">
        <f t="shared" si="3"/>
        <v>7</v>
      </c>
      <c r="S53" s="11">
        <v>0</v>
      </c>
      <c r="T53" s="16" t="str">
        <f t="shared" si="4"/>
        <v>climate_db_ICHEC-EC-EARTH_historical_v4.sqlite</v>
      </c>
      <c r="U53" s="16" t="str">
        <f t="shared" si="5"/>
        <v>log/ICHEC-EC-EARTH_Scaled_Cluster5_repl3.txt</v>
      </c>
      <c r="V53" s="16" t="str">
        <f t="shared" si="6"/>
        <v>init/env_file_CLUSTER05_REPL3_ICHEC-EC-EARTH_historical.csv</v>
      </c>
      <c r="W53" s="16" t="str">
        <f t="shared" si="7"/>
        <v>init/env_grid_CLUSTER05_REPL3.asc</v>
      </c>
      <c r="X53" s="16" t="str">
        <f t="shared" si="8"/>
        <v>init/env_grid_CLUSTER05_REPL3.asc</v>
      </c>
      <c r="Y53" s="16" t="str">
        <f t="shared" si="9"/>
        <v>trees_CLUSTER05.csv</v>
      </c>
      <c r="Z53" s="16" t="str">
        <f t="shared" si="10"/>
        <v>saplings_CLUSTER05.csv</v>
      </c>
      <c r="AA53" s="16">
        <f t="shared" si="11"/>
        <v>350</v>
      </c>
      <c r="AB53" s="16" t="str">
        <f t="shared" si="12"/>
        <v>abe/no_mgmt.csv</v>
      </c>
      <c r="AC53" s="16" t="str">
        <f t="shared" si="13"/>
        <v>gis/WindModifier_cl5.asc</v>
      </c>
      <c r="AD53" s="16">
        <f t="shared" si="14"/>
        <v>1E-10</v>
      </c>
      <c r="AE53" s="16" t="str">
        <f t="shared" si="17"/>
        <v>ICHEC-EC-EARTH_historical_point31053</v>
      </c>
      <c r="AF53" s="16" t="str">
        <f t="shared" si="15"/>
        <v>wind_Events/Scaled_cl5_repl3.txt</v>
      </c>
      <c r="AG53" s="16" t="str">
        <f t="shared" si="16"/>
        <v>ICHEC-EC-EARTH_Scaled_Cluster5_repl3</v>
      </c>
      <c r="AH53" s="16" t="s">
        <v>286</v>
      </c>
      <c r="AI53" s="16" t="s">
        <v>287</v>
      </c>
    </row>
    <row r="54" spans="1:35" ht="13.8">
      <c r="A54" s="7" t="str">
        <f t="shared" si="0"/>
        <v>MPI-M-MPI-ESM-LR_Scaled_Cluster5_repl3</v>
      </c>
      <c r="B54" s="8" t="s">
        <v>16</v>
      </c>
      <c r="C54" s="8" t="s">
        <v>54</v>
      </c>
      <c r="D54" s="9" t="s">
        <v>17</v>
      </c>
      <c r="E54" s="9" t="str">
        <f t="shared" si="1"/>
        <v>historical</v>
      </c>
      <c r="F54" s="8">
        <v>350</v>
      </c>
      <c r="G54" s="8" t="s">
        <v>63</v>
      </c>
      <c r="H54" s="8">
        <v>2</v>
      </c>
      <c r="I54" s="8">
        <v>0</v>
      </c>
      <c r="J54" s="8">
        <v>5</v>
      </c>
      <c r="K54" s="8" t="s">
        <v>169</v>
      </c>
      <c r="L54" s="8">
        <v>3</v>
      </c>
      <c r="M54" s="8"/>
      <c r="N54" s="8">
        <v>1</v>
      </c>
      <c r="O54" s="10" t="s">
        <v>21</v>
      </c>
      <c r="P54" s="17" t="s">
        <v>59</v>
      </c>
      <c r="Q54" s="10" t="str">
        <f t="shared" si="2"/>
        <v>MPI-M-MPI-ESM-LR_Scaled_Cluster5_repl3.sqlite</v>
      </c>
      <c r="R54" s="11">
        <f t="shared" si="3"/>
        <v>8</v>
      </c>
      <c r="S54" s="11">
        <v>0</v>
      </c>
      <c r="T54" s="16" t="str">
        <f t="shared" si="4"/>
        <v>climate_db_MPI-M-MPI-ESM-LR_historical_v4.sqlite</v>
      </c>
      <c r="U54" s="16" t="str">
        <f t="shared" si="5"/>
        <v>log/MPI-M-MPI-ESM-LR_Scaled_Cluster5_repl3.txt</v>
      </c>
      <c r="V54" s="16" t="str">
        <f t="shared" si="6"/>
        <v>init/env_file_CLUSTER05_REPL3_MPI-M-MPI-ESM-LR_historical.csv</v>
      </c>
      <c r="W54" s="16" t="str">
        <f t="shared" si="7"/>
        <v>init/env_grid_CLUSTER05_REPL3.asc</v>
      </c>
      <c r="X54" s="16" t="str">
        <f t="shared" si="8"/>
        <v>init/env_grid_CLUSTER05_REPL3.asc</v>
      </c>
      <c r="Y54" s="16" t="str">
        <f t="shared" si="9"/>
        <v>trees_CLUSTER05.csv</v>
      </c>
      <c r="Z54" s="16" t="str">
        <f t="shared" si="10"/>
        <v>saplings_CLUSTER05.csv</v>
      </c>
      <c r="AA54" s="16">
        <f t="shared" si="11"/>
        <v>350</v>
      </c>
      <c r="AB54" s="16" t="str">
        <f t="shared" si="12"/>
        <v>abe/no_mgmt.csv</v>
      </c>
      <c r="AC54" s="16" t="str">
        <f t="shared" si="13"/>
        <v>gis/WindModifier_cl5.asc</v>
      </c>
      <c r="AD54" s="16">
        <f t="shared" si="14"/>
        <v>1E-10</v>
      </c>
      <c r="AE54" s="16" t="str">
        <f t="shared" si="17"/>
        <v>MPI-M-MPI-ESM-LR_historical_point31054</v>
      </c>
      <c r="AF54" s="16" t="str">
        <f t="shared" si="15"/>
        <v>wind_Events/Scaled_cl5_repl3.txt</v>
      </c>
      <c r="AG54" s="16" t="str">
        <f t="shared" si="16"/>
        <v>MPI-M-MPI-ESM-LR_Scaled_Cluster5_repl3</v>
      </c>
      <c r="AH54" s="16" t="s">
        <v>288</v>
      </c>
      <c r="AI54" s="16" t="s">
        <v>289</v>
      </c>
    </row>
    <row r="55" spans="1:35" ht="13.8">
      <c r="A55" s="7" t="str">
        <f t="shared" si="0"/>
        <v>NCC-NorESM1-M_Scaled_Cluster5_repl3</v>
      </c>
      <c r="B55" s="8" t="s">
        <v>16</v>
      </c>
      <c r="C55" s="8" t="s">
        <v>54</v>
      </c>
      <c r="D55" s="9" t="s">
        <v>17</v>
      </c>
      <c r="E55" s="9" t="str">
        <f t="shared" si="1"/>
        <v>historical</v>
      </c>
      <c r="F55" s="8">
        <v>350</v>
      </c>
      <c r="G55" s="8" t="s">
        <v>60</v>
      </c>
      <c r="H55" s="8">
        <v>3</v>
      </c>
      <c r="I55" s="8">
        <v>0</v>
      </c>
      <c r="J55" s="8">
        <v>5</v>
      </c>
      <c r="K55" s="8" t="s">
        <v>175</v>
      </c>
      <c r="L55" s="8">
        <v>3</v>
      </c>
      <c r="M55" s="8"/>
      <c r="N55" s="8">
        <v>1</v>
      </c>
      <c r="O55" s="10" t="s">
        <v>21</v>
      </c>
      <c r="P55" s="17" t="s">
        <v>59</v>
      </c>
      <c r="Q55" s="10" t="str">
        <f t="shared" si="2"/>
        <v>NCC-NorESM1-M_Scaled_Cluster5_repl3.sqlite</v>
      </c>
      <c r="R55" s="11">
        <f t="shared" si="3"/>
        <v>9</v>
      </c>
      <c r="S55" s="11">
        <v>0</v>
      </c>
      <c r="T55" s="16" t="str">
        <f t="shared" si="4"/>
        <v>climate_db_NCC-NorESM1-M_historical_v4.sqlite</v>
      </c>
      <c r="U55" s="16" t="str">
        <f t="shared" si="5"/>
        <v>log/NCC-NorESM1-M_Scaled_Cluster5_repl3.txt</v>
      </c>
      <c r="V55" s="16" t="str">
        <f t="shared" si="6"/>
        <v>init/env_file_CLUSTER05_REPL3_NCC-NorESM1-M_historical.csv</v>
      </c>
      <c r="W55" s="16" t="str">
        <f t="shared" si="7"/>
        <v>init/env_grid_CLUSTER05_REPL3.asc</v>
      </c>
      <c r="X55" s="16" t="str">
        <f t="shared" si="8"/>
        <v>init/env_grid_CLUSTER05_REPL3.asc</v>
      </c>
      <c r="Y55" s="16" t="str">
        <f t="shared" si="9"/>
        <v>trees_CLUSTER05.csv</v>
      </c>
      <c r="Z55" s="16" t="str">
        <f t="shared" si="10"/>
        <v>saplings_CLUSTER05.csv</v>
      </c>
      <c r="AA55" s="16">
        <f t="shared" si="11"/>
        <v>350</v>
      </c>
      <c r="AB55" s="16" t="str">
        <f t="shared" si="12"/>
        <v>abe/no_mgmt.csv</v>
      </c>
      <c r="AC55" s="16" t="str">
        <f t="shared" si="13"/>
        <v>gis/WindModifier_cl5.asc</v>
      </c>
      <c r="AD55" s="16">
        <f t="shared" si="14"/>
        <v>1E-10</v>
      </c>
      <c r="AE55" s="16" t="str">
        <f t="shared" si="17"/>
        <v>NCC-NorESM1-M_historical_point29016</v>
      </c>
      <c r="AF55" s="16" t="str">
        <f t="shared" si="15"/>
        <v>wind_Events/Scaled_cl5_repl3.txt</v>
      </c>
      <c r="AG55" s="16" t="str">
        <f t="shared" si="16"/>
        <v>NCC-NorESM1-M_Scaled_Cluster5_repl3</v>
      </c>
      <c r="AH55" s="16" t="s">
        <v>290</v>
      </c>
      <c r="AI55" s="16" t="s">
        <v>291</v>
      </c>
    </row>
    <row r="56" spans="1:35" ht="13.8">
      <c r="A56" s="7" t="str">
        <f t="shared" si="0"/>
        <v>ICHEC-EC-EARTH_Scaled_Cluster5_repl4</v>
      </c>
      <c r="B56" s="8" t="s">
        <v>16</v>
      </c>
      <c r="C56" s="8" t="s">
        <v>54</v>
      </c>
      <c r="D56" s="9" t="s">
        <v>17</v>
      </c>
      <c r="E56" s="9" t="str">
        <f t="shared" si="1"/>
        <v>historical</v>
      </c>
      <c r="F56" s="8">
        <v>350</v>
      </c>
      <c r="G56" s="8" t="s">
        <v>18</v>
      </c>
      <c r="H56" s="8">
        <v>1</v>
      </c>
      <c r="I56" s="8">
        <v>0</v>
      </c>
      <c r="J56" s="8">
        <v>5</v>
      </c>
      <c r="K56" s="8" t="s">
        <v>160</v>
      </c>
      <c r="L56" s="8">
        <v>4</v>
      </c>
      <c r="M56" s="8"/>
      <c r="N56" s="8">
        <v>1</v>
      </c>
      <c r="O56" s="10" t="s">
        <v>21</v>
      </c>
      <c r="P56" s="17" t="s">
        <v>59</v>
      </c>
      <c r="Q56" s="10" t="str">
        <f t="shared" si="2"/>
        <v>ICHEC-EC-EARTH_Scaled_Cluster5_repl4.sqlite</v>
      </c>
      <c r="R56" s="11">
        <f t="shared" si="3"/>
        <v>10</v>
      </c>
      <c r="S56" s="11">
        <v>0</v>
      </c>
      <c r="T56" s="16" t="str">
        <f t="shared" si="4"/>
        <v>climate_db_ICHEC-EC-EARTH_historical_v4.sqlite</v>
      </c>
      <c r="U56" s="16" t="str">
        <f t="shared" si="5"/>
        <v>log/ICHEC-EC-EARTH_Scaled_Cluster5_repl4.txt</v>
      </c>
      <c r="V56" s="16" t="str">
        <f t="shared" si="6"/>
        <v>init/env_file_CLUSTER05_REPL4_ICHEC-EC-EARTH_historical.csv</v>
      </c>
      <c r="W56" s="16" t="str">
        <f t="shared" si="7"/>
        <v>init/env_grid_CLUSTER05_REPL4.asc</v>
      </c>
      <c r="X56" s="16" t="str">
        <f t="shared" si="8"/>
        <v>init/env_grid_CLUSTER05_REPL4.asc</v>
      </c>
      <c r="Y56" s="16" t="str">
        <f t="shared" si="9"/>
        <v>trees_CLUSTER05.csv</v>
      </c>
      <c r="Z56" s="16" t="str">
        <f t="shared" si="10"/>
        <v>saplings_CLUSTER05.csv</v>
      </c>
      <c r="AA56" s="16">
        <f t="shared" si="11"/>
        <v>350</v>
      </c>
      <c r="AB56" s="16" t="str">
        <f t="shared" si="12"/>
        <v>abe/no_mgmt.csv</v>
      </c>
      <c r="AC56" s="16" t="str">
        <f t="shared" si="13"/>
        <v>gis/WindModifier_cl5.asc</v>
      </c>
      <c r="AD56" s="16">
        <f t="shared" si="14"/>
        <v>1E-10</v>
      </c>
      <c r="AE56" s="16" t="str">
        <f t="shared" si="17"/>
        <v>ICHEC-EC-EARTH_historical_point31053</v>
      </c>
      <c r="AF56" s="16" t="str">
        <f t="shared" si="15"/>
        <v>wind_Events/Scaled_cl5_repl4.txt</v>
      </c>
      <c r="AG56" s="16" t="str">
        <f t="shared" si="16"/>
        <v>ICHEC-EC-EARTH_Scaled_Cluster5_repl4</v>
      </c>
      <c r="AH56" s="16" t="s">
        <v>292</v>
      </c>
      <c r="AI56" s="16" t="s">
        <v>293</v>
      </c>
    </row>
    <row r="57" spans="1:35" ht="13.8">
      <c r="A57" s="7" t="str">
        <f t="shared" si="0"/>
        <v>MPI-M-MPI-ESM-LR_Scaled_Cluster5_repl4</v>
      </c>
      <c r="B57" s="8" t="s">
        <v>16</v>
      </c>
      <c r="C57" s="8" t="s">
        <v>54</v>
      </c>
      <c r="D57" s="9" t="s">
        <v>17</v>
      </c>
      <c r="E57" s="9" t="str">
        <f t="shared" si="1"/>
        <v>historical</v>
      </c>
      <c r="F57" s="8">
        <v>350</v>
      </c>
      <c r="G57" s="8" t="s">
        <v>63</v>
      </c>
      <c r="H57" s="8">
        <v>2</v>
      </c>
      <c r="I57" s="8">
        <v>0</v>
      </c>
      <c r="J57" s="8">
        <v>5</v>
      </c>
      <c r="K57" s="8" t="s">
        <v>169</v>
      </c>
      <c r="L57" s="8">
        <v>4</v>
      </c>
      <c r="M57" s="8"/>
      <c r="N57" s="8">
        <v>1</v>
      </c>
      <c r="O57" s="10" t="s">
        <v>21</v>
      </c>
      <c r="P57" s="17" t="s">
        <v>59</v>
      </c>
      <c r="Q57" s="10" t="str">
        <f t="shared" si="2"/>
        <v>MPI-M-MPI-ESM-LR_Scaled_Cluster5_repl4.sqlite</v>
      </c>
      <c r="R57" s="11">
        <f t="shared" si="3"/>
        <v>11</v>
      </c>
      <c r="S57" s="11">
        <v>0</v>
      </c>
      <c r="T57" s="16" t="str">
        <f t="shared" si="4"/>
        <v>climate_db_MPI-M-MPI-ESM-LR_historical_v4.sqlite</v>
      </c>
      <c r="U57" s="16" t="str">
        <f t="shared" si="5"/>
        <v>log/MPI-M-MPI-ESM-LR_Scaled_Cluster5_repl4.txt</v>
      </c>
      <c r="V57" s="16" t="str">
        <f t="shared" si="6"/>
        <v>init/env_file_CLUSTER05_REPL4_MPI-M-MPI-ESM-LR_historical.csv</v>
      </c>
      <c r="W57" s="16" t="str">
        <f t="shared" si="7"/>
        <v>init/env_grid_CLUSTER05_REPL4.asc</v>
      </c>
      <c r="X57" s="16" t="str">
        <f t="shared" si="8"/>
        <v>init/env_grid_CLUSTER05_REPL4.asc</v>
      </c>
      <c r="Y57" s="16" t="str">
        <f t="shared" si="9"/>
        <v>trees_CLUSTER05.csv</v>
      </c>
      <c r="Z57" s="16" t="str">
        <f t="shared" si="10"/>
        <v>saplings_CLUSTER05.csv</v>
      </c>
      <c r="AA57" s="16">
        <f t="shared" si="11"/>
        <v>350</v>
      </c>
      <c r="AB57" s="16" t="str">
        <f t="shared" si="12"/>
        <v>abe/no_mgmt.csv</v>
      </c>
      <c r="AC57" s="16" t="str">
        <f t="shared" si="13"/>
        <v>gis/WindModifier_cl5.asc</v>
      </c>
      <c r="AD57" s="16">
        <f t="shared" si="14"/>
        <v>1E-10</v>
      </c>
      <c r="AE57" s="16" t="str">
        <f t="shared" si="17"/>
        <v>MPI-M-MPI-ESM-LR_historical_point31054</v>
      </c>
      <c r="AF57" s="16" t="str">
        <f t="shared" si="15"/>
        <v>wind_Events/Scaled_cl5_repl4.txt</v>
      </c>
      <c r="AG57" s="16" t="str">
        <f t="shared" si="16"/>
        <v>MPI-M-MPI-ESM-LR_Scaled_Cluster5_repl4</v>
      </c>
      <c r="AH57" s="16" t="s">
        <v>294</v>
      </c>
      <c r="AI57" s="16" t="s">
        <v>295</v>
      </c>
    </row>
    <row r="58" spans="1:35" ht="13.8">
      <c r="A58" s="7" t="str">
        <f t="shared" si="0"/>
        <v>NCC-NorESM1-M_Scaled_Cluster5_repl4</v>
      </c>
      <c r="B58" s="8" t="s">
        <v>16</v>
      </c>
      <c r="C58" s="8" t="s">
        <v>54</v>
      </c>
      <c r="D58" s="9" t="s">
        <v>17</v>
      </c>
      <c r="E58" s="9" t="str">
        <f t="shared" si="1"/>
        <v>historical</v>
      </c>
      <c r="F58" s="8">
        <v>350</v>
      </c>
      <c r="G58" s="8" t="s">
        <v>60</v>
      </c>
      <c r="H58" s="8">
        <v>3</v>
      </c>
      <c r="I58" s="8">
        <v>0</v>
      </c>
      <c r="J58" s="8">
        <v>5</v>
      </c>
      <c r="K58" s="8" t="s">
        <v>175</v>
      </c>
      <c r="L58" s="8">
        <v>4</v>
      </c>
      <c r="M58" s="8"/>
      <c r="N58" s="8">
        <v>1</v>
      </c>
      <c r="O58" s="10" t="s">
        <v>21</v>
      </c>
      <c r="P58" s="17" t="s">
        <v>59</v>
      </c>
      <c r="Q58" s="10" t="str">
        <f t="shared" si="2"/>
        <v>NCC-NorESM1-M_Scaled_Cluster5_repl4.sqlite</v>
      </c>
      <c r="R58" s="11">
        <f t="shared" si="3"/>
        <v>12</v>
      </c>
      <c r="S58" s="11">
        <v>0</v>
      </c>
      <c r="T58" s="16" t="str">
        <f t="shared" si="4"/>
        <v>climate_db_NCC-NorESM1-M_historical_v4.sqlite</v>
      </c>
      <c r="U58" s="16" t="str">
        <f t="shared" si="5"/>
        <v>log/NCC-NorESM1-M_Scaled_Cluster5_repl4.txt</v>
      </c>
      <c r="V58" s="16" t="str">
        <f t="shared" si="6"/>
        <v>init/env_file_CLUSTER05_REPL4_NCC-NorESM1-M_historical.csv</v>
      </c>
      <c r="W58" s="16" t="str">
        <f t="shared" si="7"/>
        <v>init/env_grid_CLUSTER05_REPL4.asc</v>
      </c>
      <c r="X58" s="16" t="str">
        <f t="shared" si="8"/>
        <v>init/env_grid_CLUSTER05_REPL4.asc</v>
      </c>
      <c r="Y58" s="16" t="str">
        <f t="shared" si="9"/>
        <v>trees_CLUSTER05.csv</v>
      </c>
      <c r="Z58" s="16" t="str">
        <f t="shared" si="10"/>
        <v>saplings_CLUSTER05.csv</v>
      </c>
      <c r="AA58" s="16">
        <f t="shared" si="11"/>
        <v>350</v>
      </c>
      <c r="AB58" s="16" t="str">
        <f t="shared" si="12"/>
        <v>abe/no_mgmt.csv</v>
      </c>
      <c r="AC58" s="16" t="str">
        <f t="shared" si="13"/>
        <v>gis/WindModifier_cl5.asc</v>
      </c>
      <c r="AD58" s="16">
        <f t="shared" si="14"/>
        <v>1E-10</v>
      </c>
      <c r="AE58" s="16" t="str">
        <f t="shared" si="17"/>
        <v>NCC-NorESM1-M_historical_point29016</v>
      </c>
      <c r="AF58" s="16" t="str">
        <f t="shared" si="15"/>
        <v>wind_Events/Scaled_cl5_repl4.txt</v>
      </c>
      <c r="AG58" s="16" t="str">
        <f t="shared" si="16"/>
        <v>NCC-NorESM1-M_Scaled_Cluster5_repl4</v>
      </c>
      <c r="AH58" s="16" t="s">
        <v>296</v>
      </c>
      <c r="AI58" s="16" t="s">
        <v>297</v>
      </c>
    </row>
    <row r="59" spans="1:35" ht="13.8">
      <c r="A59" s="7" t="str">
        <f t="shared" si="0"/>
        <v>ICHEC-EC-EARTH_Scaled_Cluster5_repl5</v>
      </c>
      <c r="B59" s="8" t="s">
        <v>16</v>
      </c>
      <c r="C59" s="8" t="s">
        <v>54</v>
      </c>
      <c r="D59" s="9" t="s">
        <v>17</v>
      </c>
      <c r="E59" s="9" t="str">
        <f t="shared" si="1"/>
        <v>historical</v>
      </c>
      <c r="F59" s="8">
        <v>350</v>
      </c>
      <c r="G59" s="8" t="s">
        <v>18</v>
      </c>
      <c r="H59" s="8">
        <v>1</v>
      </c>
      <c r="I59" s="8">
        <v>0</v>
      </c>
      <c r="J59" s="8">
        <v>5</v>
      </c>
      <c r="K59" s="8" t="s">
        <v>160</v>
      </c>
      <c r="L59" s="8">
        <v>5</v>
      </c>
      <c r="M59" s="8"/>
      <c r="N59" s="8">
        <v>1</v>
      </c>
      <c r="O59" s="10" t="s">
        <v>21</v>
      </c>
      <c r="P59" s="17" t="s">
        <v>59</v>
      </c>
      <c r="Q59" s="10" t="str">
        <f t="shared" si="2"/>
        <v>ICHEC-EC-EARTH_Scaled_Cluster5_repl5.sqlite</v>
      </c>
      <c r="R59" s="11">
        <f t="shared" si="3"/>
        <v>13</v>
      </c>
      <c r="S59" s="11">
        <v>0</v>
      </c>
      <c r="T59" s="16" t="str">
        <f t="shared" si="4"/>
        <v>climate_db_ICHEC-EC-EARTH_historical_v4.sqlite</v>
      </c>
      <c r="U59" s="16" t="str">
        <f t="shared" si="5"/>
        <v>log/ICHEC-EC-EARTH_Scaled_Cluster5_repl5.txt</v>
      </c>
      <c r="V59" s="16" t="str">
        <f t="shared" si="6"/>
        <v>init/env_file_CLUSTER05_REPL5_ICHEC-EC-EARTH_historical.csv</v>
      </c>
      <c r="W59" s="16" t="str">
        <f t="shared" si="7"/>
        <v>init/env_grid_CLUSTER05_REPL5.asc</v>
      </c>
      <c r="X59" s="16" t="str">
        <f t="shared" si="8"/>
        <v>init/env_grid_CLUSTER05_REPL5.asc</v>
      </c>
      <c r="Y59" s="16" t="str">
        <f t="shared" si="9"/>
        <v>trees_CLUSTER05.csv</v>
      </c>
      <c r="Z59" s="16" t="str">
        <f t="shared" si="10"/>
        <v>saplings_CLUSTER05.csv</v>
      </c>
      <c r="AA59" s="16">
        <f t="shared" si="11"/>
        <v>350</v>
      </c>
      <c r="AB59" s="16" t="str">
        <f t="shared" si="12"/>
        <v>abe/no_mgmt.csv</v>
      </c>
      <c r="AC59" s="16" t="str">
        <f t="shared" si="13"/>
        <v>gis/WindModifier_cl5.asc</v>
      </c>
      <c r="AD59" s="16">
        <f t="shared" si="14"/>
        <v>1E-10</v>
      </c>
      <c r="AE59" s="16" t="str">
        <f t="shared" si="17"/>
        <v>ICHEC-EC-EARTH_historical_point31053</v>
      </c>
      <c r="AF59" s="16" t="str">
        <f t="shared" si="15"/>
        <v>wind_Events/Scaled_cl5_repl5.txt</v>
      </c>
      <c r="AG59" s="16" t="str">
        <f t="shared" si="16"/>
        <v>ICHEC-EC-EARTH_Scaled_Cluster5_repl5</v>
      </c>
      <c r="AH59" s="16" t="s">
        <v>298</v>
      </c>
      <c r="AI59" s="16" t="s">
        <v>299</v>
      </c>
    </row>
    <row r="60" spans="1:35" ht="13.8">
      <c r="A60" s="7" t="str">
        <f t="shared" si="0"/>
        <v>MPI-M-MPI-ESM-LR_Scaled_Cluster5_repl5</v>
      </c>
      <c r="B60" s="8" t="s">
        <v>16</v>
      </c>
      <c r="C60" s="8" t="s">
        <v>54</v>
      </c>
      <c r="D60" s="9" t="s">
        <v>17</v>
      </c>
      <c r="E60" s="9" t="str">
        <f t="shared" si="1"/>
        <v>historical</v>
      </c>
      <c r="F60" s="8">
        <v>350</v>
      </c>
      <c r="G60" s="8" t="s">
        <v>63</v>
      </c>
      <c r="H60" s="8">
        <v>2</v>
      </c>
      <c r="I60" s="8">
        <v>0</v>
      </c>
      <c r="J60" s="8">
        <v>5</v>
      </c>
      <c r="K60" s="8" t="s">
        <v>169</v>
      </c>
      <c r="L60" s="8">
        <v>5</v>
      </c>
      <c r="M60" s="8"/>
      <c r="N60" s="8">
        <v>1</v>
      </c>
      <c r="O60" s="10" t="s">
        <v>21</v>
      </c>
      <c r="P60" s="17" t="s">
        <v>59</v>
      </c>
      <c r="Q60" s="10" t="str">
        <f t="shared" si="2"/>
        <v>MPI-M-MPI-ESM-LR_Scaled_Cluster5_repl5.sqlite</v>
      </c>
      <c r="R60" s="11">
        <f t="shared" si="3"/>
        <v>14</v>
      </c>
      <c r="S60" s="11">
        <v>0</v>
      </c>
      <c r="T60" s="16" t="str">
        <f t="shared" si="4"/>
        <v>climate_db_MPI-M-MPI-ESM-LR_historical_v4.sqlite</v>
      </c>
      <c r="U60" s="16" t="str">
        <f t="shared" si="5"/>
        <v>log/MPI-M-MPI-ESM-LR_Scaled_Cluster5_repl5.txt</v>
      </c>
      <c r="V60" s="16" t="str">
        <f t="shared" si="6"/>
        <v>init/env_file_CLUSTER05_REPL5_MPI-M-MPI-ESM-LR_historical.csv</v>
      </c>
      <c r="W60" s="16" t="str">
        <f t="shared" si="7"/>
        <v>init/env_grid_CLUSTER05_REPL5.asc</v>
      </c>
      <c r="X60" s="16" t="str">
        <f t="shared" si="8"/>
        <v>init/env_grid_CLUSTER05_REPL5.asc</v>
      </c>
      <c r="Y60" s="16" t="str">
        <f t="shared" si="9"/>
        <v>trees_CLUSTER05.csv</v>
      </c>
      <c r="Z60" s="16" t="str">
        <f t="shared" si="10"/>
        <v>saplings_CLUSTER05.csv</v>
      </c>
      <c r="AA60" s="16">
        <f t="shared" si="11"/>
        <v>350</v>
      </c>
      <c r="AB60" s="16" t="str">
        <f t="shared" si="12"/>
        <v>abe/no_mgmt.csv</v>
      </c>
      <c r="AC60" s="16" t="str">
        <f t="shared" si="13"/>
        <v>gis/WindModifier_cl5.asc</v>
      </c>
      <c r="AD60" s="16">
        <f t="shared" si="14"/>
        <v>1E-10</v>
      </c>
      <c r="AE60" s="16" t="str">
        <f t="shared" si="17"/>
        <v>MPI-M-MPI-ESM-LR_historical_point31054</v>
      </c>
      <c r="AF60" s="16" t="str">
        <f t="shared" si="15"/>
        <v>wind_Events/Scaled_cl5_repl5.txt</v>
      </c>
      <c r="AG60" s="16" t="str">
        <f t="shared" si="16"/>
        <v>MPI-M-MPI-ESM-LR_Scaled_Cluster5_repl5</v>
      </c>
      <c r="AH60" s="16" t="s">
        <v>300</v>
      </c>
      <c r="AI60" s="16" t="s">
        <v>301</v>
      </c>
    </row>
    <row r="61" spans="1:35" ht="13.8">
      <c r="A61" s="7" t="str">
        <f t="shared" si="0"/>
        <v>NCC-NorESM1-M_Scaled_Cluster5_repl5</v>
      </c>
      <c r="B61" s="8" t="s">
        <v>16</v>
      </c>
      <c r="C61" s="8" t="s">
        <v>54</v>
      </c>
      <c r="D61" s="9" t="s">
        <v>17</v>
      </c>
      <c r="E61" s="9" t="str">
        <f t="shared" si="1"/>
        <v>historical</v>
      </c>
      <c r="F61" s="8">
        <v>350</v>
      </c>
      <c r="G61" s="8" t="s">
        <v>60</v>
      </c>
      <c r="H61" s="8">
        <v>3</v>
      </c>
      <c r="I61" s="8">
        <v>0</v>
      </c>
      <c r="J61" s="8">
        <v>5</v>
      </c>
      <c r="K61" s="8" t="s">
        <v>175</v>
      </c>
      <c r="L61" s="8">
        <v>5</v>
      </c>
      <c r="M61" s="8"/>
      <c r="N61" s="8">
        <v>1</v>
      </c>
      <c r="O61" s="10" t="s">
        <v>21</v>
      </c>
      <c r="P61" s="17" t="s">
        <v>59</v>
      </c>
      <c r="Q61" s="10" t="str">
        <f t="shared" si="2"/>
        <v>NCC-NorESM1-M_Scaled_Cluster5_repl5.sqlite</v>
      </c>
      <c r="R61" s="11">
        <f t="shared" si="3"/>
        <v>15</v>
      </c>
      <c r="S61" s="11">
        <v>0</v>
      </c>
      <c r="T61" s="16" t="str">
        <f t="shared" si="4"/>
        <v>climate_db_NCC-NorESM1-M_historical_v4.sqlite</v>
      </c>
      <c r="U61" s="16" t="str">
        <f t="shared" si="5"/>
        <v>log/NCC-NorESM1-M_Scaled_Cluster5_repl5.txt</v>
      </c>
      <c r="V61" s="16" t="str">
        <f t="shared" si="6"/>
        <v>init/env_file_CLUSTER05_REPL5_NCC-NorESM1-M_historical.csv</v>
      </c>
      <c r="W61" s="16" t="str">
        <f t="shared" si="7"/>
        <v>init/env_grid_CLUSTER05_REPL5.asc</v>
      </c>
      <c r="X61" s="16" t="str">
        <f t="shared" si="8"/>
        <v>init/env_grid_CLUSTER05_REPL5.asc</v>
      </c>
      <c r="Y61" s="16" t="str">
        <f t="shared" si="9"/>
        <v>trees_CLUSTER05.csv</v>
      </c>
      <c r="Z61" s="16" t="str">
        <f t="shared" si="10"/>
        <v>saplings_CLUSTER05.csv</v>
      </c>
      <c r="AA61" s="16">
        <f t="shared" si="11"/>
        <v>350</v>
      </c>
      <c r="AB61" s="16" t="str">
        <f t="shared" si="12"/>
        <v>abe/no_mgmt.csv</v>
      </c>
      <c r="AC61" s="16" t="str">
        <f t="shared" si="13"/>
        <v>gis/WindModifier_cl5.asc</v>
      </c>
      <c r="AD61" s="16">
        <f t="shared" si="14"/>
        <v>1E-10</v>
      </c>
      <c r="AE61" s="16" t="str">
        <f t="shared" si="17"/>
        <v>NCC-NorESM1-M_historical_point29016</v>
      </c>
      <c r="AF61" s="16" t="str">
        <f t="shared" si="15"/>
        <v>wind_Events/Scaled_cl5_repl5.txt</v>
      </c>
      <c r="AG61" s="16" t="str">
        <f t="shared" si="16"/>
        <v>NCC-NorESM1-M_Scaled_Cluster5_repl5</v>
      </c>
      <c r="AH61" s="16" t="s">
        <v>302</v>
      </c>
      <c r="AI61" s="16" t="s">
        <v>303</v>
      </c>
    </row>
    <row r="62" spans="1:35" ht="13.8">
      <c r="A62" s="7" t="str">
        <f t="shared" si="0"/>
        <v>ICHEC-EC-EARTH_Scaled_Cluster6_repl1</v>
      </c>
      <c r="B62" s="8" t="s">
        <v>16</v>
      </c>
      <c r="C62" s="8" t="s">
        <v>54</v>
      </c>
      <c r="D62" s="9" t="s">
        <v>17</v>
      </c>
      <c r="E62" s="9" t="str">
        <f t="shared" si="1"/>
        <v>historical</v>
      </c>
      <c r="F62" s="8">
        <v>350</v>
      </c>
      <c r="G62" s="8" t="s">
        <v>18</v>
      </c>
      <c r="H62" s="8">
        <v>1</v>
      </c>
      <c r="I62" s="8">
        <v>1.2364860585627399E-7</v>
      </c>
      <c r="J62" s="8">
        <v>6</v>
      </c>
      <c r="K62" s="8" t="s">
        <v>161</v>
      </c>
      <c r="L62" s="8">
        <v>1</v>
      </c>
      <c r="M62" s="8"/>
      <c r="N62" s="8">
        <v>1</v>
      </c>
      <c r="O62" s="10" t="s">
        <v>21</v>
      </c>
      <c r="P62" s="17" t="s">
        <v>59</v>
      </c>
      <c r="Q62" s="10" t="str">
        <f t="shared" si="2"/>
        <v>ICHEC-EC-EARTH_Scaled_Cluster6_repl1.sqlite</v>
      </c>
      <c r="R62" s="11">
        <f t="shared" si="3"/>
        <v>1</v>
      </c>
      <c r="S62" s="11">
        <v>0</v>
      </c>
      <c r="T62" s="16" t="str">
        <f t="shared" si="4"/>
        <v>climate_db_ICHEC-EC-EARTH_historical_v4.sqlite</v>
      </c>
      <c r="U62" s="16" t="str">
        <f t="shared" si="5"/>
        <v>log/ICHEC-EC-EARTH_Scaled_Cluster6_repl1.txt</v>
      </c>
      <c r="V62" s="16" t="str">
        <f t="shared" si="6"/>
        <v>init/env_file_CLUSTER06_REPL1_ICHEC-EC-EARTH_historical.csv</v>
      </c>
      <c r="W62" s="16" t="str">
        <f t="shared" si="7"/>
        <v>init/env_grid_CLUSTER06_REPL1.asc</v>
      </c>
      <c r="X62" s="16" t="str">
        <f t="shared" si="8"/>
        <v>init/env_grid_CLUSTER06_REPL1.asc</v>
      </c>
      <c r="Y62" s="16" t="str">
        <f t="shared" si="9"/>
        <v>trees_CLUSTER06.csv</v>
      </c>
      <c r="Z62" s="16" t="str">
        <f t="shared" si="10"/>
        <v>saplings_CLUSTER06.csv</v>
      </c>
      <c r="AA62" s="16">
        <f t="shared" si="11"/>
        <v>350</v>
      </c>
      <c r="AB62" s="16" t="str">
        <f t="shared" si="12"/>
        <v>abe/no_mgmt.csv</v>
      </c>
      <c r="AC62" s="16" t="str">
        <f t="shared" si="13"/>
        <v>gis/WindModifier_cl6.asc</v>
      </c>
      <c r="AD62" s="16">
        <f t="shared" si="14"/>
        <v>1.23748605856274E-7</v>
      </c>
      <c r="AE62" s="16" t="str">
        <f t="shared" si="17"/>
        <v>ICHEC-EC-EARTH_historical_point29731</v>
      </c>
      <c r="AF62" s="16" t="str">
        <f t="shared" si="15"/>
        <v>wind_Events/Scaled_cl6_repl1.txt</v>
      </c>
      <c r="AG62" s="16" t="str">
        <f t="shared" si="16"/>
        <v>ICHEC-EC-EARTH_Scaled_Cluster6_repl1</v>
      </c>
      <c r="AH62" s="16" t="s">
        <v>304</v>
      </c>
      <c r="AI62" s="16" t="s">
        <v>305</v>
      </c>
    </row>
    <row r="63" spans="1:35" ht="13.8">
      <c r="A63" s="7" t="str">
        <f t="shared" si="0"/>
        <v>MPI-M-MPI-ESM-LR_Scaled_Cluster6_repl1</v>
      </c>
      <c r="B63" s="8" t="s">
        <v>16</v>
      </c>
      <c r="C63" s="8" t="s">
        <v>54</v>
      </c>
      <c r="D63" s="9" t="s">
        <v>17</v>
      </c>
      <c r="E63" s="9" t="str">
        <f t="shared" si="1"/>
        <v>historical</v>
      </c>
      <c r="F63" s="8">
        <v>350</v>
      </c>
      <c r="G63" s="8" t="s">
        <v>63</v>
      </c>
      <c r="H63" s="8">
        <v>2</v>
      </c>
      <c r="I63" s="8">
        <v>1.2364860585627399E-7</v>
      </c>
      <c r="J63" s="8">
        <v>6</v>
      </c>
      <c r="K63" s="8" t="s">
        <v>170</v>
      </c>
      <c r="L63" s="8">
        <v>1</v>
      </c>
      <c r="M63" s="8"/>
      <c r="N63" s="8">
        <v>1</v>
      </c>
      <c r="O63" s="10" t="s">
        <v>21</v>
      </c>
      <c r="P63" s="17" t="s">
        <v>59</v>
      </c>
      <c r="Q63" s="10" t="str">
        <f t="shared" si="2"/>
        <v>MPI-M-MPI-ESM-LR_Scaled_Cluster6_repl1.sqlite</v>
      </c>
      <c r="R63" s="11">
        <f t="shared" si="3"/>
        <v>2</v>
      </c>
      <c r="S63" s="11">
        <v>0</v>
      </c>
      <c r="T63" s="16" t="str">
        <f t="shared" si="4"/>
        <v>climate_db_MPI-M-MPI-ESM-LR_historical_v4.sqlite</v>
      </c>
      <c r="U63" s="16" t="str">
        <f t="shared" si="5"/>
        <v>log/MPI-M-MPI-ESM-LR_Scaled_Cluster6_repl1.txt</v>
      </c>
      <c r="V63" s="16" t="str">
        <f t="shared" si="6"/>
        <v>init/env_file_CLUSTER06_REPL1_MPI-M-MPI-ESM-LR_historical.csv</v>
      </c>
      <c r="W63" s="16" t="str">
        <f t="shared" si="7"/>
        <v>init/env_grid_CLUSTER06_REPL1.asc</v>
      </c>
      <c r="X63" s="16" t="str">
        <f t="shared" si="8"/>
        <v>init/env_grid_CLUSTER06_REPL1.asc</v>
      </c>
      <c r="Y63" s="16" t="str">
        <f t="shared" si="9"/>
        <v>trees_CLUSTER06.csv</v>
      </c>
      <c r="Z63" s="16" t="str">
        <f t="shared" si="10"/>
        <v>saplings_CLUSTER06.csv</v>
      </c>
      <c r="AA63" s="16">
        <f t="shared" si="11"/>
        <v>350</v>
      </c>
      <c r="AB63" s="16" t="str">
        <f t="shared" si="12"/>
        <v>abe/no_mgmt.csv</v>
      </c>
      <c r="AC63" s="16" t="str">
        <f t="shared" si="13"/>
        <v>gis/WindModifier_cl6.asc</v>
      </c>
      <c r="AD63" s="16">
        <f t="shared" si="14"/>
        <v>1.23748605856274E-7</v>
      </c>
      <c r="AE63" s="16" t="str">
        <f t="shared" si="17"/>
        <v>MPI-M-MPI-ESM-LR_historical_point29033</v>
      </c>
      <c r="AF63" s="16" t="str">
        <f t="shared" si="15"/>
        <v>wind_Events/Scaled_cl6_repl1.txt</v>
      </c>
      <c r="AG63" s="16" t="str">
        <f t="shared" si="16"/>
        <v>MPI-M-MPI-ESM-LR_Scaled_Cluster6_repl1</v>
      </c>
      <c r="AH63" s="16" t="s">
        <v>306</v>
      </c>
      <c r="AI63" s="16" t="s">
        <v>307</v>
      </c>
    </row>
    <row r="64" spans="1:35" ht="13.8">
      <c r="A64" s="7" t="str">
        <f t="shared" si="0"/>
        <v>NCC-NorESM1-M_Scaled_Cluster6_repl1</v>
      </c>
      <c r="B64" s="8" t="s">
        <v>16</v>
      </c>
      <c r="C64" s="8" t="s">
        <v>54</v>
      </c>
      <c r="D64" s="9" t="s">
        <v>17</v>
      </c>
      <c r="E64" s="9" t="str">
        <f t="shared" si="1"/>
        <v>historical</v>
      </c>
      <c r="F64" s="8">
        <v>350</v>
      </c>
      <c r="G64" s="8" t="s">
        <v>60</v>
      </c>
      <c r="H64" s="8">
        <v>3</v>
      </c>
      <c r="I64" s="8">
        <v>1.2364860585627399E-7</v>
      </c>
      <c r="J64" s="8">
        <v>6</v>
      </c>
      <c r="K64" s="8" t="s">
        <v>176</v>
      </c>
      <c r="L64" s="8">
        <v>1</v>
      </c>
      <c r="M64" s="8"/>
      <c r="N64" s="8">
        <v>1</v>
      </c>
      <c r="O64" s="10" t="s">
        <v>21</v>
      </c>
      <c r="P64" s="17" t="s">
        <v>59</v>
      </c>
      <c r="Q64" s="10" t="str">
        <f t="shared" si="2"/>
        <v>NCC-NorESM1-M_Scaled_Cluster6_repl1.sqlite</v>
      </c>
      <c r="R64" s="11">
        <f t="shared" si="3"/>
        <v>3</v>
      </c>
      <c r="S64" s="11">
        <v>0</v>
      </c>
      <c r="T64" s="16" t="str">
        <f t="shared" si="4"/>
        <v>climate_db_NCC-NorESM1-M_historical_v4.sqlite</v>
      </c>
      <c r="U64" s="16" t="str">
        <f t="shared" si="5"/>
        <v>log/NCC-NorESM1-M_Scaled_Cluster6_repl1.txt</v>
      </c>
      <c r="V64" s="16" t="str">
        <f t="shared" si="6"/>
        <v>init/env_file_CLUSTER06_REPL1_NCC-NorESM1-M_historical.csv</v>
      </c>
      <c r="W64" s="16" t="str">
        <f t="shared" si="7"/>
        <v>init/env_grid_CLUSTER06_REPL1.asc</v>
      </c>
      <c r="X64" s="16" t="str">
        <f t="shared" si="8"/>
        <v>init/env_grid_CLUSTER06_REPL1.asc</v>
      </c>
      <c r="Y64" s="16" t="str">
        <f t="shared" si="9"/>
        <v>trees_CLUSTER06.csv</v>
      </c>
      <c r="Z64" s="16" t="str">
        <f t="shared" si="10"/>
        <v>saplings_CLUSTER06.csv</v>
      </c>
      <c r="AA64" s="16">
        <f t="shared" si="11"/>
        <v>350</v>
      </c>
      <c r="AB64" s="16" t="str">
        <f t="shared" si="12"/>
        <v>abe/no_mgmt.csv</v>
      </c>
      <c r="AC64" s="16" t="str">
        <f t="shared" si="13"/>
        <v>gis/WindModifier_cl6.asc</v>
      </c>
      <c r="AD64" s="16">
        <f t="shared" si="14"/>
        <v>1.23748605856274E-7</v>
      </c>
      <c r="AE64" s="16" t="str">
        <f t="shared" si="17"/>
        <v>NCC-NorESM1-M_historical_point30070</v>
      </c>
      <c r="AF64" s="16" t="str">
        <f t="shared" si="15"/>
        <v>wind_Events/Scaled_cl6_repl1.txt</v>
      </c>
      <c r="AG64" s="16" t="str">
        <f t="shared" si="16"/>
        <v>NCC-NorESM1-M_Scaled_Cluster6_repl1</v>
      </c>
      <c r="AH64" s="16" t="s">
        <v>308</v>
      </c>
      <c r="AI64" s="16" t="s">
        <v>309</v>
      </c>
    </row>
    <row r="65" spans="1:35" ht="13.8">
      <c r="A65" s="7" t="str">
        <f t="shared" si="0"/>
        <v>ICHEC-EC-EARTH_Scaled_Cluster6_repl2</v>
      </c>
      <c r="B65" s="8" t="s">
        <v>16</v>
      </c>
      <c r="C65" s="8" t="s">
        <v>54</v>
      </c>
      <c r="D65" s="9" t="s">
        <v>17</v>
      </c>
      <c r="E65" s="9" t="str">
        <f t="shared" si="1"/>
        <v>historical</v>
      </c>
      <c r="F65" s="8">
        <v>350</v>
      </c>
      <c r="G65" s="8" t="s">
        <v>18</v>
      </c>
      <c r="H65" s="8">
        <v>1</v>
      </c>
      <c r="I65" s="8">
        <v>1.2364860585627399E-7</v>
      </c>
      <c r="J65" s="8">
        <v>6</v>
      </c>
      <c r="K65" s="8" t="s">
        <v>161</v>
      </c>
      <c r="L65" s="8">
        <v>2</v>
      </c>
      <c r="M65" s="8"/>
      <c r="N65" s="8">
        <v>1</v>
      </c>
      <c r="O65" s="10" t="s">
        <v>21</v>
      </c>
      <c r="P65" s="17" t="s">
        <v>59</v>
      </c>
      <c r="Q65" s="10" t="str">
        <f t="shared" si="2"/>
        <v>ICHEC-EC-EARTH_Scaled_Cluster6_repl2.sqlite</v>
      </c>
      <c r="R65" s="11">
        <f t="shared" si="3"/>
        <v>4</v>
      </c>
      <c r="S65" s="11">
        <v>0</v>
      </c>
      <c r="T65" s="16" t="str">
        <f t="shared" si="4"/>
        <v>climate_db_ICHEC-EC-EARTH_historical_v4.sqlite</v>
      </c>
      <c r="U65" s="16" t="str">
        <f t="shared" si="5"/>
        <v>log/ICHEC-EC-EARTH_Scaled_Cluster6_repl2.txt</v>
      </c>
      <c r="V65" s="16" t="str">
        <f t="shared" si="6"/>
        <v>init/env_file_CLUSTER06_REPL2_ICHEC-EC-EARTH_historical.csv</v>
      </c>
      <c r="W65" s="16" t="str">
        <f t="shared" si="7"/>
        <v>init/env_grid_CLUSTER06_REPL2.asc</v>
      </c>
      <c r="X65" s="16" t="str">
        <f t="shared" si="8"/>
        <v>init/env_grid_CLUSTER06_REPL2.asc</v>
      </c>
      <c r="Y65" s="16" t="str">
        <f t="shared" si="9"/>
        <v>trees_CLUSTER06.csv</v>
      </c>
      <c r="Z65" s="16" t="str">
        <f t="shared" si="10"/>
        <v>saplings_CLUSTER06.csv</v>
      </c>
      <c r="AA65" s="16">
        <f t="shared" si="11"/>
        <v>350</v>
      </c>
      <c r="AB65" s="16" t="str">
        <f t="shared" si="12"/>
        <v>abe/no_mgmt.csv</v>
      </c>
      <c r="AC65" s="16" t="str">
        <f t="shared" si="13"/>
        <v>gis/WindModifier_cl6.asc</v>
      </c>
      <c r="AD65" s="16">
        <f t="shared" si="14"/>
        <v>1.23748605856274E-7</v>
      </c>
      <c r="AE65" s="16" t="str">
        <f t="shared" si="17"/>
        <v>ICHEC-EC-EARTH_historical_point29731</v>
      </c>
      <c r="AF65" s="16" t="str">
        <f t="shared" si="15"/>
        <v>wind_Events/Scaled_cl6_repl2.txt</v>
      </c>
      <c r="AG65" s="16" t="str">
        <f t="shared" si="16"/>
        <v>ICHEC-EC-EARTH_Scaled_Cluster6_repl2</v>
      </c>
      <c r="AH65" s="16" t="s">
        <v>310</v>
      </c>
      <c r="AI65" s="16" t="s">
        <v>311</v>
      </c>
    </row>
    <row r="66" spans="1:35" ht="13.8">
      <c r="A66" s="7" t="str">
        <f t="shared" ref="A66:A129" si="18" xml:space="preserve"> G66 &amp; "_" &amp; C66 &amp;"Cluster" &amp; J66 &amp; "_repl" &amp; L66</f>
        <v>MPI-M-MPI-ESM-LR_Scaled_Cluster6_repl2</v>
      </c>
      <c r="B66" s="8" t="s">
        <v>16</v>
      </c>
      <c r="C66" s="8" t="s">
        <v>54</v>
      </c>
      <c r="D66" s="9" t="s">
        <v>17</v>
      </c>
      <c r="E66" s="9" t="str">
        <f t="shared" ref="E66:E129" si="19">IF(D66="historical", "historical", IF(D66="RCP26", "rcp_2_6", IF(D66="RCP45", "rcp_4_5", "rcp_8_5")))</f>
        <v>historical</v>
      </c>
      <c r="F66" s="8">
        <v>350</v>
      </c>
      <c r="G66" s="8" t="s">
        <v>63</v>
      </c>
      <c r="H66" s="8">
        <v>2</v>
      </c>
      <c r="I66" s="8">
        <v>1.2364860585627399E-7</v>
      </c>
      <c r="J66" s="8">
        <v>6</v>
      </c>
      <c r="K66" s="8" t="s">
        <v>170</v>
      </c>
      <c r="L66" s="8">
        <v>2</v>
      </c>
      <c r="M66" s="8"/>
      <c r="N66" s="8">
        <v>1</v>
      </c>
      <c r="O66" s="10" t="s">
        <v>21</v>
      </c>
      <c r="P66" s="17" t="s">
        <v>59</v>
      </c>
      <c r="Q66" s="10" t="str">
        <f t="shared" ref="Q66:Q129" si="20">A66  &amp; ".sqlite"</f>
        <v>MPI-M-MPI-ESM-LR_Scaled_Cluster6_repl2.sqlite</v>
      </c>
      <c r="R66" s="11">
        <f t="shared" ref="R66:R129" si="21">(L66-1)*3+H66</f>
        <v>5</v>
      </c>
      <c r="S66" s="11">
        <v>0</v>
      </c>
      <c r="T66" s="16" t="str">
        <f t="shared" ref="T66:T129" si="22">"climate_db_" &amp; G66&amp; "_" &amp;  E66&amp; "_v4.sqlite"</f>
        <v>climate_db_MPI-M-MPI-ESM-LR_historical_v4.sqlite</v>
      </c>
      <c r="U66" s="16" t="str">
        <f t="shared" ref="U66:U129" si="23">"log/" &amp;A66  &amp; ".txt"</f>
        <v>log/MPI-M-MPI-ESM-LR_Scaled_Cluster6_repl2.txt</v>
      </c>
      <c r="V66" s="16" t="str">
        <f t="shared" ref="V66:V129" si="24">"init/env_file_CLUSTER" &amp; TEXT(J66, "00") &amp; "_REPL" &amp; L66 &amp; "_" &amp; G66 &amp; "_" &amp; E66 &amp; ".csv"</f>
        <v>init/env_file_CLUSTER06_REPL2_MPI-M-MPI-ESM-LR_historical.csv</v>
      </c>
      <c r="W66" s="16" t="str">
        <f t="shared" ref="W66:W129" si="25">"init/env_grid_CLUSTER" &amp; TEXT(J66, "00") &amp; "_REPL" &amp; L66 &amp; ".asc"</f>
        <v>init/env_grid_CLUSTER06_REPL2.asc</v>
      </c>
      <c r="X66" s="16" t="str">
        <f t="shared" ref="X66:X129" si="26">W66</f>
        <v>init/env_grid_CLUSTER06_REPL2.asc</v>
      </c>
      <c r="Y66" s="16" t="str">
        <f t="shared" ref="Y66:Y129" si="27">"trees_CLUSTER" &amp; TEXT(J66, "00")  &amp; ".csv"</f>
        <v>trees_CLUSTER06.csv</v>
      </c>
      <c r="Z66" s="16" t="str">
        <f t="shared" ref="Z66:Z129" si="28">"saplings_CLUSTER" &amp; TEXT(J66, "00")  &amp; ".csv"</f>
        <v>saplings_CLUSTER06.csv</v>
      </c>
      <c r="AA66" s="16">
        <f t="shared" ref="AA66:AA129" si="29">F66</f>
        <v>350</v>
      </c>
      <c r="AB66" s="16" t="str">
        <f t="shared" ref="AB66:AB129" si="30">"abe/no_mgmt.csv"</f>
        <v>abe/no_mgmt.csv</v>
      </c>
      <c r="AC66" s="16" t="str">
        <f t="shared" ref="AC66:AC129" si="31">"gis/WindModifier_cl" &amp; J66 &amp; ".asc"</f>
        <v>gis/WindModifier_cl6.asc</v>
      </c>
      <c r="AD66" s="16">
        <f t="shared" ref="AD66:AD129" si="32">IF(C66="Scaled_", I66+0.0000000001,  0.000685)</f>
        <v>1.23748605856274E-7</v>
      </c>
      <c r="AE66" s="16" t="str">
        <f t="shared" si="17"/>
        <v>MPI-M-MPI-ESM-LR_historical_point29033</v>
      </c>
      <c r="AF66" s="16" t="str">
        <f t="shared" ref="AF66:AF129" si="33">"wind_Events/" &amp; C66 &amp; "cl" &amp; J66 &amp; "_repl" &amp; L66 &amp; ".txt"</f>
        <v>wind_Events/Scaled_cl6_repl2.txt</v>
      </c>
      <c r="AG66" s="16" t="str">
        <f t="shared" ref="AG66:AG129" si="34">A66</f>
        <v>MPI-M-MPI-ESM-LR_Scaled_Cluster6_repl2</v>
      </c>
      <c r="AH66" s="16" t="s">
        <v>312</v>
      </c>
      <c r="AI66" s="16" t="s">
        <v>313</v>
      </c>
    </row>
    <row r="67" spans="1:35" ht="13.8">
      <c r="A67" s="7" t="str">
        <f t="shared" si="18"/>
        <v>NCC-NorESM1-M_Scaled_Cluster6_repl2</v>
      </c>
      <c r="B67" s="8" t="s">
        <v>16</v>
      </c>
      <c r="C67" s="8" t="s">
        <v>54</v>
      </c>
      <c r="D67" s="9" t="s">
        <v>17</v>
      </c>
      <c r="E67" s="9" t="str">
        <f t="shared" si="19"/>
        <v>historical</v>
      </c>
      <c r="F67" s="8">
        <v>350</v>
      </c>
      <c r="G67" s="8" t="s">
        <v>60</v>
      </c>
      <c r="H67" s="8">
        <v>3</v>
      </c>
      <c r="I67" s="8">
        <v>1.2364860585627399E-7</v>
      </c>
      <c r="J67" s="8">
        <v>6</v>
      </c>
      <c r="K67" s="8" t="s">
        <v>176</v>
      </c>
      <c r="L67" s="8">
        <v>2</v>
      </c>
      <c r="M67" s="8"/>
      <c r="N67" s="8">
        <v>1</v>
      </c>
      <c r="O67" s="10" t="s">
        <v>21</v>
      </c>
      <c r="P67" s="17" t="s">
        <v>59</v>
      </c>
      <c r="Q67" s="10" t="str">
        <f t="shared" si="20"/>
        <v>NCC-NorESM1-M_Scaled_Cluster6_repl2.sqlite</v>
      </c>
      <c r="R67" s="11">
        <f t="shared" si="21"/>
        <v>6</v>
      </c>
      <c r="S67" s="11">
        <v>0</v>
      </c>
      <c r="T67" s="16" t="str">
        <f t="shared" si="22"/>
        <v>climate_db_NCC-NorESM1-M_historical_v4.sqlite</v>
      </c>
      <c r="U67" s="16" t="str">
        <f t="shared" si="23"/>
        <v>log/NCC-NorESM1-M_Scaled_Cluster6_repl2.txt</v>
      </c>
      <c r="V67" s="16" t="str">
        <f t="shared" si="24"/>
        <v>init/env_file_CLUSTER06_REPL2_NCC-NorESM1-M_historical.csv</v>
      </c>
      <c r="W67" s="16" t="str">
        <f t="shared" si="25"/>
        <v>init/env_grid_CLUSTER06_REPL2.asc</v>
      </c>
      <c r="X67" s="16" t="str">
        <f t="shared" si="26"/>
        <v>init/env_grid_CLUSTER06_REPL2.asc</v>
      </c>
      <c r="Y67" s="16" t="str">
        <f t="shared" si="27"/>
        <v>trees_CLUSTER06.csv</v>
      </c>
      <c r="Z67" s="16" t="str">
        <f t="shared" si="28"/>
        <v>saplings_CLUSTER06.csv</v>
      </c>
      <c r="AA67" s="16">
        <f t="shared" si="29"/>
        <v>350</v>
      </c>
      <c r="AB67" s="16" t="str">
        <f t="shared" si="30"/>
        <v>abe/no_mgmt.csv</v>
      </c>
      <c r="AC67" s="16" t="str">
        <f t="shared" si="31"/>
        <v>gis/WindModifier_cl6.asc</v>
      </c>
      <c r="AD67" s="16">
        <f t="shared" si="32"/>
        <v>1.23748605856274E-7</v>
      </c>
      <c r="AE67" s="16" t="str">
        <f t="shared" ref="AE67:AE130" si="35">G67 &amp; "_" &amp; E67 &amp; "_point" &amp; K67</f>
        <v>NCC-NorESM1-M_historical_point30070</v>
      </c>
      <c r="AF67" s="16" t="str">
        <f t="shared" si="33"/>
        <v>wind_Events/Scaled_cl6_repl2.txt</v>
      </c>
      <c r="AG67" s="16" t="str">
        <f t="shared" si="34"/>
        <v>NCC-NorESM1-M_Scaled_Cluster6_repl2</v>
      </c>
      <c r="AH67" s="16" t="s">
        <v>314</v>
      </c>
      <c r="AI67" s="16" t="s">
        <v>315</v>
      </c>
    </row>
    <row r="68" spans="1:35" ht="13.8">
      <c r="A68" s="7" t="str">
        <f t="shared" si="18"/>
        <v>ICHEC-EC-EARTH_Scaled_Cluster6_repl3</v>
      </c>
      <c r="B68" s="8" t="s">
        <v>16</v>
      </c>
      <c r="C68" s="8" t="s">
        <v>54</v>
      </c>
      <c r="D68" s="9" t="s">
        <v>17</v>
      </c>
      <c r="E68" s="9" t="str">
        <f t="shared" si="19"/>
        <v>historical</v>
      </c>
      <c r="F68" s="8">
        <v>350</v>
      </c>
      <c r="G68" s="8" t="s">
        <v>18</v>
      </c>
      <c r="H68" s="8">
        <v>1</v>
      </c>
      <c r="I68" s="8">
        <v>1.2364860585627399E-7</v>
      </c>
      <c r="J68" s="8">
        <v>6</v>
      </c>
      <c r="K68" s="8" t="s">
        <v>161</v>
      </c>
      <c r="L68" s="8">
        <v>3</v>
      </c>
      <c r="M68" s="8"/>
      <c r="N68" s="8">
        <v>1</v>
      </c>
      <c r="O68" s="10" t="s">
        <v>21</v>
      </c>
      <c r="P68" s="17" t="s">
        <v>59</v>
      </c>
      <c r="Q68" s="10" t="str">
        <f t="shared" si="20"/>
        <v>ICHEC-EC-EARTH_Scaled_Cluster6_repl3.sqlite</v>
      </c>
      <c r="R68" s="11">
        <f t="shared" si="21"/>
        <v>7</v>
      </c>
      <c r="S68" s="11">
        <v>0</v>
      </c>
      <c r="T68" s="16" t="str">
        <f t="shared" si="22"/>
        <v>climate_db_ICHEC-EC-EARTH_historical_v4.sqlite</v>
      </c>
      <c r="U68" s="16" t="str">
        <f t="shared" si="23"/>
        <v>log/ICHEC-EC-EARTH_Scaled_Cluster6_repl3.txt</v>
      </c>
      <c r="V68" s="16" t="str">
        <f t="shared" si="24"/>
        <v>init/env_file_CLUSTER06_REPL3_ICHEC-EC-EARTH_historical.csv</v>
      </c>
      <c r="W68" s="16" t="str">
        <f t="shared" si="25"/>
        <v>init/env_grid_CLUSTER06_REPL3.asc</v>
      </c>
      <c r="X68" s="16" t="str">
        <f t="shared" si="26"/>
        <v>init/env_grid_CLUSTER06_REPL3.asc</v>
      </c>
      <c r="Y68" s="16" t="str">
        <f t="shared" si="27"/>
        <v>trees_CLUSTER06.csv</v>
      </c>
      <c r="Z68" s="16" t="str">
        <f t="shared" si="28"/>
        <v>saplings_CLUSTER06.csv</v>
      </c>
      <c r="AA68" s="16">
        <f t="shared" si="29"/>
        <v>350</v>
      </c>
      <c r="AB68" s="16" t="str">
        <f t="shared" si="30"/>
        <v>abe/no_mgmt.csv</v>
      </c>
      <c r="AC68" s="16" t="str">
        <f t="shared" si="31"/>
        <v>gis/WindModifier_cl6.asc</v>
      </c>
      <c r="AD68" s="16">
        <f t="shared" si="32"/>
        <v>1.23748605856274E-7</v>
      </c>
      <c r="AE68" s="16" t="str">
        <f t="shared" si="35"/>
        <v>ICHEC-EC-EARTH_historical_point29731</v>
      </c>
      <c r="AF68" s="16" t="str">
        <f t="shared" si="33"/>
        <v>wind_Events/Scaled_cl6_repl3.txt</v>
      </c>
      <c r="AG68" s="16" t="str">
        <f t="shared" si="34"/>
        <v>ICHEC-EC-EARTH_Scaled_Cluster6_repl3</v>
      </c>
      <c r="AH68" s="16" t="s">
        <v>316</v>
      </c>
      <c r="AI68" s="16" t="s">
        <v>317</v>
      </c>
    </row>
    <row r="69" spans="1:35" ht="13.8">
      <c r="A69" s="7" t="str">
        <f t="shared" si="18"/>
        <v>MPI-M-MPI-ESM-LR_Scaled_Cluster6_repl3</v>
      </c>
      <c r="B69" s="8" t="s">
        <v>16</v>
      </c>
      <c r="C69" s="8" t="s">
        <v>54</v>
      </c>
      <c r="D69" s="9" t="s">
        <v>17</v>
      </c>
      <c r="E69" s="9" t="str">
        <f t="shared" si="19"/>
        <v>historical</v>
      </c>
      <c r="F69" s="8">
        <v>350</v>
      </c>
      <c r="G69" s="8" t="s">
        <v>63</v>
      </c>
      <c r="H69" s="8">
        <v>2</v>
      </c>
      <c r="I69" s="8">
        <v>1.2364860585627399E-7</v>
      </c>
      <c r="J69" s="8">
        <v>6</v>
      </c>
      <c r="K69" s="8" t="s">
        <v>170</v>
      </c>
      <c r="L69" s="8">
        <v>3</v>
      </c>
      <c r="M69" s="8"/>
      <c r="N69" s="8">
        <v>1</v>
      </c>
      <c r="O69" s="10" t="s">
        <v>21</v>
      </c>
      <c r="P69" s="17" t="s">
        <v>59</v>
      </c>
      <c r="Q69" s="10" t="str">
        <f t="shared" si="20"/>
        <v>MPI-M-MPI-ESM-LR_Scaled_Cluster6_repl3.sqlite</v>
      </c>
      <c r="R69" s="11">
        <f t="shared" si="21"/>
        <v>8</v>
      </c>
      <c r="S69" s="11">
        <v>0</v>
      </c>
      <c r="T69" s="16" t="str">
        <f t="shared" si="22"/>
        <v>climate_db_MPI-M-MPI-ESM-LR_historical_v4.sqlite</v>
      </c>
      <c r="U69" s="16" t="str">
        <f t="shared" si="23"/>
        <v>log/MPI-M-MPI-ESM-LR_Scaled_Cluster6_repl3.txt</v>
      </c>
      <c r="V69" s="16" t="str">
        <f t="shared" si="24"/>
        <v>init/env_file_CLUSTER06_REPL3_MPI-M-MPI-ESM-LR_historical.csv</v>
      </c>
      <c r="W69" s="16" t="str">
        <f t="shared" si="25"/>
        <v>init/env_grid_CLUSTER06_REPL3.asc</v>
      </c>
      <c r="X69" s="16" t="str">
        <f t="shared" si="26"/>
        <v>init/env_grid_CLUSTER06_REPL3.asc</v>
      </c>
      <c r="Y69" s="16" t="str">
        <f t="shared" si="27"/>
        <v>trees_CLUSTER06.csv</v>
      </c>
      <c r="Z69" s="16" t="str">
        <f t="shared" si="28"/>
        <v>saplings_CLUSTER06.csv</v>
      </c>
      <c r="AA69" s="16">
        <f t="shared" si="29"/>
        <v>350</v>
      </c>
      <c r="AB69" s="16" t="str">
        <f t="shared" si="30"/>
        <v>abe/no_mgmt.csv</v>
      </c>
      <c r="AC69" s="16" t="str">
        <f t="shared" si="31"/>
        <v>gis/WindModifier_cl6.asc</v>
      </c>
      <c r="AD69" s="16">
        <f t="shared" si="32"/>
        <v>1.23748605856274E-7</v>
      </c>
      <c r="AE69" s="16" t="str">
        <f t="shared" si="35"/>
        <v>MPI-M-MPI-ESM-LR_historical_point29033</v>
      </c>
      <c r="AF69" s="16" t="str">
        <f t="shared" si="33"/>
        <v>wind_Events/Scaled_cl6_repl3.txt</v>
      </c>
      <c r="AG69" s="16" t="str">
        <f t="shared" si="34"/>
        <v>MPI-M-MPI-ESM-LR_Scaled_Cluster6_repl3</v>
      </c>
      <c r="AH69" s="16" t="s">
        <v>318</v>
      </c>
      <c r="AI69" s="16" t="s">
        <v>319</v>
      </c>
    </row>
    <row r="70" spans="1:35" ht="13.8">
      <c r="A70" s="7" t="str">
        <f t="shared" si="18"/>
        <v>NCC-NorESM1-M_Scaled_Cluster6_repl3</v>
      </c>
      <c r="B70" s="8" t="s">
        <v>16</v>
      </c>
      <c r="C70" s="8" t="s">
        <v>54</v>
      </c>
      <c r="D70" s="9" t="s">
        <v>17</v>
      </c>
      <c r="E70" s="9" t="str">
        <f t="shared" si="19"/>
        <v>historical</v>
      </c>
      <c r="F70" s="8">
        <v>350</v>
      </c>
      <c r="G70" s="8" t="s">
        <v>60</v>
      </c>
      <c r="H70" s="8">
        <v>3</v>
      </c>
      <c r="I70" s="8">
        <v>1.2364860585627399E-7</v>
      </c>
      <c r="J70" s="8">
        <v>6</v>
      </c>
      <c r="K70" s="8" t="s">
        <v>176</v>
      </c>
      <c r="L70" s="8">
        <v>3</v>
      </c>
      <c r="M70" s="8"/>
      <c r="N70" s="8">
        <v>1</v>
      </c>
      <c r="O70" s="10" t="s">
        <v>21</v>
      </c>
      <c r="P70" s="17" t="s">
        <v>59</v>
      </c>
      <c r="Q70" s="10" t="str">
        <f t="shared" si="20"/>
        <v>NCC-NorESM1-M_Scaled_Cluster6_repl3.sqlite</v>
      </c>
      <c r="R70" s="11">
        <f t="shared" si="21"/>
        <v>9</v>
      </c>
      <c r="S70" s="11">
        <v>0</v>
      </c>
      <c r="T70" s="16" t="str">
        <f t="shared" si="22"/>
        <v>climate_db_NCC-NorESM1-M_historical_v4.sqlite</v>
      </c>
      <c r="U70" s="16" t="str">
        <f t="shared" si="23"/>
        <v>log/NCC-NorESM1-M_Scaled_Cluster6_repl3.txt</v>
      </c>
      <c r="V70" s="16" t="str">
        <f t="shared" si="24"/>
        <v>init/env_file_CLUSTER06_REPL3_NCC-NorESM1-M_historical.csv</v>
      </c>
      <c r="W70" s="16" t="str">
        <f t="shared" si="25"/>
        <v>init/env_grid_CLUSTER06_REPL3.asc</v>
      </c>
      <c r="X70" s="16" t="str">
        <f t="shared" si="26"/>
        <v>init/env_grid_CLUSTER06_REPL3.asc</v>
      </c>
      <c r="Y70" s="16" t="str">
        <f t="shared" si="27"/>
        <v>trees_CLUSTER06.csv</v>
      </c>
      <c r="Z70" s="16" t="str">
        <f t="shared" si="28"/>
        <v>saplings_CLUSTER06.csv</v>
      </c>
      <c r="AA70" s="16">
        <f t="shared" si="29"/>
        <v>350</v>
      </c>
      <c r="AB70" s="16" t="str">
        <f t="shared" si="30"/>
        <v>abe/no_mgmt.csv</v>
      </c>
      <c r="AC70" s="16" t="str">
        <f t="shared" si="31"/>
        <v>gis/WindModifier_cl6.asc</v>
      </c>
      <c r="AD70" s="16">
        <f t="shared" si="32"/>
        <v>1.23748605856274E-7</v>
      </c>
      <c r="AE70" s="16" t="str">
        <f t="shared" si="35"/>
        <v>NCC-NorESM1-M_historical_point30070</v>
      </c>
      <c r="AF70" s="16" t="str">
        <f t="shared" si="33"/>
        <v>wind_Events/Scaled_cl6_repl3.txt</v>
      </c>
      <c r="AG70" s="16" t="str">
        <f t="shared" si="34"/>
        <v>NCC-NorESM1-M_Scaled_Cluster6_repl3</v>
      </c>
      <c r="AH70" s="16" t="s">
        <v>320</v>
      </c>
      <c r="AI70" s="16" t="s">
        <v>321</v>
      </c>
    </row>
    <row r="71" spans="1:35" ht="13.8">
      <c r="A71" s="7" t="str">
        <f t="shared" si="18"/>
        <v>ICHEC-EC-EARTH_Scaled_Cluster6_repl4</v>
      </c>
      <c r="B71" s="8" t="s">
        <v>16</v>
      </c>
      <c r="C71" s="8" t="s">
        <v>54</v>
      </c>
      <c r="D71" s="9" t="s">
        <v>17</v>
      </c>
      <c r="E71" s="9" t="str">
        <f t="shared" si="19"/>
        <v>historical</v>
      </c>
      <c r="F71" s="8">
        <v>350</v>
      </c>
      <c r="G71" s="8" t="s">
        <v>18</v>
      </c>
      <c r="H71" s="8">
        <v>1</v>
      </c>
      <c r="I71" s="8">
        <v>1.2364860585627399E-7</v>
      </c>
      <c r="J71" s="8">
        <v>6</v>
      </c>
      <c r="K71" s="8" t="s">
        <v>161</v>
      </c>
      <c r="L71" s="8">
        <v>4</v>
      </c>
      <c r="M71" s="8"/>
      <c r="N71" s="8">
        <v>1</v>
      </c>
      <c r="O71" s="10" t="s">
        <v>21</v>
      </c>
      <c r="P71" s="17" t="s">
        <v>59</v>
      </c>
      <c r="Q71" s="10" t="str">
        <f t="shared" si="20"/>
        <v>ICHEC-EC-EARTH_Scaled_Cluster6_repl4.sqlite</v>
      </c>
      <c r="R71" s="11">
        <f t="shared" si="21"/>
        <v>10</v>
      </c>
      <c r="S71" s="11">
        <v>0</v>
      </c>
      <c r="T71" s="16" t="str">
        <f t="shared" si="22"/>
        <v>climate_db_ICHEC-EC-EARTH_historical_v4.sqlite</v>
      </c>
      <c r="U71" s="16" t="str">
        <f t="shared" si="23"/>
        <v>log/ICHEC-EC-EARTH_Scaled_Cluster6_repl4.txt</v>
      </c>
      <c r="V71" s="16" t="str">
        <f t="shared" si="24"/>
        <v>init/env_file_CLUSTER06_REPL4_ICHEC-EC-EARTH_historical.csv</v>
      </c>
      <c r="W71" s="16" t="str">
        <f t="shared" si="25"/>
        <v>init/env_grid_CLUSTER06_REPL4.asc</v>
      </c>
      <c r="X71" s="16" t="str">
        <f t="shared" si="26"/>
        <v>init/env_grid_CLUSTER06_REPL4.asc</v>
      </c>
      <c r="Y71" s="16" t="str">
        <f t="shared" si="27"/>
        <v>trees_CLUSTER06.csv</v>
      </c>
      <c r="Z71" s="16" t="str">
        <f t="shared" si="28"/>
        <v>saplings_CLUSTER06.csv</v>
      </c>
      <c r="AA71" s="16">
        <f t="shared" si="29"/>
        <v>350</v>
      </c>
      <c r="AB71" s="16" t="str">
        <f t="shared" si="30"/>
        <v>abe/no_mgmt.csv</v>
      </c>
      <c r="AC71" s="16" t="str">
        <f t="shared" si="31"/>
        <v>gis/WindModifier_cl6.asc</v>
      </c>
      <c r="AD71" s="16">
        <f t="shared" si="32"/>
        <v>1.23748605856274E-7</v>
      </c>
      <c r="AE71" s="16" t="str">
        <f t="shared" si="35"/>
        <v>ICHEC-EC-EARTH_historical_point29731</v>
      </c>
      <c r="AF71" s="16" t="str">
        <f t="shared" si="33"/>
        <v>wind_Events/Scaled_cl6_repl4.txt</v>
      </c>
      <c r="AG71" s="16" t="str">
        <f t="shared" si="34"/>
        <v>ICHEC-EC-EARTH_Scaled_Cluster6_repl4</v>
      </c>
      <c r="AH71" s="16" t="s">
        <v>322</v>
      </c>
      <c r="AI71" s="16" t="s">
        <v>323</v>
      </c>
    </row>
    <row r="72" spans="1:35" ht="13.8">
      <c r="A72" s="7" t="str">
        <f t="shared" si="18"/>
        <v>MPI-M-MPI-ESM-LR_Scaled_Cluster6_repl4</v>
      </c>
      <c r="B72" s="8" t="s">
        <v>16</v>
      </c>
      <c r="C72" s="8" t="s">
        <v>54</v>
      </c>
      <c r="D72" s="9" t="s">
        <v>17</v>
      </c>
      <c r="E72" s="9" t="str">
        <f t="shared" si="19"/>
        <v>historical</v>
      </c>
      <c r="F72" s="8">
        <v>350</v>
      </c>
      <c r="G72" s="8" t="s">
        <v>63</v>
      </c>
      <c r="H72" s="8">
        <v>2</v>
      </c>
      <c r="I72" s="8">
        <v>1.2364860585627399E-7</v>
      </c>
      <c r="J72" s="8">
        <v>6</v>
      </c>
      <c r="K72" s="8" t="s">
        <v>170</v>
      </c>
      <c r="L72" s="8">
        <v>4</v>
      </c>
      <c r="M72" s="8"/>
      <c r="N72" s="8">
        <v>1</v>
      </c>
      <c r="O72" s="10" t="s">
        <v>21</v>
      </c>
      <c r="P72" s="17" t="s">
        <v>59</v>
      </c>
      <c r="Q72" s="10" t="str">
        <f t="shared" si="20"/>
        <v>MPI-M-MPI-ESM-LR_Scaled_Cluster6_repl4.sqlite</v>
      </c>
      <c r="R72" s="11">
        <f t="shared" si="21"/>
        <v>11</v>
      </c>
      <c r="S72" s="11">
        <v>0</v>
      </c>
      <c r="T72" s="16" t="str">
        <f t="shared" si="22"/>
        <v>climate_db_MPI-M-MPI-ESM-LR_historical_v4.sqlite</v>
      </c>
      <c r="U72" s="16" t="str">
        <f t="shared" si="23"/>
        <v>log/MPI-M-MPI-ESM-LR_Scaled_Cluster6_repl4.txt</v>
      </c>
      <c r="V72" s="16" t="str">
        <f t="shared" si="24"/>
        <v>init/env_file_CLUSTER06_REPL4_MPI-M-MPI-ESM-LR_historical.csv</v>
      </c>
      <c r="W72" s="16" t="str">
        <f t="shared" si="25"/>
        <v>init/env_grid_CLUSTER06_REPL4.asc</v>
      </c>
      <c r="X72" s="16" t="str">
        <f t="shared" si="26"/>
        <v>init/env_grid_CLUSTER06_REPL4.asc</v>
      </c>
      <c r="Y72" s="16" t="str">
        <f t="shared" si="27"/>
        <v>trees_CLUSTER06.csv</v>
      </c>
      <c r="Z72" s="16" t="str">
        <f t="shared" si="28"/>
        <v>saplings_CLUSTER06.csv</v>
      </c>
      <c r="AA72" s="16">
        <f t="shared" si="29"/>
        <v>350</v>
      </c>
      <c r="AB72" s="16" t="str">
        <f t="shared" si="30"/>
        <v>abe/no_mgmt.csv</v>
      </c>
      <c r="AC72" s="16" t="str">
        <f t="shared" si="31"/>
        <v>gis/WindModifier_cl6.asc</v>
      </c>
      <c r="AD72" s="16">
        <f t="shared" si="32"/>
        <v>1.23748605856274E-7</v>
      </c>
      <c r="AE72" s="16" t="str">
        <f t="shared" si="35"/>
        <v>MPI-M-MPI-ESM-LR_historical_point29033</v>
      </c>
      <c r="AF72" s="16" t="str">
        <f t="shared" si="33"/>
        <v>wind_Events/Scaled_cl6_repl4.txt</v>
      </c>
      <c r="AG72" s="16" t="str">
        <f t="shared" si="34"/>
        <v>MPI-M-MPI-ESM-LR_Scaled_Cluster6_repl4</v>
      </c>
      <c r="AH72" s="16" t="s">
        <v>324</v>
      </c>
      <c r="AI72" s="16" t="s">
        <v>325</v>
      </c>
    </row>
    <row r="73" spans="1:35" ht="13.8">
      <c r="A73" s="7" t="str">
        <f t="shared" si="18"/>
        <v>NCC-NorESM1-M_Scaled_Cluster6_repl4</v>
      </c>
      <c r="B73" s="8" t="s">
        <v>16</v>
      </c>
      <c r="C73" s="8" t="s">
        <v>54</v>
      </c>
      <c r="D73" s="9" t="s">
        <v>17</v>
      </c>
      <c r="E73" s="9" t="str">
        <f t="shared" si="19"/>
        <v>historical</v>
      </c>
      <c r="F73" s="8">
        <v>350</v>
      </c>
      <c r="G73" s="8" t="s">
        <v>60</v>
      </c>
      <c r="H73" s="8">
        <v>3</v>
      </c>
      <c r="I73" s="8">
        <v>1.2364860585627399E-7</v>
      </c>
      <c r="J73" s="8">
        <v>6</v>
      </c>
      <c r="K73" s="8" t="s">
        <v>176</v>
      </c>
      <c r="L73" s="8">
        <v>4</v>
      </c>
      <c r="M73" s="8"/>
      <c r="N73" s="8">
        <v>1</v>
      </c>
      <c r="O73" s="10" t="s">
        <v>21</v>
      </c>
      <c r="P73" s="17" t="s">
        <v>59</v>
      </c>
      <c r="Q73" s="10" t="str">
        <f t="shared" si="20"/>
        <v>NCC-NorESM1-M_Scaled_Cluster6_repl4.sqlite</v>
      </c>
      <c r="R73" s="11">
        <f t="shared" si="21"/>
        <v>12</v>
      </c>
      <c r="S73" s="11">
        <v>0</v>
      </c>
      <c r="T73" s="16" t="str">
        <f t="shared" si="22"/>
        <v>climate_db_NCC-NorESM1-M_historical_v4.sqlite</v>
      </c>
      <c r="U73" s="16" t="str">
        <f t="shared" si="23"/>
        <v>log/NCC-NorESM1-M_Scaled_Cluster6_repl4.txt</v>
      </c>
      <c r="V73" s="16" t="str">
        <f t="shared" si="24"/>
        <v>init/env_file_CLUSTER06_REPL4_NCC-NorESM1-M_historical.csv</v>
      </c>
      <c r="W73" s="16" t="str">
        <f t="shared" si="25"/>
        <v>init/env_grid_CLUSTER06_REPL4.asc</v>
      </c>
      <c r="X73" s="16" t="str">
        <f t="shared" si="26"/>
        <v>init/env_grid_CLUSTER06_REPL4.asc</v>
      </c>
      <c r="Y73" s="16" t="str">
        <f t="shared" si="27"/>
        <v>trees_CLUSTER06.csv</v>
      </c>
      <c r="Z73" s="16" t="str">
        <f t="shared" si="28"/>
        <v>saplings_CLUSTER06.csv</v>
      </c>
      <c r="AA73" s="16">
        <f t="shared" si="29"/>
        <v>350</v>
      </c>
      <c r="AB73" s="16" t="str">
        <f t="shared" si="30"/>
        <v>abe/no_mgmt.csv</v>
      </c>
      <c r="AC73" s="16" t="str">
        <f t="shared" si="31"/>
        <v>gis/WindModifier_cl6.asc</v>
      </c>
      <c r="AD73" s="16">
        <f t="shared" si="32"/>
        <v>1.23748605856274E-7</v>
      </c>
      <c r="AE73" s="16" t="str">
        <f t="shared" si="35"/>
        <v>NCC-NorESM1-M_historical_point30070</v>
      </c>
      <c r="AF73" s="16" t="str">
        <f t="shared" si="33"/>
        <v>wind_Events/Scaled_cl6_repl4.txt</v>
      </c>
      <c r="AG73" s="16" t="str">
        <f t="shared" si="34"/>
        <v>NCC-NorESM1-M_Scaled_Cluster6_repl4</v>
      </c>
      <c r="AH73" s="16" t="s">
        <v>326</v>
      </c>
      <c r="AI73" s="16" t="s">
        <v>327</v>
      </c>
    </row>
    <row r="74" spans="1:35" ht="13.8">
      <c r="A74" s="7" t="str">
        <f t="shared" si="18"/>
        <v>ICHEC-EC-EARTH_Scaled_Cluster6_repl5</v>
      </c>
      <c r="B74" s="8" t="s">
        <v>16</v>
      </c>
      <c r="C74" s="8" t="s">
        <v>54</v>
      </c>
      <c r="D74" s="9" t="s">
        <v>17</v>
      </c>
      <c r="E74" s="9" t="str">
        <f t="shared" si="19"/>
        <v>historical</v>
      </c>
      <c r="F74" s="8">
        <v>350</v>
      </c>
      <c r="G74" s="8" t="s">
        <v>18</v>
      </c>
      <c r="H74" s="8">
        <v>1</v>
      </c>
      <c r="I74" s="8">
        <v>1.2364860585627399E-7</v>
      </c>
      <c r="J74" s="8">
        <v>6</v>
      </c>
      <c r="K74" s="8" t="s">
        <v>161</v>
      </c>
      <c r="L74" s="8">
        <v>5</v>
      </c>
      <c r="M74" s="8"/>
      <c r="N74" s="8">
        <v>1</v>
      </c>
      <c r="O74" s="10" t="s">
        <v>21</v>
      </c>
      <c r="P74" s="17" t="s">
        <v>59</v>
      </c>
      <c r="Q74" s="10" t="str">
        <f t="shared" si="20"/>
        <v>ICHEC-EC-EARTH_Scaled_Cluster6_repl5.sqlite</v>
      </c>
      <c r="R74" s="11">
        <f t="shared" si="21"/>
        <v>13</v>
      </c>
      <c r="S74" s="11">
        <v>0</v>
      </c>
      <c r="T74" s="16" t="str">
        <f t="shared" si="22"/>
        <v>climate_db_ICHEC-EC-EARTH_historical_v4.sqlite</v>
      </c>
      <c r="U74" s="16" t="str">
        <f t="shared" si="23"/>
        <v>log/ICHEC-EC-EARTH_Scaled_Cluster6_repl5.txt</v>
      </c>
      <c r="V74" s="16" t="str">
        <f t="shared" si="24"/>
        <v>init/env_file_CLUSTER06_REPL5_ICHEC-EC-EARTH_historical.csv</v>
      </c>
      <c r="W74" s="16" t="str">
        <f t="shared" si="25"/>
        <v>init/env_grid_CLUSTER06_REPL5.asc</v>
      </c>
      <c r="X74" s="16" t="str">
        <f t="shared" si="26"/>
        <v>init/env_grid_CLUSTER06_REPL5.asc</v>
      </c>
      <c r="Y74" s="16" t="str">
        <f t="shared" si="27"/>
        <v>trees_CLUSTER06.csv</v>
      </c>
      <c r="Z74" s="16" t="str">
        <f t="shared" si="28"/>
        <v>saplings_CLUSTER06.csv</v>
      </c>
      <c r="AA74" s="16">
        <f t="shared" si="29"/>
        <v>350</v>
      </c>
      <c r="AB74" s="16" t="str">
        <f t="shared" si="30"/>
        <v>abe/no_mgmt.csv</v>
      </c>
      <c r="AC74" s="16" t="str">
        <f t="shared" si="31"/>
        <v>gis/WindModifier_cl6.asc</v>
      </c>
      <c r="AD74" s="16">
        <f t="shared" si="32"/>
        <v>1.23748605856274E-7</v>
      </c>
      <c r="AE74" s="16" t="str">
        <f t="shared" si="35"/>
        <v>ICHEC-EC-EARTH_historical_point29731</v>
      </c>
      <c r="AF74" s="16" t="str">
        <f t="shared" si="33"/>
        <v>wind_Events/Scaled_cl6_repl5.txt</v>
      </c>
      <c r="AG74" s="16" t="str">
        <f t="shared" si="34"/>
        <v>ICHEC-EC-EARTH_Scaled_Cluster6_repl5</v>
      </c>
      <c r="AH74" s="16" t="s">
        <v>256</v>
      </c>
      <c r="AI74" s="16" t="s">
        <v>257</v>
      </c>
    </row>
    <row r="75" spans="1:35" ht="13.8">
      <c r="A75" s="7" t="str">
        <f t="shared" si="18"/>
        <v>MPI-M-MPI-ESM-LR_Scaled_Cluster6_repl5</v>
      </c>
      <c r="B75" s="8" t="s">
        <v>16</v>
      </c>
      <c r="C75" s="8" t="s">
        <v>54</v>
      </c>
      <c r="D75" s="9" t="s">
        <v>17</v>
      </c>
      <c r="E75" s="9" t="str">
        <f t="shared" si="19"/>
        <v>historical</v>
      </c>
      <c r="F75" s="8">
        <v>350</v>
      </c>
      <c r="G75" s="8" t="s">
        <v>63</v>
      </c>
      <c r="H75" s="8">
        <v>2</v>
      </c>
      <c r="I75" s="8">
        <v>1.2364860585627399E-7</v>
      </c>
      <c r="J75" s="8">
        <v>6</v>
      </c>
      <c r="K75" s="8" t="s">
        <v>170</v>
      </c>
      <c r="L75" s="8">
        <v>5</v>
      </c>
      <c r="M75" s="8"/>
      <c r="N75" s="8">
        <v>1</v>
      </c>
      <c r="O75" s="10" t="s">
        <v>21</v>
      </c>
      <c r="P75" s="17" t="s">
        <v>59</v>
      </c>
      <c r="Q75" s="10" t="str">
        <f t="shared" si="20"/>
        <v>MPI-M-MPI-ESM-LR_Scaled_Cluster6_repl5.sqlite</v>
      </c>
      <c r="R75" s="11">
        <f t="shared" si="21"/>
        <v>14</v>
      </c>
      <c r="S75" s="11">
        <v>0</v>
      </c>
      <c r="T75" s="16" t="str">
        <f t="shared" si="22"/>
        <v>climate_db_MPI-M-MPI-ESM-LR_historical_v4.sqlite</v>
      </c>
      <c r="U75" s="16" t="str">
        <f t="shared" si="23"/>
        <v>log/MPI-M-MPI-ESM-LR_Scaled_Cluster6_repl5.txt</v>
      </c>
      <c r="V75" s="16" t="str">
        <f t="shared" si="24"/>
        <v>init/env_file_CLUSTER06_REPL5_MPI-M-MPI-ESM-LR_historical.csv</v>
      </c>
      <c r="W75" s="16" t="str">
        <f t="shared" si="25"/>
        <v>init/env_grid_CLUSTER06_REPL5.asc</v>
      </c>
      <c r="X75" s="16" t="str">
        <f t="shared" si="26"/>
        <v>init/env_grid_CLUSTER06_REPL5.asc</v>
      </c>
      <c r="Y75" s="16" t="str">
        <f t="shared" si="27"/>
        <v>trees_CLUSTER06.csv</v>
      </c>
      <c r="Z75" s="16" t="str">
        <f t="shared" si="28"/>
        <v>saplings_CLUSTER06.csv</v>
      </c>
      <c r="AA75" s="16">
        <f t="shared" si="29"/>
        <v>350</v>
      </c>
      <c r="AB75" s="16" t="str">
        <f t="shared" si="30"/>
        <v>abe/no_mgmt.csv</v>
      </c>
      <c r="AC75" s="16" t="str">
        <f t="shared" si="31"/>
        <v>gis/WindModifier_cl6.asc</v>
      </c>
      <c r="AD75" s="16">
        <f t="shared" si="32"/>
        <v>1.23748605856274E-7</v>
      </c>
      <c r="AE75" s="16" t="str">
        <f t="shared" si="35"/>
        <v>MPI-M-MPI-ESM-LR_historical_point29033</v>
      </c>
      <c r="AF75" s="16" t="str">
        <f t="shared" si="33"/>
        <v>wind_Events/Scaled_cl6_repl5.txt</v>
      </c>
      <c r="AG75" s="16" t="str">
        <f t="shared" si="34"/>
        <v>MPI-M-MPI-ESM-LR_Scaled_Cluster6_repl5</v>
      </c>
      <c r="AH75" s="16" t="s">
        <v>258</v>
      </c>
      <c r="AI75" s="16" t="s">
        <v>259</v>
      </c>
    </row>
    <row r="76" spans="1:35" ht="13.8">
      <c r="A76" s="7" t="str">
        <f t="shared" si="18"/>
        <v>NCC-NorESM1-M_Scaled_Cluster6_repl5</v>
      </c>
      <c r="B76" s="8" t="s">
        <v>16</v>
      </c>
      <c r="C76" s="8" t="s">
        <v>54</v>
      </c>
      <c r="D76" s="9" t="s">
        <v>17</v>
      </c>
      <c r="E76" s="9" t="str">
        <f t="shared" si="19"/>
        <v>historical</v>
      </c>
      <c r="F76" s="8">
        <v>350</v>
      </c>
      <c r="G76" s="8" t="s">
        <v>60</v>
      </c>
      <c r="H76" s="8">
        <v>3</v>
      </c>
      <c r="I76" s="8">
        <v>1.2364860585627399E-7</v>
      </c>
      <c r="J76" s="8">
        <v>6</v>
      </c>
      <c r="K76" s="8" t="s">
        <v>176</v>
      </c>
      <c r="L76" s="8">
        <v>5</v>
      </c>
      <c r="M76" s="8"/>
      <c r="N76" s="8">
        <v>1</v>
      </c>
      <c r="O76" s="10" t="s">
        <v>21</v>
      </c>
      <c r="P76" s="17" t="s">
        <v>59</v>
      </c>
      <c r="Q76" s="10" t="str">
        <f t="shared" si="20"/>
        <v>NCC-NorESM1-M_Scaled_Cluster6_repl5.sqlite</v>
      </c>
      <c r="R76" s="11">
        <f t="shared" si="21"/>
        <v>15</v>
      </c>
      <c r="S76" s="11">
        <v>0</v>
      </c>
      <c r="T76" s="16" t="str">
        <f t="shared" si="22"/>
        <v>climate_db_NCC-NorESM1-M_historical_v4.sqlite</v>
      </c>
      <c r="U76" s="16" t="str">
        <f t="shared" si="23"/>
        <v>log/NCC-NorESM1-M_Scaled_Cluster6_repl5.txt</v>
      </c>
      <c r="V76" s="16" t="str">
        <f t="shared" si="24"/>
        <v>init/env_file_CLUSTER06_REPL5_NCC-NorESM1-M_historical.csv</v>
      </c>
      <c r="W76" s="16" t="str">
        <f t="shared" si="25"/>
        <v>init/env_grid_CLUSTER06_REPL5.asc</v>
      </c>
      <c r="X76" s="16" t="str">
        <f t="shared" si="26"/>
        <v>init/env_grid_CLUSTER06_REPL5.asc</v>
      </c>
      <c r="Y76" s="16" t="str">
        <f t="shared" si="27"/>
        <v>trees_CLUSTER06.csv</v>
      </c>
      <c r="Z76" s="16" t="str">
        <f t="shared" si="28"/>
        <v>saplings_CLUSTER06.csv</v>
      </c>
      <c r="AA76" s="16">
        <f t="shared" si="29"/>
        <v>350</v>
      </c>
      <c r="AB76" s="16" t="str">
        <f t="shared" si="30"/>
        <v>abe/no_mgmt.csv</v>
      </c>
      <c r="AC76" s="16" t="str">
        <f t="shared" si="31"/>
        <v>gis/WindModifier_cl6.asc</v>
      </c>
      <c r="AD76" s="16">
        <f t="shared" si="32"/>
        <v>1.23748605856274E-7</v>
      </c>
      <c r="AE76" s="16" t="str">
        <f t="shared" si="35"/>
        <v>NCC-NorESM1-M_historical_point30070</v>
      </c>
      <c r="AF76" s="16" t="str">
        <f t="shared" si="33"/>
        <v>wind_Events/Scaled_cl6_repl5.txt</v>
      </c>
      <c r="AG76" s="16" t="str">
        <f t="shared" si="34"/>
        <v>NCC-NorESM1-M_Scaled_Cluster6_repl5</v>
      </c>
      <c r="AH76" s="16" t="s">
        <v>260</v>
      </c>
      <c r="AI76" s="16" t="s">
        <v>261</v>
      </c>
    </row>
    <row r="77" spans="1:35" ht="13.8">
      <c r="A77" s="7" t="str">
        <f t="shared" si="18"/>
        <v>ICHEC-EC-EARTH_Scaled_Cluster7_repl1</v>
      </c>
      <c r="B77" s="8" t="s">
        <v>16</v>
      </c>
      <c r="C77" s="8" t="s">
        <v>54</v>
      </c>
      <c r="D77" s="9" t="s">
        <v>17</v>
      </c>
      <c r="E77" s="9" t="str">
        <f t="shared" si="19"/>
        <v>historical</v>
      </c>
      <c r="F77" s="8">
        <v>350</v>
      </c>
      <c r="G77" s="8" t="s">
        <v>18</v>
      </c>
      <c r="H77" s="8">
        <v>1</v>
      </c>
      <c r="I77" s="8">
        <v>4.0645289878109198E-7</v>
      </c>
      <c r="J77" s="8">
        <v>7</v>
      </c>
      <c r="K77" s="8" t="s">
        <v>162</v>
      </c>
      <c r="L77" s="8">
        <v>1</v>
      </c>
      <c r="M77" s="8"/>
      <c r="N77" s="8">
        <v>1</v>
      </c>
      <c r="O77" s="10" t="s">
        <v>21</v>
      </c>
      <c r="P77" s="17" t="s">
        <v>59</v>
      </c>
      <c r="Q77" s="10" t="str">
        <f t="shared" si="20"/>
        <v>ICHEC-EC-EARTH_Scaled_Cluster7_repl1.sqlite</v>
      </c>
      <c r="R77" s="11">
        <f t="shared" si="21"/>
        <v>1</v>
      </c>
      <c r="S77" s="11">
        <v>0</v>
      </c>
      <c r="T77" s="16" t="str">
        <f t="shared" si="22"/>
        <v>climate_db_ICHEC-EC-EARTH_historical_v4.sqlite</v>
      </c>
      <c r="U77" s="16" t="str">
        <f t="shared" si="23"/>
        <v>log/ICHEC-EC-EARTH_Scaled_Cluster7_repl1.txt</v>
      </c>
      <c r="V77" s="16" t="str">
        <f t="shared" si="24"/>
        <v>init/env_file_CLUSTER07_REPL1_ICHEC-EC-EARTH_historical.csv</v>
      </c>
      <c r="W77" s="16" t="str">
        <f t="shared" si="25"/>
        <v>init/env_grid_CLUSTER07_REPL1.asc</v>
      </c>
      <c r="X77" s="16" t="str">
        <f t="shared" si="26"/>
        <v>init/env_grid_CLUSTER07_REPL1.asc</v>
      </c>
      <c r="Y77" s="16" t="str">
        <f t="shared" si="27"/>
        <v>trees_CLUSTER07.csv</v>
      </c>
      <c r="Z77" s="16" t="str">
        <f t="shared" si="28"/>
        <v>saplings_CLUSTER07.csv</v>
      </c>
      <c r="AA77" s="16">
        <f t="shared" si="29"/>
        <v>350</v>
      </c>
      <c r="AB77" s="16" t="str">
        <f t="shared" si="30"/>
        <v>abe/no_mgmt.csv</v>
      </c>
      <c r="AC77" s="16" t="str">
        <f t="shared" si="31"/>
        <v>gis/WindModifier_cl7.asc</v>
      </c>
      <c r="AD77" s="16">
        <f t="shared" si="32"/>
        <v>4.0655289878109199E-7</v>
      </c>
      <c r="AE77" s="16" t="str">
        <f t="shared" si="35"/>
        <v>ICHEC-EC-EARTH_historical_point26530</v>
      </c>
      <c r="AF77" s="16" t="str">
        <f t="shared" si="33"/>
        <v>wind_Events/Scaled_cl7_repl1.txt</v>
      </c>
      <c r="AG77" s="16" t="str">
        <f t="shared" si="34"/>
        <v>ICHEC-EC-EARTH_Scaled_Cluster7_repl1</v>
      </c>
      <c r="AH77" s="16" t="s">
        <v>262</v>
      </c>
      <c r="AI77" s="16" t="s">
        <v>263</v>
      </c>
    </row>
    <row r="78" spans="1:35" ht="13.8">
      <c r="A78" s="7" t="str">
        <f t="shared" si="18"/>
        <v>MPI-M-MPI-ESM-LR_Scaled_Cluster7_repl1</v>
      </c>
      <c r="B78" s="8" t="s">
        <v>16</v>
      </c>
      <c r="C78" s="8" t="s">
        <v>54</v>
      </c>
      <c r="D78" s="9" t="s">
        <v>17</v>
      </c>
      <c r="E78" s="9" t="str">
        <f t="shared" si="19"/>
        <v>historical</v>
      </c>
      <c r="F78" s="8">
        <v>350</v>
      </c>
      <c r="G78" s="8" t="s">
        <v>63</v>
      </c>
      <c r="H78" s="8">
        <v>2</v>
      </c>
      <c r="I78" s="8">
        <v>4.0645289878109198E-7</v>
      </c>
      <c r="J78" s="8">
        <v>7</v>
      </c>
      <c r="K78" s="8" t="s">
        <v>162</v>
      </c>
      <c r="L78" s="8">
        <v>1</v>
      </c>
      <c r="M78" s="8"/>
      <c r="N78" s="8">
        <v>1</v>
      </c>
      <c r="O78" s="10" t="s">
        <v>21</v>
      </c>
      <c r="P78" s="17" t="s">
        <v>59</v>
      </c>
      <c r="Q78" s="10" t="str">
        <f t="shared" si="20"/>
        <v>MPI-M-MPI-ESM-LR_Scaled_Cluster7_repl1.sqlite</v>
      </c>
      <c r="R78" s="11">
        <f t="shared" si="21"/>
        <v>2</v>
      </c>
      <c r="S78" s="11">
        <v>0</v>
      </c>
      <c r="T78" s="16" t="str">
        <f t="shared" si="22"/>
        <v>climate_db_MPI-M-MPI-ESM-LR_historical_v4.sqlite</v>
      </c>
      <c r="U78" s="16" t="str">
        <f t="shared" si="23"/>
        <v>log/MPI-M-MPI-ESM-LR_Scaled_Cluster7_repl1.txt</v>
      </c>
      <c r="V78" s="16" t="str">
        <f t="shared" si="24"/>
        <v>init/env_file_CLUSTER07_REPL1_MPI-M-MPI-ESM-LR_historical.csv</v>
      </c>
      <c r="W78" s="16" t="str">
        <f t="shared" si="25"/>
        <v>init/env_grid_CLUSTER07_REPL1.asc</v>
      </c>
      <c r="X78" s="16" t="str">
        <f t="shared" si="26"/>
        <v>init/env_grid_CLUSTER07_REPL1.asc</v>
      </c>
      <c r="Y78" s="16" t="str">
        <f t="shared" si="27"/>
        <v>trees_CLUSTER07.csv</v>
      </c>
      <c r="Z78" s="16" t="str">
        <f t="shared" si="28"/>
        <v>saplings_CLUSTER07.csv</v>
      </c>
      <c r="AA78" s="16">
        <f t="shared" si="29"/>
        <v>350</v>
      </c>
      <c r="AB78" s="16" t="str">
        <f t="shared" si="30"/>
        <v>abe/no_mgmt.csv</v>
      </c>
      <c r="AC78" s="16" t="str">
        <f t="shared" si="31"/>
        <v>gis/WindModifier_cl7.asc</v>
      </c>
      <c r="AD78" s="16">
        <f t="shared" si="32"/>
        <v>4.0655289878109199E-7</v>
      </c>
      <c r="AE78" s="16" t="str">
        <f t="shared" si="35"/>
        <v>MPI-M-MPI-ESM-LR_historical_point26530</v>
      </c>
      <c r="AF78" s="16" t="str">
        <f t="shared" si="33"/>
        <v>wind_Events/Scaled_cl7_repl1.txt</v>
      </c>
      <c r="AG78" s="16" t="str">
        <f t="shared" si="34"/>
        <v>MPI-M-MPI-ESM-LR_Scaled_Cluster7_repl1</v>
      </c>
      <c r="AH78" s="16" t="s">
        <v>264</v>
      </c>
      <c r="AI78" s="16" t="s">
        <v>265</v>
      </c>
    </row>
    <row r="79" spans="1:35" ht="13.8">
      <c r="A79" s="7" t="str">
        <f t="shared" si="18"/>
        <v>NCC-NorESM1-M_Scaled_Cluster7_repl1</v>
      </c>
      <c r="B79" s="8" t="s">
        <v>16</v>
      </c>
      <c r="C79" s="8" t="s">
        <v>54</v>
      </c>
      <c r="D79" s="9" t="s">
        <v>17</v>
      </c>
      <c r="E79" s="9" t="str">
        <f t="shared" si="19"/>
        <v>historical</v>
      </c>
      <c r="F79" s="8">
        <v>350</v>
      </c>
      <c r="G79" s="8" t="s">
        <v>60</v>
      </c>
      <c r="H79" s="8">
        <v>3</v>
      </c>
      <c r="I79" s="8">
        <v>4.0645289878109198E-7</v>
      </c>
      <c r="J79" s="8">
        <v>7</v>
      </c>
      <c r="K79" s="8" t="s">
        <v>177</v>
      </c>
      <c r="L79" s="8">
        <v>1</v>
      </c>
      <c r="M79" s="8"/>
      <c r="N79" s="8">
        <v>1</v>
      </c>
      <c r="O79" s="10" t="s">
        <v>21</v>
      </c>
      <c r="P79" s="17" t="s">
        <v>59</v>
      </c>
      <c r="Q79" s="10" t="str">
        <f t="shared" si="20"/>
        <v>NCC-NorESM1-M_Scaled_Cluster7_repl1.sqlite</v>
      </c>
      <c r="R79" s="11">
        <f t="shared" si="21"/>
        <v>3</v>
      </c>
      <c r="S79" s="11">
        <v>0</v>
      </c>
      <c r="T79" s="16" t="str">
        <f t="shared" si="22"/>
        <v>climate_db_NCC-NorESM1-M_historical_v4.sqlite</v>
      </c>
      <c r="U79" s="16" t="str">
        <f t="shared" si="23"/>
        <v>log/NCC-NorESM1-M_Scaled_Cluster7_repl1.txt</v>
      </c>
      <c r="V79" s="16" t="str">
        <f t="shared" si="24"/>
        <v>init/env_file_CLUSTER07_REPL1_NCC-NorESM1-M_historical.csv</v>
      </c>
      <c r="W79" s="16" t="str">
        <f t="shared" si="25"/>
        <v>init/env_grid_CLUSTER07_REPL1.asc</v>
      </c>
      <c r="X79" s="16" t="str">
        <f t="shared" si="26"/>
        <v>init/env_grid_CLUSTER07_REPL1.asc</v>
      </c>
      <c r="Y79" s="16" t="str">
        <f t="shared" si="27"/>
        <v>trees_CLUSTER07.csv</v>
      </c>
      <c r="Z79" s="16" t="str">
        <f t="shared" si="28"/>
        <v>saplings_CLUSTER07.csv</v>
      </c>
      <c r="AA79" s="16">
        <f t="shared" si="29"/>
        <v>350</v>
      </c>
      <c r="AB79" s="16" t="str">
        <f t="shared" si="30"/>
        <v>abe/no_mgmt.csv</v>
      </c>
      <c r="AC79" s="16" t="str">
        <f t="shared" si="31"/>
        <v>gis/WindModifier_cl7.asc</v>
      </c>
      <c r="AD79" s="16">
        <f t="shared" si="32"/>
        <v>4.0655289878109199E-7</v>
      </c>
      <c r="AE79" s="16" t="str">
        <f t="shared" si="35"/>
        <v>NCC-NorESM1-M_historical_point26183</v>
      </c>
      <c r="AF79" s="16" t="str">
        <f t="shared" si="33"/>
        <v>wind_Events/Scaled_cl7_repl1.txt</v>
      </c>
      <c r="AG79" s="16" t="str">
        <f t="shared" si="34"/>
        <v>NCC-NorESM1-M_Scaled_Cluster7_repl1</v>
      </c>
      <c r="AH79" s="16" t="s">
        <v>266</v>
      </c>
      <c r="AI79" s="16" t="s">
        <v>267</v>
      </c>
    </row>
    <row r="80" spans="1:35" ht="13.8">
      <c r="A80" s="7" t="str">
        <f t="shared" si="18"/>
        <v>ICHEC-EC-EARTH_Scaled_Cluster7_repl2</v>
      </c>
      <c r="B80" s="8" t="s">
        <v>16</v>
      </c>
      <c r="C80" s="8" t="s">
        <v>54</v>
      </c>
      <c r="D80" s="9" t="s">
        <v>17</v>
      </c>
      <c r="E80" s="9" t="str">
        <f t="shared" si="19"/>
        <v>historical</v>
      </c>
      <c r="F80" s="8">
        <v>350</v>
      </c>
      <c r="G80" s="8" t="s">
        <v>18</v>
      </c>
      <c r="H80" s="8">
        <v>1</v>
      </c>
      <c r="I80" s="8">
        <v>4.0645289878109198E-7</v>
      </c>
      <c r="J80" s="8">
        <v>7</v>
      </c>
      <c r="K80" s="8" t="s">
        <v>162</v>
      </c>
      <c r="L80" s="8">
        <v>2</v>
      </c>
      <c r="M80" s="8"/>
      <c r="N80" s="8">
        <v>1</v>
      </c>
      <c r="O80" s="10" t="s">
        <v>21</v>
      </c>
      <c r="P80" s="17" t="s">
        <v>59</v>
      </c>
      <c r="Q80" s="10" t="str">
        <f t="shared" si="20"/>
        <v>ICHEC-EC-EARTH_Scaled_Cluster7_repl2.sqlite</v>
      </c>
      <c r="R80" s="11">
        <f t="shared" si="21"/>
        <v>4</v>
      </c>
      <c r="S80" s="11">
        <v>0</v>
      </c>
      <c r="T80" s="16" t="str">
        <f t="shared" si="22"/>
        <v>climate_db_ICHEC-EC-EARTH_historical_v4.sqlite</v>
      </c>
      <c r="U80" s="16" t="str">
        <f t="shared" si="23"/>
        <v>log/ICHEC-EC-EARTH_Scaled_Cluster7_repl2.txt</v>
      </c>
      <c r="V80" s="16" t="str">
        <f t="shared" si="24"/>
        <v>init/env_file_CLUSTER07_REPL2_ICHEC-EC-EARTH_historical.csv</v>
      </c>
      <c r="W80" s="16" t="str">
        <f t="shared" si="25"/>
        <v>init/env_grid_CLUSTER07_REPL2.asc</v>
      </c>
      <c r="X80" s="16" t="str">
        <f t="shared" si="26"/>
        <v>init/env_grid_CLUSTER07_REPL2.asc</v>
      </c>
      <c r="Y80" s="16" t="str">
        <f t="shared" si="27"/>
        <v>trees_CLUSTER07.csv</v>
      </c>
      <c r="Z80" s="16" t="str">
        <f t="shared" si="28"/>
        <v>saplings_CLUSTER07.csv</v>
      </c>
      <c r="AA80" s="16">
        <f t="shared" si="29"/>
        <v>350</v>
      </c>
      <c r="AB80" s="16" t="str">
        <f t="shared" si="30"/>
        <v>abe/no_mgmt.csv</v>
      </c>
      <c r="AC80" s="16" t="str">
        <f t="shared" si="31"/>
        <v>gis/WindModifier_cl7.asc</v>
      </c>
      <c r="AD80" s="16">
        <f t="shared" si="32"/>
        <v>4.0655289878109199E-7</v>
      </c>
      <c r="AE80" s="16" t="str">
        <f t="shared" si="35"/>
        <v>ICHEC-EC-EARTH_historical_point26530</v>
      </c>
      <c r="AF80" s="16" t="str">
        <f t="shared" si="33"/>
        <v>wind_Events/Scaled_cl7_repl2.txt</v>
      </c>
      <c r="AG80" s="16" t="str">
        <f t="shared" si="34"/>
        <v>ICHEC-EC-EARTH_Scaled_Cluster7_repl2</v>
      </c>
      <c r="AH80" s="16" t="s">
        <v>268</v>
      </c>
      <c r="AI80" s="16" t="s">
        <v>269</v>
      </c>
    </row>
    <row r="81" spans="1:35" ht="13.8">
      <c r="A81" s="7" t="str">
        <f t="shared" si="18"/>
        <v>MPI-M-MPI-ESM-LR_Scaled_Cluster7_repl2</v>
      </c>
      <c r="B81" s="8" t="s">
        <v>16</v>
      </c>
      <c r="C81" s="8" t="s">
        <v>54</v>
      </c>
      <c r="D81" s="9" t="s">
        <v>17</v>
      </c>
      <c r="E81" s="9" t="str">
        <f t="shared" si="19"/>
        <v>historical</v>
      </c>
      <c r="F81" s="8">
        <v>350</v>
      </c>
      <c r="G81" s="8" t="s">
        <v>63</v>
      </c>
      <c r="H81" s="8">
        <v>2</v>
      </c>
      <c r="I81" s="8">
        <v>4.0645289878109198E-7</v>
      </c>
      <c r="J81" s="8">
        <v>7</v>
      </c>
      <c r="K81" s="8" t="s">
        <v>162</v>
      </c>
      <c r="L81" s="8">
        <v>2</v>
      </c>
      <c r="M81" s="8"/>
      <c r="N81" s="8">
        <v>1</v>
      </c>
      <c r="O81" s="10" t="s">
        <v>21</v>
      </c>
      <c r="P81" s="17" t="s">
        <v>59</v>
      </c>
      <c r="Q81" s="10" t="str">
        <f t="shared" si="20"/>
        <v>MPI-M-MPI-ESM-LR_Scaled_Cluster7_repl2.sqlite</v>
      </c>
      <c r="R81" s="11">
        <f t="shared" si="21"/>
        <v>5</v>
      </c>
      <c r="S81" s="11">
        <v>0</v>
      </c>
      <c r="T81" s="16" t="str">
        <f t="shared" si="22"/>
        <v>climate_db_MPI-M-MPI-ESM-LR_historical_v4.sqlite</v>
      </c>
      <c r="U81" s="16" t="str">
        <f t="shared" si="23"/>
        <v>log/MPI-M-MPI-ESM-LR_Scaled_Cluster7_repl2.txt</v>
      </c>
      <c r="V81" s="16" t="str">
        <f t="shared" si="24"/>
        <v>init/env_file_CLUSTER07_REPL2_MPI-M-MPI-ESM-LR_historical.csv</v>
      </c>
      <c r="W81" s="16" t="str">
        <f t="shared" si="25"/>
        <v>init/env_grid_CLUSTER07_REPL2.asc</v>
      </c>
      <c r="X81" s="16" t="str">
        <f t="shared" si="26"/>
        <v>init/env_grid_CLUSTER07_REPL2.asc</v>
      </c>
      <c r="Y81" s="16" t="str">
        <f t="shared" si="27"/>
        <v>trees_CLUSTER07.csv</v>
      </c>
      <c r="Z81" s="16" t="str">
        <f t="shared" si="28"/>
        <v>saplings_CLUSTER07.csv</v>
      </c>
      <c r="AA81" s="16">
        <f t="shared" si="29"/>
        <v>350</v>
      </c>
      <c r="AB81" s="16" t="str">
        <f t="shared" si="30"/>
        <v>abe/no_mgmt.csv</v>
      </c>
      <c r="AC81" s="16" t="str">
        <f t="shared" si="31"/>
        <v>gis/WindModifier_cl7.asc</v>
      </c>
      <c r="AD81" s="16">
        <f t="shared" si="32"/>
        <v>4.0655289878109199E-7</v>
      </c>
      <c r="AE81" s="16" t="str">
        <f t="shared" si="35"/>
        <v>MPI-M-MPI-ESM-LR_historical_point26530</v>
      </c>
      <c r="AF81" s="16" t="str">
        <f t="shared" si="33"/>
        <v>wind_Events/Scaled_cl7_repl2.txt</v>
      </c>
      <c r="AG81" s="16" t="str">
        <f t="shared" si="34"/>
        <v>MPI-M-MPI-ESM-LR_Scaled_Cluster7_repl2</v>
      </c>
      <c r="AH81" s="16" t="s">
        <v>270</v>
      </c>
      <c r="AI81" s="16" t="s">
        <v>271</v>
      </c>
    </row>
    <row r="82" spans="1:35" ht="13.8">
      <c r="A82" s="7" t="str">
        <f t="shared" si="18"/>
        <v>NCC-NorESM1-M_Scaled_Cluster7_repl2</v>
      </c>
      <c r="B82" s="8" t="s">
        <v>16</v>
      </c>
      <c r="C82" s="8" t="s">
        <v>54</v>
      </c>
      <c r="D82" s="9" t="s">
        <v>17</v>
      </c>
      <c r="E82" s="9" t="str">
        <f t="shared" si="19"/>
        <v>historical</v>
      </c>
      <c r="F82" s="8">
        <v>350</v>
      </c>
      <c r="G82" s="8" t="s">
        <v>60</v>
      </c>
      <c r="H82" s="8">
        <v>3</v>
      </c>
      <c r="I82" s="8">
        <v>4.0645289878109198E-7</v>
      </c>
      <c r="J82" s="8">
        <v>7</v>
      </c>
      <c r="K82" s="8" t="s">
        <v>177</v>
      </c>
      <c r="L82" s="8">
        <v>2</v>
      </c>
      <c r="M82" s="8"/>
      <c r="N82" s="8">
        <v>1</v>
      </c>
      <c r="O82" s="10" t="s">
        <v>21</v>
      </c>
      <c r="P82" s="17" t="s">
        <v>59</v>
      </c>
      <c r="Q82" s="10" t="str">
        <f t="shared" si="20"/>
        <v>NCC-NorESM1-M_Scaled_Cluster7_repl2.sqlite</v>
      </c>
      <c r="R82" s="11">
        <f t="shared" si="21"/>
        <v>6</v>
      </c>
      <c r="S82" s="11">
        <v>0</v>
      </c>
      <c r="T82" s="16" t="str">
        <f t="shared" si="22"/>
        <v>climate_db_NCC-NorESM1-M_historical_v4.sqlite</v>
      </c>
      <c r="U82" s="16" t="str">
        <f t="shared" si="23"/>
        <v>log/NCC-NorESM1-M_Scaled_Cluster7_repl2.txt</v>
      </c>
      <c r="V82" s="16" t="str">
        <f t="shared" si="24"/>
        <v>init/env_file_CLUSTER07_REPL2_NCC-NorESM1-M_historical.csv</v>
      </c>
      <c r="W82" s="16" t="str">
        <f t="shared" si="25"/>
        <v>init/env_grid_CLUSTER07_REPL2.asc</v>
      </c>
      <c r="X82" s="16" t="str">
        <f t="shared" si="26"/>
        <v>init/env_grid_CLUSTER07_REPL2.asc</v>
      </c>
      <c r="Y82" s="16" t="str">
        <f t="shared" si="27"/>
        <v>trees_CLUSTER07.csv</v>
      </c>
      <c r="Z82" s="16" t="str">
        <f t="shared" si="28"/>
        <v>saplings_CLUSTER07.csv</v>
      </c>
      <c r="AA82" s="16">
        <f t="shared" si="29"/>
        <v>350</v>
      </c>
      <c r="AB82" s="16" t="str">
        <f t="shared" si="30"/>
        <v>abe/no_mgmt.csv</v>
      </c>
      <c r="AC82" s="16" t="str">
        <f t="shared" si="31"/>
        <v>gis/WindModifier_cl7.asc</v>
      </c>
      <c r="AD82" s="16">
        <f t="shared" si="32"/>
        <v>4.0655289878109199E-7</v>
      </c>
      <c r="AE82" s="16" t="str">
        <f t="shared" si="35"/>
        <v>NCC-NorESM1-M_historical_point26183</v>
      </c>
      <c r="AF82" s="16" t="str">
        <f t="shared" si="33"/>
        <v>wind_Events/Scaled_cl7_repl2.txt</v>
      </c>
      <c r="AG82" s="16" t="str">
        <f t="shared" si="34"/>
        <v>NCC-NorESM1-M_Scaled_Cluster7_repl2</v>
      </c>
      <c r="AH82" s="16" t="s">
        <v>272</v>
      </c>
      <c r="AI82" s="16" t="s">
        <v>273</v>
      </c>
    </row>
    <row r="83" spans="1:35" ht="13.8">
      <c r="A83" s="7" t="str">
        <f t="shared" si="18"/>
        <v>ICHEC-EC-EARTH_Scaled_Cluster7_repl3</v>
      </c>
      <c r="B83" s="8" t="s">
        <v>16</v>
      </c>
      <c r="C83" s="8" t="s">
        <v>54</v>
      </c>
      <c r="D83" s="9" t="s">
        <v>17</v>
      </c>
      <c r="E83" s="9" t="str">
        <f t="shared" si="19"/>
        <v>historical</v>
      </c>
      <c r="F83" s="8">
        <v>350</v>
      </c>
      <c r="G83" s="8" t="s">
        <v>18</v>
      </c>
      <c r="H83" s="8">
        <v>1</v>
      </c>
      <c r="I83" s="8">
        <v>4.0645289878109198E-7</v>
      </c>
      <c r="J83" s="8">
        <v>7</v>
      </c>
      <c r="K83" s="8" t="s">
        <v>162</v>
      </c>
      <c r="L83" s="8">
        <v>3</v>
      </c>
      <c r="M83" s="8"/>
      <c r="N83" s="8">
        <v>1</v>
      </c>
      <c r="O83" s="10" t="s">
        <v>21</v>
      </c>
      <c r="P83" s="17" t="s">
        <v>59</v>
      </c>
      <c r="Q83" s="10" t="str">
        <f t="shared" si="20"/>
        <v>ICHEC-EC-EARTH_Scaled_Cluster7_repl3.sqlite</v>
      </c>
      <c r="R83" s="11">
        <f t="shared" si="21"/>
        <v>7</v>
      </c>
      <c r="S83" s="11">
        <v>0</v>
      </c>
      <c r="T83" s="16" t="str">
        <f t="shared" si="22"/>
        <v>climate_db_ICHEC-EC-EARTH_historical_v4.sqlite</v>
      </c>
      <c r="U83" s="16" t="str">
        <f t="shared" si="23"/>
        <v>log/ICHEC-EC-EARTH_Scaled_Cluster7_repl3.txt</v>
      </c>
      <c r="V83" s="16" t="str">
        <f t="shared" si="24"/>
        <v>init/env_file_CLUSTER07_REPL3_ICHEC-EC-EARTH_historical.csv</v>
      </c>
      <c r="W83" s="16" t="str">
        <f t="shared" si="25"/>
        <v>init/env_grid_CLUSTER07_REPL3.asc</v>
      </c>
      <c r="X83" s="16" t="str">
        <f t="shared" si="26"/>
        <v>init/env_grid_CLUSTER07_REPL3.asc</v>
      </c>
      <c r="Y83" s="16" t="str">
        <f t="shared" si="27"/>
        <v>trees_CLUSTER07.csv</v>
      </c>
      <c r="Z83" s="16" t="str">
        <f t="shared" si="28"/>
        <v>saplings_CLUSTER07.csv</v>
      </c>
      <c r="AA83" s="16">
        <f t="shared" si="29"/>
        <v>350</v>
      </c>
      <c r="AB83" s="16" t="str">
        <f t="shared" si="30"/>
        <v>abe/no_mgmt.csv</v>
      </c>
      <c r="AC83" s="16" t="str">
        <f t="shared" si="31"/>
        <v>gis/WindModifier_cl7.asc</v>
      </c>
      <c r="AD83" s="16">
        <f t="shared" si="32"/>
        <v>4.0655289878109199E-7</v>
      </c>
      <c r="AE83" s="16" t="str">
        <f t="shared" si="35"/>
        <v>ICHEC-EC-EARTH_historical_point26530</v>
      </c>
      <c r="AF83" s="16" t="str">
        <f t="shared" si="33"/>
        <v>wind_Events/Scaled_cl7_repl3.txt</v>
      </c>
      <c r="AG83" s="16" t="str">
        <f t="shared" si="34"/>
        <v>ICHEC-EC-EARTH_Scaled_Cluster7_repl3</v>
      </c>
      <c r="AH83" s="16" t="s">
        <v>274</v>
      </c>
      <c r="AI83" s="16" t="s">
        <v>275</v>
      </c>
    </row>
    <row r="84" spans="1:35" ht="13.8">
      <c r="A84" s="7" t="str">
        <f t="shared" si="18"/>
        <v>MPI-M-MPI-ESM-LR_Scaled_Cluster7_repl3</v>
      </c>
      <c r="B84" s="8" t="s">
        <v>16</v>
      </c>
      <c r="C84" s="8" t="s">
        <v>54</v>
      </c>
      <c r="D84" s="9" t="s">
        <v>17</v>
      </c>
      <c r="E84" s="9" t="str">
        <f t="shared" si="19"/>
        <v>historical</v>
      </c>
      <c r="F84" s="8">
        <v>350</v>
      </c>
      <c r="G84" s="8" t="s">
        <v>63</v>
      </c>
      <c r="H84" s="8">
        <v>2</v>
      </c>
      <c r="I84" s="8">
        <v>4.0645289878109198E-7</v>
      </c>
      <c r="J84" s="8">
        <v>7</v>
      </c>
      <c r="K84" s="8" t="s">
        <v>162</v>
      </c>
      <c r="L84" s="8">
        <v>3</v>
      </c>
      <c r="M84" s="8"/>
      <c r="N84" s="8">
        <v>1</v>
      </c>
      <c r="O84" s="10" t="s">
        <v>21</v>
      </c>
      <c r="P84" s="17" t="s">
        <v>59</v>
      </c>
      <c r="Q84" s="10" t="str">
        <f t="shared" si="20"/>
        <v>MPI-M-MPI-ESM-LR_Scaled_Cluster7_repl3.sqlite</v>
      </c>
      <c r="R84" s="11">
        <f t="shared" si="21"/>
        <v>8</v>
      </c>
      <c r="S84" s="11">
        <v>0</v>
      </c>
      <c r="T84" s="16" t="str">
        <f t="shared" si="22"/>
        <v>climate_db_MPI-M-MPI-ESM-LR_historical_v4.sqlite</v>
      </c>
      <c r="U84" s="16" t="str">
        <f t="shared" si="23"/>
        <v>log/MPI-M-MPI-ESM-LR_Scaled_Cluster7_repl3.txt</v>
      </c>
      <c r="V84" s="16" t="str">
        <f t="shared" si="24"/>
        <v>init/env_file_CLUSTER07_REPL3_MPI-M-MPI-ESM-LR_historical.csv</v>
      </c>
      <c r="W84" s="16" t="str">
        <f t="shared" si="25"/>
        <v>init/env_grid_CLUSTER07_REPL3.asc</v>
      </c>
      <c r="X84" s="16" t="str">
        <f t="shared" si="26"/>
        <v>init/env_grid_CLUSTER07_REPL3.asc</v>
      </c>
      <c r="Y84" s="16" t="str">
        <f t="shared" si="27"/>
        <v>trees_CLUSTER07.csv</v>
      </c>
      <c r="Z84" s="16" t="str">
        <f t="shared" si="28"/>
        <v>saplings_CLUSTER07.csv</v>
      </c>
      <c r="AA84" s="16">
        <f t="shared" si="29"/>
        <v>350</v>
      </c>
      <c r="AB84" s="16" t="str">
        <f t="shared" si="30"/>
        <v>abe/no_mgmt.csv</v>
      </c>
      <c r="AC84" s="16" t="str">
        <f t="shared" si="31"/>
        <v>gis/WindModifier_cl7.asc</v>
      </c>
      <c r="AD84" s="16">
        <f t="shared" si="32"/>
        <v>4.0655289878109199E-7</v>
      </c>
      <c r="AE84" s="16" t="str">
        <f t="shared" si="35"/>
        <v>MPI-M-MPI-ESM-LR_historical_point26530</v>
      </c>
      <c r="AF84" s="16" t="str">
        <f t="shared" si="33"/>
        <v>wind_Events/Scaled_cl7_repl3.txt</v>
      </c>
      <c r="AG84" s="16" t="str">
        <f t="shared" si="34"/>
        <v>MPI-M-MPI-ESM-LR_Scaled_Cluster7_repl3</v>
      </c>
      <c r="AH84" s="16" t="s">
        <v>276</v>
      </c>
      <c r="AI84" s="16" t="s">
        <v>277</v>
      </c>
    </row>
    <row r="85" spans="1:35" ht="13.8">
      <c r="A85" s="7" t="str">
        <f t="shared" si="18"/>
        <v>NCC-NorESM1-M_Scaled_Cluster7_repl3</v>
      </c>
      <c r="B85" s="8" t="s">
        <v>16</v>
      </c>
      <c r="C85" s="8" t="s">
        <v>54</v>
      </c>
      <c r="D85" s="9" t="s">
        <v>17</v>
      </c>
      <c r="E85" s="9" t="str">
        <f t="shared" si="19"/>
        <v>historical</v>
      </c>
      <c r="F85" s="8">
        <v>350</v>
      </c>
      <c r="G85" s="8" t="s">
        <v>60</v>
      </c>
      <c r="H85" s="8">
        <v>3</v>
      </c>
      <c r="I85" s="8">
        <v>4.0645289878109198E-7</v>
      </c>
      <c r="J85" s="8">
        <v>7</v>
      </c>
      <c r="K85" s="8" t="s">
        <v>177</v>
      </c>
      <c r="L85" s="8">
        <v>3</v>
      </c>
      <c r="M85" s="8"/>
      <c r="N85" s="8">
        <v>1</v>
      </c>
      <c r="O85" s="10" t="s">
        <v>21</v>
      </c>
      <c r="P85" s="17" t="s">
        <v>59</v>
      </c>
      <c r="Q85" s="10" t="str">
        <f t="shared" si="20"/>
        <v>NCC-NorESM1-M_Scaled_Cluster7_repl3.sqlite</v>
      </c>
      <c r="R85" s="11">
        <f t="shared" si="21"/>
        <v>9</v>
      </c>
      <c r="S85" s="11">
        <v>0</v>
      </c>
      <c r="T85" s="16" t="str">
        <f t="shared" si="22"/>
        <v>climate_db_NCC-NorESM1-M_historical_v4.sqlite</v>
      </c>
      <c r="U85" s="16" t="str">
        <f t="shared" si="23"/>
        <v>log/NCC-NorESM1-M_Scaled_Cluster7_repl3.txt</v>
      </c>
      <c r="V85" s="16" t="str">
        <f t="shared" si="24"/>
        <v>init/env_file_CLUSTER07_REPL3_NCC-NorESM1-M_historical.csv</v>
      </c>
      <c r="W85" s="16" t="str">
        <f t="shared" si="25"/>
        <v>init/env_grid_CLUSTER07_REPL3.asc</v>
      </c>
      <c r="X85" s="16" t="str">
        <f t="shared" si="26"/>
        <v>init/env_grid_CLUSTER07_REPL3.asc</v>
      </c>
      <c r="Y85" s="16" t="str">
        <f t="shared" si="27"/>
        <v>trees_CLUSTER07.csv</v>
      </c>
      <c r="Z85" s="16" t="str">
        <f t="shared" si="28"/>
        <v>saplings_CLUSTER07.csv</v>
      </c>
      <c r="AA85" s="16">
        <f t="shared" si="29"/>
        <v>350</v>
      </c>
      <c r="AB85" s="16" t="str">
        <f t="shared" si="30"/>
        <v>abe/no_mgmt.csv</v>
      </c>
      <c r="AC85" s="16" t="str">
        <f t="shared" si="31"/>
        <v>gis/WindModifier_cl7.asc</v>
      </c>
      <c r="AD85" s="16">
        <f t="shared" si="32"/>
        <v>4.0655289878109199E-7</v>
      </c>
      <c r="AE85" s="16" t="str">
        <f t="shared" si="35"/>
        <v>NCC-NorESM1-M_historical_point26183</v>
      </c>
      <c r="AF85" s="16" t="str">
        <f t="shared" si="33"/>
        <v>wind_Events/Scaled_cl7_repl3.txt</v>
      </c>
      <c r="AG85" s="16" t="str">
        <f t="shared" si="34"/>
        <v>NCC-NorESM1-M_Scaled_Cluster7_repl3</v>
      </c>
      <c r="AH85" s="16" t="s">
        <v>278</v>
      </c>
      <c r="AI85" s="16" t="s">
        <v>279</v>
      </c>
    </row>
    <row r="86" spans="1:35" ht="13.8">
      <c r="A86" s="7" t="str">
        <f t="shared" si="18"/>
        <v>ICHEC-EC-EARTH_Scaled_Cluster7_repl4</v>
      </c>
      <c r="B86" s="8" t="s">
        <v>16</v>
      </c>
      <c r="C86" s="8" t="s">
        <v>54</v>
      </c>
      <c r="D86" s="9" t="s">
        <v>17</v>
      </c>
      <c r="E86" s="9" t="str">
        <f t="shared" si="19"/>
        <v>historical</v>
      </c>
      <c r="F86" s="8">
        <v>350</v>
      </c>
      <c r="G86" s="8" t="s">
        <v>18</v>
      </c>
      <c r="H86" s="8">
        <v>1</v>
      </c>
      <c r="I86" s="8">
        <v>4.0645289878109198E-7</v>
      </c>
      <c r="J86" s="8">
        <v>7</v>
      </c>
      <c r="K86" s="8" t="s">
        <v>162</v>
      </c>
      <c r="L86" s="8">
        <v>4</v>
      </c>
      <c r="M86" s="8"/>
      <c r="N86" s="8">
        <v>1</v>
      </c>
      <c r="O86" s="10" t="s">
        <v>21</v>
      </c>
      <c r="P86" s="17" t="s">
        <v>59</v>
      </c>
      <c r="Q86" s="10" t="str">
        <f t="shared" si="20"/>
        <v>ICHEC-EC-EARTH_Scaled_Cluster7_repl4.sqlite</v>
      </c>
      <c r="R86" s="11">
        <f t="shared" si="21"/>
        <v>10</v>
      </c>
      <c r="S86" s="11">
        <v>0</v>
      </c>
      <c r="T86" s="16" t="str">
        <f t="shared" si="22"/>
        <v>climate_db_ICHEC-EC-EARTH_historical_v4.sqlite</v>
      </c>
      <c r="U86" s="16" t="str">
        <f t="shared" si="23"/>
        <v>log/ICHEC-EC-EARTH_Scaled_Cluster7_repl4.txt</v>
      </c>
      <c r="V86" s="16" t="str">
        <f t="shared" si="24"/>
        <v>init/env_file_CLUSTER07_REPL4_ICHEC-EC-EARTH_historical.csv</v>
      </c>
      <c r="W86" s="16" t="str">
        <f t="shared" si="25"/>
        <v>init/env_grid_CLUSTER07_REPL4.asc</v>
      </c>
      <c r="X86" s="16" t="str">
        <f t="shared" si="26"/>
        <v>init/env_grid_CLUSTER07_REPL4.asc</v>
      </c>
      <c r="Y86" s="16" t="str">
        <f t="shared" si="27"/>
        <v>trees_CLUSTER07.csv</v>
      </c>
      <c r="Z86" s="16" t="str">
        <f t="shared" si="28"/>
        <v>saplings_CLUSTER07.csv</v>
      </c>
      <c r="AA86" s="16">
        <f t="shared" si="29"/>
        <v>350</v>
      </c>
      <c r="AB86" s="16" t="str">
        <f t="shared" si="30"/>
        <v>abe/no_mgmt.csv</v>
      </c>
      <c r="AC86" s="16" t="str">
        <f t="shared" si="31"/>
        <v>gis/WindModifier_cl7.asc</v>
      </c>
      <c r="AD86" s="16">
        <f t="shared" si="32"/>
        <v>4.0655289878109199E-7</v>
      </c>
      <c r="AE86" s="16" t="str">
        <f t="shared" si="35"/>
        <v>ICHEC-EC-EARTH_historical_point26530</v>
      </c>
      <c r="AF86" s="16" t="str">
        <f t="shared" si="33"/>
        <v>wind_Events/Scaled_cl7_repl4.txt</v>
      </c>
      <c r="AG86" s="16" t="str">
        <f t="shared" si="34"/>
        <v>ICHEC-EC-EARTH_Scaled_Cluster7_repl4</v>
      </c>
      <c r="AH86" s="16" t="s">
        <v>280</v>
      </c>
      <c r="AI86" s="16" t="s">
        <v>281</v>
      </c>
    </row>
    <row r="87" spans="1:35" ht="13.8">
      <c r="A87" s="7" t="str">
        <f t="shared" si="18"/>
        <v>MPI-M-MPI-ESM-LR_Scaled_Cluster7_repl4</v>
      </c>
      <c r="B87" s="8" t="s">
        <v>16</v>
      </c>
      <c r="C87" s="8" t="s">
        <v>54</v>
      </c>
      <c r="D87" s="9" t="s">
        <v>17</v>
      </c>
      <c r="E87" s="9" t="str">
        <f t="shared" si="19"/>
        <v>historical</v>
      </c>
      <c r="F87" s="8">
        <v>350</v>
      </c>
      <c r="G87" s="8" t="s">
        <v>63</v>
      </c>
      <c r="H87" s="8">
        <v>2</v>
      </c>
      <c r="I87" s="8">
        <v>4.0645289878109198E-7</v>
      </c>
      <c r="J87" s="8">
        <v>7</v>
      </c>
      <c r="K87" s="8" t="s">
        <v>162</v>
      </c>
      <c r="L87" s="8">
        <v>4</v>
      </c>
      <c r="M87" s="8"/>
      <c r="N87" s="8">
        <v>1</v>
      </c>
      <c r="O87" s="10" t="s">
        <v>21</v>
      </c>
      <c r="P87" s="17" t="s">
        <v>59</v>
      </c>
      <c r="Q87" s="10" t="str">
        <f t="shared" si="20"/>
        <v>MPI-M-MPI-ESM-LR_Scaled_Cluster7_repl4.sqlite</v>
      </c>
      <c r="R87" s="11">
        <f t="shared" si="21"/>
        <v>11</v>
      </c>
      <c r="S87" s="11">
        <v>0</v>
      </c>
      <c r="T87" s="16" t="str">
        <f t="shared" si="22"/>
        <v>climate_db_MPI-M-MPI-ESM-LR_historical_v4.sqlite</v>
      </c>
      <c r="U87" s="16" t="str">
        <f t="shared" si="23"/>
        <v>log/MPI-M-MPI-ESM-LR_Scaled_Cluster7_repl4.txt</v>
      </c>
      <c r="V87" s="16" t="str">
        <f t="shared" si="24"/>
        <v>init/env_file_CLUSTER07_REPL4_MPI-M-MPI-ESM-LR_historical.csv</v>
      </c>
      <c r="W87" s="16" t="str">
        <f t="shared" si="25"/>
        <v>init/env_grid_CLUSTER07_REPL4.asc</v>
      </c>
      <c r="X87" s="16" t="str">
        <f t="shared" si="26"/>
        <v>init/env_grid_CLUSTER07_REPL4.asc</v>
      </c>
      <c r="Y87" s="16" t="str">
        <f t="shared" si="27"/>
        <v>trees_CLUSTER07.csv</v>
      </c>
      <c r="Z87" s="16" t="str">
        <f t="shared" si="28"/>
        <v>saplings_CLUSTER07.csv</v>
      </c>
      <c r="AA87" s="16">
        <f t="shared" si="29"/>
        <v>350</v>
      </c>
      <c r="AB87" s="16" t="str">
        <f t="shared" si="30"/>
        <v>abe/no_mgmt.csv</v>
      </c>
      <c r="AC87" s="16" t="str">
        <f t="shared" si="31"/>
        <v>gis/WindModifier_cl7.asc</v>
      </c>
      <c r="AD87" s="16">
        <f t="shared" si="32"/>
        <v>4.0655289878109199E-7</v>
      </c>
      <c r="AE87" s="16" t="str">
        <f t="shared" si="35"/>
        <v>MPI-M-MPI-ESM-LR_historical_point26530</v>
      </c>
      <c r="AF87" s="16" t="str">
        <f t="shared" si="33"/>
        <v>wind_Events/Scaled_cl7_repl4.txt</v>
      </c>
      <c r="AG87" s="16" t="str">
        <f t="shared" si="34"/>
        <v>MPI-M-MPI-ESM-LR_Scaled_Cluster7_repl4</v>
      </c>
      <c r="AH87" s="16" t="s">
        <v>282</v>
      </c>
      <c r="AI87" s="16" t="s">
        <v>283</v>
      </c>
    </row>
    <row r="88" spans="1:35" ht="13.8">
      <c r="A88" s="7" t="str">
        <f t="shared" si="18"/>
        <v>NCC-NorESM1-M_Scaled_Cluster7_repl4</v>
      </c>
      <c r="B88" s="8" t="s">
        <v>16</v>
      </c>
      <c r="C88" s="8" t="s">
        <v>54</v>
      </c>
      <c r="D88" s="9" t="s">
        <v>17</v>
      </c>
      <c r="E88" s="9" t="str">
        <f t="shared" si="19"/>
        <v>historical</v>
      </c>
      <c r="F88" s="8">
        <v>350</v>
      </c>
      <c r="G88" s="8" t="s">
        <v>60</v>
      </c>
      <c r="H88" s="8">
        <v>3</v>
      </c>
      <c r="I88" s="8">
        <v>4.0645289878109198E-7</v>
      </c>
      <c r="J88" s="8">
        <v>7</v>
      </c>
      <c r="K88" s="8" t="s">
        <v>177</v>
      </c>
      <c r="L88" s="8">
        <v>4</v>
      </c>
      <c r="M88" s="8"/>
      <c r="N88" s="8">
        <v>1</v>
      </c>
      <c r="O88" s="10" t="s">
        <v>21</v>
      </c>
      <c r="P88" s="17" t="s">
        <v>59</v>
      </c>
      <c r="Q88" s="10" t="str">
        <f t="shared" si="20"/>
        <v>NCC-NorESM1-M_Scaled_Cluster7_repl4.sqlite</v>
      </c>
      <c r="R88" s="11">
        <f t="shared" si="21"/>
        <v>12</v>
      </c>
      <c r="S88" s="11">
        <v>0</v>
      </c>
      <c r="T88" s="16" t="str">
        <f t="shared" si="22"/>
        <v>climate_db_NCC-NorESM1-M_historical_v4.sqlite</v>
      </c>
      <c r="U88" s="16" t="str">
        <f t="shared" si="23"/>
        <v>log/NCC-NorESM1-M_Scaled_Cluster7_repl4.txt</v>
      </c>
      <c r="V88" s="16" t="str">
        <f t="shared" si="24"/>
        <v>init/env_file_CLUSTER07_REPL4_NCC-NorESM1-M_historical.csv</v>
      </c>
      <c r="W88" s="16" t="str">
        <f t="shared" si="25"/>
        <v>init/env_grid_CLUSTER07_REPL4.asc</v>
      </c>
      <c r="X88" s="16" t="str">
        <f t="shared" si="26"/>
        <v>init/env_grid_CLUSTER07_REPL4.asc</v>
      </c>
      <c r="Y88" s="16" t="str">
        <f t="shared" si="27"/>
        <v>trees_CLUSTER07.csv</v>
      </c>
      <c r="Z88" s="16" t="str">
        <f t="shared" si="28"/>
        <v>saplings_CLUSTER07.csv</v>
      </c>
      <c r="AA88" s="16">
        <f t="shared" si="29"/>
        <v>350</v>
      </c>
      <c r="AB88" s="16" t="str">
        <f t="shared" si="30"/>
        <v>abe/no_mgmt.csv</v>
      </c>
      <c r="AC88" s="16" t="str">
        <f t="shared" si="31"/>
        <v>gis/WindModifier_cl7.asc</v>
      </c>
      <c r="AD88" s="16">
        <f t="shared" si="32"/>
        <v>4.0655289878109199E-7</v>
      </c>
      <c r="AE88" s="16" t="str">
        <f t="shared" si="35"/>
        <v>NCC-NorESM1-M_historical_point26183</v>
      </c>
      <c r="AF88" s="16" t="str">
        <f t="shared" si="33"/>
        <v>wind_Events/Scaled_cl7_repl4.txt</v>
      </c>
      <c r="AG88" s="16" t="str">
        <f t="shared" si="34"/>
        <v>NCC-NorESM1-M_Scaled_Cluster7_repl4</v>
      </c>
      <c r="AH88" s="16" t="s">
        <v>284</v>
      </c>
      <c r="AI88" s="16" t="s">
        <v>285</v>
      </c>
    </row>
    <row r="89" spans="1:35" ht="13.8">
      <c r="A89" s="7" t="str">
        <f t="shared" si="18"/>
        <v>ICHEC-EC-EARTH_Scaled_Cluster7_repl5</v>
      </c>
      <c r="B89" s="8" t="s">
        <v>16</v>
      </c>
      <c r="C89" s="8" t="s">
        <v>54</v>
      </c>
      <c r="D89" s="9" t="s">
        <v>17</v>
      </c>
      <c r="E89" s="9" t="str">
        <f t="shared" si="19"/>
        <v>historical</v>
      </c>
      <c r="F89" s="8">
        <v>350</v>
      </c>
      <c r="G89" s="8" t="s">
        <v>18</v>
      </c>
      <c r="H89" s="8">
        <v>1</v>
      </c>
      <c r="I89" s="8">
        <v>4.0645289878109198E-7</v>
      </c>
      <c r="J89" s="8">
        <v>7</v>
      </c>
      <c r="K89" s="8" t="s">
        <v>162</v>
      </c>
      <c r="L89" s="8">
        <v>5</v>
      </c>
      <c r="M89" s="8"/>
      <c r="N89" s="8">
        <v>1</v>
      </c>
      <c r="O89" s="10" t="s">
        <v>21</v>
      </c>
      <c r="P89" s="17" t="s">
        <v>59</v>
      </c>
      <c r="Q89" s="10" t="str">
        <f t="shared" si="20"/>
        <v>ICHEC-EC-EARTH_Scaled_Cluster7_repl5.sqlite</v>
      </c>
      <c r="R89" s="11">
        <f t="shared" si="21"/>
        <v>13</v>
      </c>
      <c r="S89" s="11">
        <v>0</v>
      </c>
      <c r="T89" s="16" t="str">
        <f t="shared" si="22"/>
        <v>climate_db_ICHEC-EC-EARTH_historical_v4.sqlite</v>
      </c>
      <c r="U89" s="16" t="str">
        <f t="shared" si="23"/>
        <v>log/ICHEC-EC-EARTH_Scaled_Cluster7_repl5.txt</v>
      </c>
      <c r="V89" s="16" t="str">
        <f t="shared" si="24"/>
        <v>init/env_file_CLUSTER07_REPL5_ICHEC-EC-EARTH_historical.csv</v>
      </c>
      <c r="W89" s="16" t="str">
        <f t="shared" si="25"/>
        <v>init/env_grid_CLUSTER07_REPL5.asc</v>
      </c>
      <c r="X89" s="16" t="str">
        <f t="shared" si="26"/>
        <v>init/env_grid_CLUSTER07_REPL5.asc</v>
      </c>
      <c r="Y89" s="16" t="str">
        <f t="shared" si="27"/>
        <v>trees_CLUSTER07.csv</v>
      </c>
      <c r="Z89" s="16" t="str">
        <f t="shared" si="28"/>
        <v>saplings_CLUSTER07.csv</v>
      </c>
      <c r="AA89" s="16">
        <f t="shared" si="29"/>
        <v>350</v>
      </c>
      <c r="AB89" s="16" t="str">
        <f t="shared" si="30"/>
        <v>abe/no_mgmt.csv</v>
      </c>
      <c r="AC89" s="16" t="str">
        <f t="shared" si="31"/>
        <v>gis/WindModifier_cl7.asc</v>
      </c>
      <c r="AD89" s="16">
        <f t="shared" si="32"/>
        <v>4.0655289878109199E-7</v>
      </c>
      <c r="AE89" s="16" t="str">
        <f t="shared" si="35"/>
        <v>ICHEC-EC-EARTH_historical_point26530</v>
      </c>
      <c r="AF89" s="16" t="str">
        <f t="shared" si="33"/>
        <v>wind_Events/Scaled_cl7_repl5.txt</v>
      </c>
      <c r="AG89" s="16" t="str">
        <f t="shared" si="34"/>
        <v>ICHEC-EC-EARTH_Scaled_Cluster7_repl5</v>
      </c>
      <c r="AH89" s="16" t="s">
        <v>286</v>
      </c>
      <c r="AI89" s="16" t="s">
        <v>287</v>
      </c>
    </row>
    <row r="90" spans="1:35" ht="13.8">
      <c r="A90" s="7" t="str">
        <f t="shared" si="18"/>
        <v>MPI-M-MPI-ESM-LR_Scaled_Cluster7_repl5</v>
      </c>
      <c r="B90" s="8" t="s">
        <v>16</v>
      </c>
      <c r="C90" s="8" t="s">
        <v>54</v>
      </c>
      <c r="D90" s="9" t="s">
        <v>17</v>
      </c>
      <c r="E90" s="9" t="str">
        <f t="shared" si="19"/>
        <v>historical</v>
      </c>
      <c r="F90" s="8">
        <v>350</v>
      </c>
      <c r="G90" s="8" t="s">
        <v>63</v>
      </c>
      <c r="H90" s="8">
        <v>2</v>
      </c>
      <c r="I90" s="8">
        <v>4.0645289878109198E-7</v>
      </c>
      <c r="J90" s="8">
        <v>7</v>
      </c>
      <c r="K90" s="8" t="s">
        <v>162</v>
      </c>
      <c r="L90" s="8">
        <v>5</v>
      </c>
      <c r="M90" s="8"/>
      <c r="N90" s="8">
        <v>1</v>
      </c>
      <c r="O90" s="10" t="s">
        <v>21</v>
      </c>
      <c r="P90" s="17" t="s">
        <v>59</v>
      </c>
      <c r="Q90" s="10" t="str">
        <f t="shared" si="20"/>
        <v>MPI-M-MPI-ESM-LR_Scaled_Cluster7_repl5.sqlite</v>
      </c>
      <c r="R90" s="11">
        <f t="shared" si="21"/>
        <v>14</v>
      </c>
      <c r="S90" s="11">
        <v>0</v>
      </c>
      <c r="T90" s="16" t="str">
        <f t="shared" si="22"/>
        <v>climate_db_MPI-M-MPI-ESM-LR_historical_v4.sqlite</v>
      </c>
      <c r="U90" s="16" t="str">
        <f t="shared" si="23"/>
        <v>log/MPI-M-MPI-ESM-LR_Scaled_Cluster7_repl5.txt</v>
      </c>
      <c r="V90" s="16" t="str">
        <f t="shared" si="24"/>
        <v>init/env_file_CLUSTER07_REPL5_MPI-M-MPI-ESM-LR_historical.csv</v>
      </c>
      <c r="W90" s="16" t="str">
        <f t="shared" si="25"/>
        <v>init/env_grid_CLUSTER07_REPL5.asc</v>
      </c>
      <c r="X90" s="16" t="str">
        <f t="shared" si="26"/>
        <v>init/env_grid_CLUSTER07_REPL5.asc</v>
      </c>
      <c r="Y90" s="16" t="str">
        <f t="shared" si="27"/>
        <v>trees_CLUSTER07.csv</v>
      </c>
      <c r="Z90" s="16" t="str">
        <f t="shared" si="28"/>
        <v>saplings_CLUSTER07.csv</v>
      </c>
      <c r="AA90" s="16">
        <f t="shared" si="29"/>
        <v>350</v>
      </c>
      <c r="AB90" s="16" t="str">
        <f t="shared" si="30"/>
        <v>abe/no_mgmt.csv</v>
      </c>
      <c r="AC90" s="16" t="str">
        <f t="shared" si="31"/>
        <v>gis/WindModifier_cl7.asc</v>
      </c>
      <c r="AD90" s="16">
        <f t="shared" si="32"/>
        <v>4.0655289878109199E-7</v>
      </c>
      <c r="AE90" s="16" t="str">
        <f t="shared" si="35"/>
        <v>MPI-M-MPI-ESM-LR_historical_point26530</v>
      </c>
      <c r="AF90" s="16" t="str">
        <f t="shared" si="33"/>
        <v>wind_Events/Scaled_cl7_repl5.txt</v>
      </c>
      <c r="AG90" s="16" t="str">
        <f t="shared" si="34"/>
        <v>MPI-M-MPI-ESM-LR_Scaled_Cluster7_repl5</v>
      </c>
      <c r="AH90" s="16" t="s">
        <v>288</v>
      </c>
      <c r="AI90" s="16" t="s">
        <v>289</v>
      </c>
    </row>
    <row r="91" spans="1:35" ht="13.8">
      <c r="A91" s="7" t="str">
        <f t="shared" si="18"/>
        <v>NCC-NorESM1-M_Scaled_Cluster7_repl5</v>
      </c>
      <c r="B91" s="8" t="s">
        <v>16</v>
      </c>
      <c r="C91" s="8" t="s">
        <v>54</v>
      </c>
      <c r="D91" s="9" t="s">
        <v>17</v>
      </c>
      <c r="E91" s="9" t="str">
        <f t="shared" si="19"/>
        <v>historical</v>
      </c>
      <c r="F91" s="8">
        <v>350</v>
      </c>
      <c r="G91" s="8" t="s">
        <v>60</v>
      </c>
      <c r="H91" s="8">
        <v>3</v>
      </c>
      <c r="I91" s="8">
        <v>4.0645289878109198E-7</v>
      </c>
      <c r="J91" s="8">
        <v>7</v>
      </c>
      <c r="K91" s="8" t="s">
        <v>177</v>
      </c>
      <c r="L91" s="8">
        <v>5</v>
      </c>
      <c r="M91" s="8"/>
      <c r="N91" s="8">
        <v>1</v>
      </c>
      <c r="O91" s="10" t="s">
        <v>21</v>
      </c>
      <c r="P91" s="17" t="s">
        <v>59</v>
      </c>
      <c r="Q91" s="10" t="str">
        <f t="shared" si="20"/>
        <v>NCC-NorESM1-M_Scaled_Cluster7_repl5.sqlite</v>
      </c>
      <c r="R91" s="11">
        <f t="shared" si="21"/>
        <v>15</v>
      </c>
      <c r="S91" s="11">
        <v>0</v>
      </c>
      <c r="T91" s="16" t="str">
        <f t="shared" si="22"/>
        <v>climate_db_NCC-NorESM1-M_historical_v4.sqlite</v>
      </c>
      <c r="U91" s="16" t="str">
        <f t="shared" si="23"/>
        <v>log/NCC-NorESM1-M_Scaled_Cluster7_repl5.txt</v>
      </c>
      <c r="V91" s="16" t="str">
        <f t="shared" si="24"/>
        <v>init/env_file_CLUSTER07_REPL5_NCC-NorESM1-M_historical.csv</v>
      </c>
      <c r="W91" s="16" t="str">
        <f t="shared" si="25"/>
        <v>init/env_grid_CLUSTER07_REPL5.asc</v>
      </c>
      <c r="X91" s="16" t="str">
        <f t="shared" si="26"/>
        <v>init/env_grid_CLUSTER07_REPL5.asc</v>
      </c>
      <c r="Y91" s="16" t="str">
        <f t="shared" si="27"/>
        <v>trees_CLUSTER07.csv</v>
      </c>
      <c r="Z91" s="16" t="str">
        <f t="shared" si="28"/>
        <v>saplings_CLUSTER07.csv</v>
      </c>
      <c r="AA91" s="16">
        <f t="shared" si="29"/>
        <v>350</v>
      </c>
      <c r="AB91" s="16" t="str">
        <f t="shared" si="30"/>
        <v>abe/no_mgmt.csv</v>
      </c>
      <c r="AC91" s="16" t="str">
        <f t="shared" si="31"/>
        <v>gis/WindModifier_cl7.asc</v>
      </c>
      <c r="AD91" s="16">
        <f t="shared" si="32"/>
        <v>4.0655289878109199E-7</v>
      </c>
      <c r="AE91" s="16" t="str">
        <f t="shared" si="35"/>
        <v>NCC-NorESM1-M_historical_point26183</v>
      </c>
      <c r="AF91" s="16" t="str">
        <f t="shared" si="33"/>
        <v>wind_Events/Scaled_cl7_repl5.txt</v>
      </c>
      <c r="AG91" s="16" t="str">
        <f t="shared" si="34"/>
        <v>NCC-NorESM1-M_Scaled_Cluster7_repl5</v>
      </c>
      <c r="AH91" s="16" t="s">
        <v>290</v>
      </c>
      <c r="AI91" s="16" t="s">
        <v>291</v>
      </c>
    </row>
    <row r="92" spans="1:35" ht="13.8">
      <c r="A92" s="7" t="str">
        <f t="shared" si="18"/>
        <v>ICHEC-EC-EARTH_Scaled_Cluster8_repl1</v>
      </c>
      <c r="B92" s="8" t="s">
        <v>16</v>
      </c>
      <c r="C92" s="8" t="s">
        <v>54</v>
      </c>
      <c r="D92" s="9" t="s">
        <v>17</v>
      </c>
      <c r="E92" s="9" t="str">
        <f t="shared" si="19"/>
        <v>historical</v>
      </c>
      <c r="F92" s="8">
        <v>350</v>
      </c>
      <c r="G92" s="8" t="s">
        <v>18</v>
      </c>
      <c r="H92" s="8">
        <v>1</v>
      </c>
      <c r="I92" s="8">
        <v>4.8133740840721197E-6</v>
      </c>
      <c r="J92" s="8">
        <v>8</v>
      </c>
      <c r="K92" s="8" t="s">
        <v>163</v>
      </c>
      <c r="L92" s="8">
        <v>1</v>
      </c>
      <c r="M92" s="8"/>
      <c r="N92" s="8">
        <v>1</v>
      </c>
      <c r="O92" s="10" t="s">
        <v>21</v>
      </c>
      <c r="P92" s="17" t="s">
        <v>59</v>
      </c>
      <c r="Q92" s="10" t="str">
        <f t="shared" si="20"/>
        <v>ICHEC-EC-EARTH_Scaled_Cluster8_repl1.sqlite</v>
      </c>
      <c r="R92" s="11">
        <f t="shared" si="21"/>
        <v>1</v>
      </c>
      <c r="S92" s="11">
        <v>0</v>
      </c>
      <c r="T92" s="16" t="str">
        <f t="shared" si="22"/>
        <v>climate_db_ICHEC-EC-EARTH_historical_v4.sqlite</v>
      </c>
      <c r="U92" s="16" t="str">
        <f t="shared" si="23"/>
        <v>log/ICHEC-EC-EARTH_Scaled_Cluster8_repl1.txt</v>
      </c>
      <c r="V92" s="16" t="str">
        <f t="shared" si="24"/>
        <v>init/env_file_CLUSTER08_REPL1_ICHEC-EC-EARTH_historical.csv</v>
      </c>
      <c r="W92" s="16" t="str">
        <f t="shared" si="25"/>
        <v>init/env_grid_CLUSTER08_REPL1.asc</v>
      </c>
      <c r="X92" s="16" t="str">
        <f t="shared" si="26"/>
        <v>init/env_grid_CLUSTER08_REPL1.asc</v>
      </c>
      <c r="Y92" s="16" t="str">
        <f t="shared" si="27"/>
        <v>trees_CLUSTER08.csv</v>
      </c>
      <c r="Z92" s="16" t="str">
        <f t="shared" si="28"/>
        <v>saplings_CLUSTER08.csv</v>
      </c>
      <c r="AA92" s="16">
        <f t="shared" si="29"/>
        <v>350</v>
      </c>
      <c r="AB92" s="16" t="str">
        <f t="shared" si="30"/>
        <v>abe/no_mgmt.csv</v>
      </c>
      <c r="AC92" s="16" t="str">
        <f t="shared" si="31"/>
        <v>gis/WindModifier_cl8.asc</v>
      </c>
      <c r="AD92" s="16">
        <f t="shared" si="32"/>
        <v>4.8134740840721199E-6</v>
      </c>
      <c r="AE92" s="16" t="str">
        <f t="shared" si="35"/>
        <v>ICHEC-EC-EARTH_historical_point34569</v>
      </c>
      <c r="AF92" s="16" t="str">
        <f t="shared" si="33"/>
        <v>wind_Events/Scaled_cl8_repl1.txt</v>
      </c>
      <c r="AG92" s="16" t="str">
        <f t="shared" si="34"/>
        <v>ICHEC-EC-EARTH_Scaled_Cluster8_repl1</v>
      </c>
      <c r="AH92" s="16" t="s">
        <v>292</v>
      </c>
      <c r="AI92" s="16" t="s">
        <v>293</v>
      </c>
    </row>
    <row r="93" spans="1:35" ht="13.8">
      <c r="A93" s="7" t="str">
        <f t="shared" si="18"/>
        <v>MPI-M-MPI-ESM-LR_Scaled_Cluster8_repl1</v>
      </c>
      <c r="B93" s="8" t="s">
        <v>16</v>
      </c>
      <c r="C93" s="8" t="s">
        <v>54</v>
      </c>
      <c r="D93" s="9" t="s">
        <v>17</v>
      </c>
      <c r="E93" s="9" t="str">
        <f t="shared" si="19"/>
        <v>historical</v>
      </c>
      <c r="F93" s="8">
        <v>350</v>
      </c>
      <c r="G93" s="8" t="s">
        <v>63</v>
      </c>
      <c r="H93" s="8">
        <v>2</v>
      </c>
      <c r="I93" s="8">
        <v>4.8133740840721197E-6</v>
      </c>
      <c r="J93" s="8">
        <v>8</v>
      </c>
      <c r="K93" s="8" t="s">
        <v>171</v>
      </c>
      <c r="L93" s="8">
        <v>1</v>
      </c>
      <c r="M93" s="8"/>
      <c r="N93" s="8">
        <v>1</v>
      </c>
      <c r="O93" s="10" t="s">
        <v>21</v>
      </c>
      <c r="P93" s="17" t="s">
        <v>59</v>
      </c>
      <c r="Q93" s="10" t="str">
        <f t="shared" si="20"/>
        <v>MPI-M-MPI-ESM-LR_Scaled_Cluster8_repl1.sqlite</v>
      </c>
      <c r="R93" s="11">
        <f t="shared" si="21"/>
        <v>2</v>
      </c>
      <c r="S93" s="11">
        <v>0</v>
      </c>
      <c r="T93" s="16" t="str">
        <f t="shared" si="22"/>
        <v>climate_db_MPI-M-MPI-ESM-LR_historical_v4.sqlite</v>
      </c>
      <c r="U93" s="16" t="str">
        <f t="shared" si="23"/>
        <v>log/MPI-M-MPI-ESM-LR_Scaled_Cluster8_repl1.txt</v>
      </c>
      <c r="V93" s="16" t="str">
        <f t="shared" si="24"/>
        <v>init/env_file_CLUSTER08_REPL1_MPI-M-MPI-ESM-LR_historical.csv</v>
      </c>
      <c r="W93" s="16" t="str">
        <f t="shared" si="25"/>
        <v>init/env_grid_CLUSTER08_REPL1.asc</v>
      </c>
      <c r="X93" s="16" t="str">
        <f t="shared" si="26"/>
        <v>init/env_grid_CLUSTER08_REPL1.asc</v>
      </c>
      <c r="Y93" s="16" t="str">
        <f t="shared" si="27"/>
        <v>trees_CLUSTER08.csv</v>
      </c>
      <c r="Z93" s="16" t="str">
        <f t="shared" si="28"/>
        <v>saplings_CLUSTER08.csv</v>
      </c>
      <c r="AA93" s="16">
        <f t="shared" si="29"/>
        <v>350</v>
      </c>
      <c r="AB93" s="16" t="str">
        <f t="shared" si="30"/>
        <v>abe/no_mgmt.csv</v>
      </c>
      <c r="AC93" s="16" t="str">
        <f t="shared" si="31"/>
        <v>gis/WindModifier_cl8.asc</v>
      </c>
      <c r="AD93" s="16">
        <f t="shared" si="32"/>
        <v>4.8134740840721199E-6</v>
      </c>
      <c r="AE93" s="16" t="str">
        <f t="shared" si="35"/>
        <v>MPI-M-MPI-ESM-LR_historical_point34253</v>
      </c>
      <c r="AF93" s="16" t="str">
        <f t="shared" si="33"/>
        <v>wind_Events/Scaled_cl8_repl1.txt</v>
      </c>
      <c r="AG93" s="16" t="str">
        <f t="shared" si="34"/>
        <v>MPI-M-MPI-ESM-LR_Scaled_Cluster8_repl1</v>
      </c>
      <c r="AH93" s="16" t="s">
        <v>294</v>
      </c>
      <c r="AI93" s="16" t="s">
        <v>295</v>
      </c>
    </row>
    <row r="94" spans="1:35" ht="13.8">
      <c r="A94" s="7" t="str">
        <f t="shared" si="18"/>
        <v>NCC-NorESM1-M_Scaled_Cluster8_repl1</v>
      </c>
      <c r="B94" s="8" t="s">
        <v>16</v>
      </c>
      <c r="C94" s="8" t="s">
        <v>54</v>
      </c>
      <c r="D94" s="9" t="s">
        <v>17</v>
      </c>
      <c r="E94" s="9" t="str">
        <f t="shared" si="19"/>
        <v>historical</v>
      </c>
      <c r="F94" s="8">
        <v>350</v>
      </c>
      <c r="G94" s="8" t="s">
        <v>60</v>
      </c>
      <c r="H94" s="8">
        <v>3</v>
      </c>
      <c r="I94" s="8">
        <v>4.8133740840721197E-6</v>
      </c>
      <c r="J94" s="8">
        <v>8</v>
      </c>
      <c r="K94" s="8" t="s">
        <v>178</v>
      </c>
      <c r="L94" s="8">
        <v>1</v>
      </c>
      <c r="M94" s="8"/>
      <c r="N94" s="8">
        <v>1</v>
      </c>
      <c r="O94" s="10" t="s">
        <v>21</v>
      </c>
      <c r="P94" s="17" t="s">
        <v>59</v>
      </c>
      <c r="Q94" s="10" t="str">
        <f t="shared" si="20"/>
        <v>NCC-NorESM1-M_Scaled_Cluster8_repl1.sqlite</v>
      </c>
      <c r="R94" s="11">
        <f t="shared" si="21"/>
        <v>3</v>
      </c>
      <c r="S94" s="11">
        <v>0</v>
      </c>
      <c r="T94" s="16" t="str">
        <f t="shared" si="22"/>
        <v>climate_db_NCC-NorESM1-M_historical_v4.sqlite</v>
      </c>
      <c r="U94" s="16" t="str">
        <f t="shared" si="23"/>
        <v>log/NCC-NorESM1-M_Scaled_Cluster8_repl1.txt</v>
      </c>
      <c r="V94" s="16" t="str">
        <f t="shared" si="24"/>
        <v>init/env_file_CLUSTER08_REPL1_NCC-NorESM1-M_historical.csv</v>
      </c>
      <c r="W94" s="16" t="str">
        <f t="shared" si="25"/>
        <v>init/env_grid_CLUSTER08_REPL1.asc</v>
      </c>
      <c r="X94" s="16" t="str">
        <f t="shared" si="26"/>
        <v>init/env_grid_CLUSTER08_REPL1.asc</v>
      </c>
      <c r="Y94" s="16" t="str">
        <f t="shared" si="27"/>
        <v>trees_CLUSTER08.csv</v>
      </c>
      <c r="Z94" s="16" t="str">
        <f t="shared" si="28"/>
        <v>saplings_CLUSTER08.csv</v>
      </c>
      <c r="AA94" s="16">
        <f t="shared" si="29"/>
        <v>350</v>
      </c>
      <c r="AB94" s="16" t="str">
        <f t="shared" si="30"/>
        <v>abe/no_mgmt.csv</v>
      </c>
      <c r="AC94" s="16" t="str">
        <f t="shared" si="31"/>
        <v>gis/WindModifier_cl8.asc</v>
      </c>
      <c r="AD94" s="16">
        <f t="shared" si="32"/>
        <v>4.8134740840721199E-6</v>
      </c>
      <c r="AE94" s="16" t="str">
        <f t="shared" si="35"/>
        <v>NCC-NorESM1-M_historical_point34891</v>
      </c>
      <c r="AF94" s="16" t="str">
        <f t="shared" si="33"/>
        <v>wind_Events/Scaled_cl8_repl1.txt</v>
      </c>
      <c r="AG94" s="16" t="str">
        <f t="shared" si="34"/>
        <v>NCC-NorESM1-M_Scaled_Cluster8_repl1</v>
      </c>
      <c r="AH94" s="16" t="s">
        <v>296</v>
      </c>
      <c r="AI94" s="16" t="s">
        <v>297</v>
      </c>
    </row>
    <row r="95" spans="1:35" ht="13.8">
      <c r="A95" s="7" t="str">
        <f t="shared" si="18"/>
        <v>ICHEC-EC-EARTH_Scaled_Cluster8_repl2</v>
      </c>
      <c r="B95" s="8" t="s">
        <v>16</v>
      </c>
      <c r="C95" s="8" t="s">
        <v>54</v>
      </c>
      <c r="D95" s="9" t="s">
        <v>17</v>
      </c>
      <c r="E95" s="9" t="str">
        <f t="shared" si="19"/>
        <v>historical</v>
      </c>
      <c r="F95" s="8">
        <v>350</v>
      </c>
      <c r="G95" s="8" t="s">
        <v>18</v>
      </c>
      <c r="H95" s="8">
        <v>1</v>
      </c>
      <c r="I95" s="8">
        <v>4.8133740840721197E-6</v>
      </c>
      <c r="J95" s="8">
        <v>8</v>
      </c>
      <c r="K95" s="8" t="s">
        <v>163</v>
      </c>
      <c r="L95" s="8">
        <v>2</v>
      </c>
      <c r="M95" s="8"/>
      <c r="N95" s="8">
        <v>1</v>
      </c>
      <c r="O95" s="10" t="s">
        <v>21</v>
      </c>
      <c r="P95" s="17" t="s">
        <v>59</v>
      </c>
      <c r="Q95" s="10" t="str">
        <f t="shared" si="20"/>
        <v>ICHEC-EC-EARTH_Scaled_Cluster8_repl2.sqlite</v>
      </c>
      <c r="R95" s="11">
        <f t="shared" si="21"/>
        <v>4</v>
      </c>
      <c r="S95" s="11">
        <v>0</v>
      </c>
      <c r="T95" s="16" t="str">
        <f t="shared" si="22"/>
        <v>climate_db_ICHEC-EC-EARTH_historical_v4.sqlite</v>
      </c>
      <c r="U95" s="16" t="str">
        <f t="shared" si="23"/>
        <v>log/ICHEC-EC-EARTH_Scaled_Cluster8_repl2.txt</v>
      </c>
      <c r="V95" s="16" t="str">
        <f t="shared" si="24"/>
        <v>init/env_file_CLUSTER08_REPL2_ICHEC-EC-EARTH_historical.csv</v>
      </c>
      <c r="W95" s="16" t="str">
        <f t="shared" si="25"/>
        <v>init/env_grid_CLUSTER08_REPL2.asc</v>
      </c>
      <c r="X95" s="16" t="str">
        <f t="shared" si="26"/>
        <v>init/env_grid_CLUSTER08_REPL2.asc</v>
      </c>
      <c r="Y95" s="16" t="str">
        <f t="shared" si="27"/>
        <v>trees_CLUSTER08.csv</v>
      </c>
      <c r="Z95" s="16" t="str">
        <f t="shared" si="28"/>
        <v>saplings_CLUSTER08.csv</v>
      </c>
      <c r="AA95" s="16">
        <f t="shared" si="29"/>
        <v>350</v>
      </c>
      <c r="AB95" s="16" t="str">
        <f t="shared" si="30"/>
        <v>abe/no_mgmt.csv</v>
      </c>
      <c r="AC95" s="16" t="str">
        <f t="shared" si="31"/>
        <v>gis/WindModifier_cl8.asc</v>
      </c>
      <c r="AD95" s="16">
        <f t="shared" si="32"/>
        <v>4.8134740840721199E-6</v>
      </c>
      <c r="AE95" s="16" t="str">
        <f t="shared" si="35"/>
        <v>ICHEC-EC-EARTH_historical_point34569</v>
      </c>
      <c r="AF95" s="16" t="str">
        <f t="shared" si="33"/>
        <v>wind_Events/Scaled_cl8_repl2.txt</v>
      </c>
      <c r="AG95" s="16" t="str">
        <f t="shared" si="34"/>
        <v>ICHEC-EC-EARTH_Scaled_Cluster8_repl2</v>
      </c>
      <c r="AH95" s="16" t="s">
        <v>298</v>
      </c>
      <c r="AI95" s="16" t="s">
        <v>299</v>
      </c>
    </row>
    <row r="96" spans="1:35" ht="13.8">
      <c r="A96" s="7" t="str">
        <f t="shared" si="18"/>
        <v>MPI-M-MPI-ESM-LR_Scaled_Cluster8_repl2</v>
      </c>
      <c r="B96" s="8" t="s">
        <v>16</v>
      </c>
      <c r="C96" s="8" t="s">
        <v>54</v>
      </c>
      <c r="D96" s="9" t="s">
        <v>17</v>
      </c>
      <c r="E96" s="9" t="str">
        <f t="shared" si="19"/>
        <v>historical</v>
      </c>
      <c r="F96" s="8">
        <v>350</v>
      </c>
      <c r="G96" s="8" t="s">
        <v>63</v>
      </c>
      <c r="H96" s="8">
        <v>2</v>
      </c>
      <c r="I96" s="8">
        <v>4.8133740840721197E-6</v>
      </c>
      <c r="J96" s="8">
        <v>8</v>
      </c>
      <c r="K96" s="8" t="s">
        <v>171</v>
      </c>
      <c r="L96" s="8">
        <v>2</v>
      </c>
      <c r="M96" s="8"/>
      <c r="N96" s="8">
        <v>1</v>
      </c>
      <c r="O96" s="10" t="s">
        <v>21</v>
      </c>
      <c r="P96" s="17" t="s">
        <v>59</v>
      </c>
      <c r="Q96" s="10" t="str">
        <f t="shared" si="20"/>
        <v>MPI-M-MPI-ESM-LR_Scaled_Cluster8_repl2.sqlite</v>
      </c>
      <c r="R96" s="11">
        <f t="shared" si="21"/>
        <v>5</v>
      </c>
      <c r="S96" s="11">
        <v>0</v>
      </c>
      <c r="T96" s="16" t="str">
        <f t="shared" si="22"/>
        <v>climate_db_MPI-M-MPI-ESM-LR_historical_v4.sqlite</v>
      </c>
      <c r="U96" s="16" t="str">
        <f t="shared" si="23"/>
        <v>log/MPI-M-MPI-ESM-LR_Scaled_Cluster8_repl2.txt</v>
      </c>
      <c r="V96" s="16" t="str">
        <f t="shared" si="24"/>
        <v>init/env_file_CLUSTER08_REPL2_MPI-M-MPI-ESM-LR_historical.csv</v>
      </c>
      <c r="W96" s="16" t="str">
        <f t="shared" si="25"/>
        <v>init/env_grid_CLUSTER08_REPL2.asc</v>
      </c>
      <c r="X96" s="16" t="str">
        <f t="shared" si="26"/>
        <v>init/env_grid_CLUSTER08_REPL2.asc</v>
      </c>
      <c r="Y96" s="16" t="str">
        <f t="shared" si="27"/>
        <v>trees_CLUSTER08.csv</v>
      </c>
      <c r="Z96" s="16" t="str">
        <f t="shared" si="28"/>
        <v>saplings_CLUSTER08.csv</v>
      </c>
      <c r="AA96" s="16">
        <f t="shared" si="29"/>
        <v>350</v>
      </c>
      <c r="AB96" s="16" t="str">
        <f t="shared" si="30"/>
        <v>abe/no_mgmt.csv</v>
      </c>
      <c r="AC96" s="16" t="str">
        <f t="shared" si="31"/>
        <v>gis/WindModifier_cl8.asc</v>
      </c>
      <c r="AD96" s="16">
        <f t="shared" si="32"/>
        <v>4.8134740840721199E-6</v>
      </c>
      <c r="AE96" s="16" t="str">
        <f t="shared" si="35"/>
        <v>MPI-M-MPI-ESM-LR_historical_point34253</v>
      </c>
      <c r="AF96" s="16" t="str">
        <f t="shared" si="33"/>
        <v>wind_Events/Scaled_cl8_repl2.txt</v>
      </c>
      <c r="AG96" s="16" t="str">
        <f t="shared" si="34"/>
        <v>MPI-M-MPI-ESM-LR_Scaled_Cluster8_repl2</v>
      </c>
      <c r="AH96" s="16" t="s">
        <v>300</v>
      </c>
      <c r="AI96" s="16" t="s">
        <v>301</v>
      </c>
    </row>
    <row r="97" spans="1:35" ht="13.8">
      <c r="A97" s="7" t="str">
        <f t="shared" si="18"/>
        <v>NCC-NorESM1-M_Scaled_Cluster8_repl2</v>
      </c>
      <c r="B97" s="8" t="s">
        <v>16</v>
      </c>
      <c r="C97" s="8" t="s">
        <v>54</v>
      </c>
      <c r="D97" s="9" t="s">
        <v>17</v>
      </c>
      <c r="E97" s="9" t="str">
        <f t="shared" si="19"/>
        <v>historical</v>
      </c>
      <c r="F97" s="8">
        <v>350</v>
      </c>
      <c r="G97" s="8" t="s">
        <v>60</v>
      </c>
      <c r="H97" s="8">
        <v>3</v>
      </c>
      <c r="I97" s="8">
        <v>4.8133740840721197E-6</v>
      </c>
      <c r="J97" s="8">
        <v>8</v>
      </c>
      <c r="K97" s="8" t="s">
        <v>178</v>
      </c>
      <c r="L97" s="8">
        <v>2</v>
      </c>
      <c r="M97" s="8"/>
      <c r="N97" s="8">
        <v>1</v>
      </c>
      <c r="O97" s="10" t="s">
        <v>21</v>
      </c>
      <c r="P97" s="17" t="s">
        <v>59</v>
      </c>
      <c r="Q97" s="10" t="str">
        <f t="shared" si="20"/>
        <v>NCC-NorESM1-M_Scaled_Cluster8_repl2.sqlite</v>
      </c>
      <c r="R97" s="11">
        <f t="shared" si="21"/>
        <v>6</v>
      </c>
      <c r="S97" s="11">
        <v>0</v>
      </c>
      <c r="T97" s="16" t="str">
        <f t="shared" si="22"/>
        <v>climate_db_NCC-NorESM1-M_historical_v4.sqlite</v>
      </c>
      <c r="U97" s="16" t="str">
        <f t="shared" si="23"/>
        <v>log/NCC-NorESM1-M_Scaled_Cluster8_repl2.txt</v>
      </c>
      <c r="V97" s="16" t="str">
        <f t="shared" si="24"/>
        <v>init/env_file_CLUSTER08_REPL2_NCC-NorESM1-M_historical.csv</v>
      </c>
      <c r="W97" s="16" t="str">
        <f t="shared" si="25"/>
        <v>init/env_grid_CLUSTER08_REPL2.asc</v>
      </c>
      <c r="X97" s="16" t="str">
        <f t="shared" si="26"/>
        <v>init/env_grid_CLUSTER08_REPL2.asc</v>
      </c>
      <c r="Y97" s="16" t="str">
        <f t="shared" si="27"/>
        <v>trees_CLUSTER08.csv</v>
      </c>
      <c r="Z97" s="16" t="str">
        <f t="shared" si="28"/>
        <v>saplings_CLUSTER08.csv</v>
      </c>
      <c r="AA97" s="16">
        <f t="shared" si="29"/>
        <v>350</v>
      </c>
      <c r="AB97" s="16" t="str">
        <f t="shared" si="30"/>
        <v>abe/no_mgmt.csv</v>
      </c>
      <c r="AC97" s="16" t="str">
        <f t="shared" si="31"/>
        <v>gis/WindModifier_cl8.asc</v>
      </c>
      <c r="AD97" s="16">
        <f t="shared" si="32"/>
        <v>4.8134740840721199E-6</v>
      </c>
      <c r="AE97" s="16" t="str">
        <f t="shared" si="35"/>
        <v>NCC-NorESM1-M_historical_point34891</v>
      </c>
      <c r="AF97" s="16" t="str">
        <f t="shared" si="33"/>
        <v>wind_Events/Scaled_cl8_repl2.txt</v>
      </c>
      <c r="AG97" s="16" t="str">
        <f t="shared" si="34"/>
        <v>NCC-NorESM1-M_Scaled_Cluster8_repl2</v>
      </c>
      <c r="AH97" s="16" t="s">
        <v>302</v>
      </c>
      <c r="AI97" s="16" t="s">
        <v>303</v>
      </c>
    </row>
    <row r="98" spans="1:35" ht="13.8">
      <c r="A98" s="7" t="str">
        <f t="shared" si="18"/>
        <v>ICHEC-EC-EARTH_Scaled_Cluster8_repl3</v>
      </c>
      <c r="B98" s="8" t="s">
        <v>16</v>
      </c>
      <c r="C98" s="8" t="s">
        <v>54</v>
      </c>
      <c r="D98" s="9" t="s">
        <v>17</v>
      </c>
      <c r="E98" s="9" t="str">
        <f t="shared" si="19"/>
        <v>historical</v>
      </c>
      <c r="F98" s="8">
        <v>350</v>
      </c>
      <c r="G98" s="8" t="s">
        <v>18</v>
      </c>
      <c r="H98" s="8">
        <v>1</v>
      </c>
      <c r="I98" s="8">
        <v>4.8133740840721197E-6</v>
      </c>
      <c r="J98" s="8">
        <v>8</v>
      </c>
      <c r="K98" s="8" t="s">
        <v>163</v>
      </c>
      <c r="L98" s="8">
        <v>3</v>
      </c>
      <c r="M98" s="8"/>
      <c r="N98" s="8">
        <v>1</v>
      </c>
      <c r="O98" s="10" t="s">
        <v>21</v>
      </c>
      <c r="P98" s="17" t="s">
        <v>59</v>
      </c>
      <c r="Q98" s="10" t="str">
        <f t="shared" si="20"/>
        <v>ICHEC-EC-EARTH_Scaled_Cluster8_repl3.sqlite</v>
      </c>
      <c r="R98" s="11">
        <f t="shared" si="21"/>
        <v>7</v>
      </c>
      <c r="S98" s="11">
        <v>0</v>
      </c>
      <c r="T98" s="16" t="str">
        <f t="shared" si="22"/>
        <v>climate_db_ICHEC-EC-EARTH_historical_v4.sqlite</v>
      </c>
      <c r="U98" s="16" t="str">
        <f t="shared" si="23"/>
        <v>log/ICHEC-EC-EARTH_Scaled_Cluster8_repl3.txt</v>
      </c>
      <c r="V98" s="16" t="str">
        <f t="shared" si="24"/>
        <v>init/env_file_CLUSTER08_REPL3_ICHEC-EC-EARTH_historical.csv</v>
      </c>
      <c r="W98" s="16" t="str">
        <f t="shared" si="25"/>
        <v>init/env_grid_CLUSTER08_REPL3.asc</v>
      </c>
      <c r="X98" s="16" t="str">
        <f t="shared" si="26"/>
        <v>init/env_grid_CLUSTER08_REPL3.asc</v>
      </c>
      <c r="Y98" s="16" t="str">
        <f t="shared" si="27"/>
        <v>trees_CLUSTER08.csv</v>
      </c>
      <c r="Z98" s="16" t="str">
        <f t="shared" si="28"/>
        <v>saplings_CLUSTER08.csv</v>
      </c>
      <c r="AA98" s="16">
        <f t="shared" si="29"/>
        <v>350</v>
      </c>
      <c r="AB98" s="16" t="str">
        <f t="shared" si="30"/>
        <v>abe/no_mgmt.csv</v>
      </c>
      <c r="AC98" s="16" t="str">
        <f t="shared" si="31"/>
        <v>gis/WindModifier_cl8.asc</v>
      </c>
      <c r="AD98" s="16">
        <f t="shared" si="32"/>
        <v>4.8134740840721199E-6</v>
      </c>
      <c r="AE98" s="16" t="str">
        <f t="shared" si="35"/>
        <v>ICHEC-EC-EARTH_historical_point34569</v>
      </c>
      <c r="AF98" s="16" t="str">
        <f t="shared" si="33"/>
        <v>wind_Events/Scaled_cl8_repl3.txt</v>
      </c>
      <c r="AG98" s="16" t="str">
        <f t="shared" si="34"/>
        <v>ICHEC-EC-EARTH_Scaled_Cluster8_repl3</v>
      </c>
      <c r="AH98" s="16" t="s">
        <v>304</v>
      </c>
      <c r="AI98" s="16" t="s">
        <v>305</v>
      </c>
    </row>
    <row r="99" spans="1:35" ht="13.8">
      <c r="A99" s="7" t="str">
        <f t="shared" si="18"/>
        <v>MPI-M-MPI-ESM-LR_Scaled_Cluster8_repl3</v>
      </c>
      <c r="B99" s="8" t="s">
        <v>16</v>
      </c>
      <c r="C99" s="8" t="s">
        <v>54</v>
      </c>
      <c r="D99" s="9" t="s">
        <v>17</v>
      </c>
      <c r="E99" s="9" t="str">
        <f t="shared" si="19"/>
        <v>historical</v>
      </c>
      <c r="F99" s="8">
        <v>350</v>
      </c>
      <c r="G99" s="8" t="s">
        <v>63</v>
      </c>
      <c r="H99" s="8">
        <v>2</v>
      </c>
      <c r="I99" s="8">
        <v>4.8133740840721197E-6</v>
      </c>
      <c r="J99" s="8">
        <v>8</v>
      </c>
      <c r="K99" s="8" t="s">
        <v>171</v>
      </c>
      <c r="L99" s="8">
        <v>3</v>
      </c>
      <c r="M99" s="8"/>
      <c r="N99" s="8">
        <v>1</v>
      </c>
      <c r="O99" s="10" t="s">
        <v>21</v>
      </c>
      <c r="P99" s="17" t="s">
        <v>59</v>
      </c>
      <c r="Q99" s="10" t="str">
        <f t="shared" si="20"/>
        <v>MPI-M-MPI-ESM-LR_Scaled_Cluster8_repl3.sqlite</v>
      </c>
      <c r="R99" s="11">
        <f t="shared" si="21"/>
        <v>8</v>
      </c>
      <c r="S99" s="11">
        <v>0</v>
      </c>
      <c r="T99" s="16" t="str">
        <f t="shared" si="22"/>
        <v>climate_db_MPI-M-MPI-ESM-LR_historical_v4.sqlite</v>
      </c>
      <c r="U99" s="16" t="str">
        <f t="shared" si="23"/>
        <v>log/MPI-M-MPI-ESM-LR_Scaled_Cluster8_repl3.txt</v>
      </c>
      <c r="V99" s="16" t="str">
        <f t="shared" si="24"/>
        <v>init/env_file_CLUSTER08_REPL3_MPI-M-MPI-ESM-LR_historical.csv</v>
      </c>
      <c r="W99" s="16" t="str">
        <f t="shared" si="25"/>
        <v>init/env_grid_CLUSTER08_REPL3.asc</v>
      </c>
      <c r="X99" s="16" t="str">
        <f t="shared" si="26"/>
        <v>init/env_grid_CLUSTER08_REPL3.asc</v>
      </c>
      <c r="Y99" s="16" t="str">
        <f t="shared" si="27"/>
        <v>trees_CLUSTER08.csv</v>
      </c>
      <c r="Z99" s="16" t="str">
        <f t="shared" si="28"/>
        <v>saplings_CLUSTER08.csv</v>
      </c>
      <c r="AA99" s="16">
        <f t="shared" si="29"/>
        <v>350</v>
      </c>
      <c r="AB99" s="16" t="str">
        <f t="shared" si="30"/>
        <v>abe/no_mgmt.csv</v>
      </c>
      <c r="AC99" s="16" t="str">
        <f t="shared" si="31"/>
        <v>gis/WindModifier_cl8.asc</v>
      </c>
      <c r="AD99" s="16">
        <f t="shared" si="32"/>
        <v>4.8134740840721199E-6</v>
      </c>
      <c r="AE99" s="16" t="str">
        <f t="shared" si="35"/>
        <v>MPI-M-MPI-ESM-LR_historical_point34253</v>
      </c>
      <c r="AF99" s="16" t="str">
        <f t="shared" si="33"/>
        <v>wind_Events/Scaled_cl8_repl3.txt</v>
      </c>
      <c r="AG99" s="16" t="str">
        <f t="shared" si="34"/>
        <v>MPI-M-MPI-ESM-LR_Scaled_Cluster8_repl3</v>
      </c>
      <c r="AH99" s="16" t="s">
        <v>306</v>
      </c>
      <c r="AI99" s="16" t="s">
        <v>307</v>
      </c>
    </row>
    <row r="100" spans="1:35" ht="13.8">
      <c r="A100" s="7" t="str">
        <f t="shared" si="18"/>
        <v>NCC-NorESM1-M_Scaled_Cluster8_repl3</v>
      </c>
      <c r="B100" s="8" t="s">
        <v>16</v>
      </c>
      <c r="C100" s="8" t="s">
        <v>54</v>
      </c>
      <c r="D100" s="9" t="s">
        <v>17</v>
      </c>
      <c r="E100" s="9" t="str">
        <f t="shared" si="19"/>
        <v>historical</v>
      </c>
      <c r="F100" s="8">
        <v>350</v>
      </c>
      <c r="G100" s="8" t="s">
        <v>60</v>
      </c>
      <c r="H100" s="8">
        <v>3</v>
      </c>
      <c r="I100" s="8">
        <v>4.8133740840721197E-6</v>
      </c>
      <c r="J100" s="8">
        <v>8</v>
      </c>
      <c r="K100" s="8" t="s">
        <v>178</v>
      </c>
      <c r="L100" s="8">
        <v>3</v>
      </c>
      <c r="M100" s="8"/>
      <c r="N100" s="8">
        <v>1</v>
      </c>
      <c r="O100" s="10" t="s">
        <v>21</v>
      </c>
      <c r="P100" s="17" t="s">
        <v>59</v>
      </c>
      <c r="Q100" s="10" t="str">
        <f t="shared" si="20"/>
        <v>NCC-NorESM1-M_Scaled_Cluster8_repl3.sqlite</v>
      </c>
      <c r="R100" s="11">
        <f t="shared" si="21"/>
        <v>9</v>
      </c>
      <c r="S100" s="11">
        <v>0</v>
      </c>
      <c r="T100" s="16" t="str">
        <f t="shared" si="22"/>
        <v>climate_db_NCC-NorESM1-M_historical_v4.sqlite</v>
      </c>
      <c r="U100" s="16" t="str">
        <f t="shared" si="23"/>
        <v>log/NCC-NorESM1-M_Scaled_Cluster8_repl3.txt</v>
      </c>
      <c r="V100" s="16" t="str">
        <f t="shared" si="24"/>
        <v>init/env_file_CLUSTER08_REPL3_NCC-NorESM1-M_historical.csv</v>
      </c>
      <c r="W100" s="16" t="str">
        <f t="shared" si="25"/>
        <v>init/env_grid_CLUSTER08_REPL3.asc</v>
      </c>
      <c r="X100" s="16" t="str">
        <f t="shared" si="26"/>
        <v>init/env_grid_CLUSTER08_REPL3.asc</v>
      </c>
      <c r="Y100" s="16" t="str">
        <f t="shared" si="27"/>
        <v>trees_CLUSTER08.csv</v>
      </c>
      <c r="Z100" s="16" t="str">
        <f t="shared" si="28"/>
        <v>saplings_CLUSTER08.csv</v>
      </c>
      <c r="AA100" s="16">
        <f t="shared" si="29"/>
        <v>350</v>
      </c>
      <c r="AB100" s="16" t="str">
        <f t="shared" si="30"/>
        <v>abe/no_mgmt.csv</v>
      </c>
      <c r="AC100" s="16" t="str">
        <f t="shared" si="31"/>
        <v>gis/WindModifier_cl8.asc</v>
      </c>
      <c r="AD100" s="16">
        <f t="shared" si="32"/>
        <v>4.8134740840721199E-6</v>
      </c>
      <c r="AE100" s="16" t="str">
        <f t="shared" si="35"/>
        <v>NCC-NorESM1-M_historical_point34891</v>
      </c>
      <c r="AF100" s="16" t="str">
        <f t="shared" si="33"/>
        <v>wind_Events/Scaled_cl8_repl3.txt</v>
      </c>
      <c r="AG100" s="16" t="str">
        <f t="shared" si="34"/>
        <v>NCC-NorESM1-M_Scaled_Cluster8_repl3</v>
      </c>
      <c r="AH100" s="16" t="s">
        <v>308</v>
      </c>
      <c r="AI100" s="16" t="s">
        <v>309</v>
      </c>
    </row>
    <row r="101" spans="1:35" ht="13.8">
      <c r="A101" s="7" t="str">
        <f t="shared" si="18"/>
        <v>ICHEC-EC-EARTH_Scaled_Cluster8_repl4</v>
      </c>
      <c r="B101" s="8" t="s">
        <v>16</v>
      </c>
      <c r="C101" s="8" t="s">
        <v>54</v>
      </c>
      <c r="D101" s="9" t="s">
        <v>17</v>
      </c>
      <c r="E101" s="9" t="str">
        <f t="shared" si="19"/>
        <v>historical</v>
      </c>
      <c r="F101" s="8">
        <v>350</v>
      </c>
      <c r="G101" s="8" t="s">
        <v>18</v>
      </c>
      <c r="H101" s="8">
        <v>1</v>
      </c>
      <c r="I101" s="8">
        <v>4.8133740840721197E-6</v>
      </c>
      <c r="J101" s="8">
        <v>8</v>
      </c>
      <c r="K101" s="8" t="s">
        <v>163</v>
      </c>
      <c r="L101" s="8">
        <v>4</v>
      </c>
      <c r="M101" s="8"/>
      <c r="N101" s="8">
        <v>1</v>
      </c>
      <c r="O101" s="10" t="s">
        <v>21</v>
      </c>
      <c r="P101" s="17" t="s">
        <v>59</v>
      </c>
      <c r="Q101" s="10" t="str">
        <f t="shared" si="20"/>
        <v>ICHEC-EC-EARTH_Scaled_Cluster8_repl4.sqlite</v>
      </c>
      <c r="R101" s="11">
        <f t="shared" si="21"/>
        <v>10</v>
      </c>
      <c r="S101" s="11">
        <v>0</v>
      </c>
      <c r="T101" s="16" t="str">
        <f t="shared" si="22"/>
        <v>climate_db_ICHEC-EC-EARTH_historical_v4.sqlite</v>
      </c>
      <c r="U101" s="16" t="str">
        <f t="shared" si="23"/>
        <v>log/ICHEC-EC-EARTH_Scaled_Cluster8_repl4.txt</v>
      </c>
      <c r="V101" s="16" t="str">
        <f t="shared" si="24"/>
        <v>init/env_file_CLUSTER08_REPL4_ICHEC-EC-EARTH_historical.csv</v>
      </c>
      <c r="W101" s="16" t="str">
        <f t="shared" si="25"/>
        <v>init/env_grid_CLUSTER08_REPL4.asc</v>
      </c>
      <c r="X101" s="16" t="str">
        <f t="shared" si="26"/>
        <v>init/env_grid_CLUSTER08_REPL4.asc</v>
      </c>
      <c r="Y101" s="16" t="str">
        <f t="shared" si="27"/>
        <v>trees_CLUSTER08.csv</v>
      </c>
      <c r="Z101" s="16" t="str">
        <f t="shared" si="28"/>
        <v>saplings_CLUSTER08.csv</v>
      </c>
      <c r="AA101" s="16">
        <f t="shared" si="29"/>
        <v>350</v>
      </c>
      <c r="AB101" s="16" t="str">
        <f t="shared" si="30"/>
        <v>abe/no_mgmt.csv</v>
      </c>
      <c r="AC101" s="16" t="str">
        <f t="shared" si="31"/>
        <v>gis/WindModifier_cl8.asc</v>
      </c>
      <c r="AD101" s="16">
        <f t="shared" si="32"/>
        <v>4.8134740840721199E-6</v>
      </c>
      <c r="AE101" s="16" t="str">
        <f t="shared" si="35"/>
        <v>ICHEC-EC-EARTH_historical_point34569</v>
      </c>
      <c r="AF101" s="16" t="str">
        <f t="shared" si="33"/>
        <v>wind_Events/Scaled_cl8_repl4.txt</v>
      </c>
      <c r="AG101" s="16" t="str">
        <f t="shared" si="34"/>
        <v>ICHEC-EC-EARTH_Scaled_Cluster8_repl4</v>
      </c>
      <c r="AH101" s="16" t="s">
        <v>310</v>
      </c>
      <c r="AI101" s="16" t="s">
        <v>311</v>
      </c>
    </row>
    <row r="102" spans="1:35" ht="13.8">
      <c r="A102" s="7" t="str">
        <f t="shared" si="18"/>
        <v>MPI-M-MPI-ESM-LR_Scaled_Cluster8_repl4</v>
      </c>
      <c r="B102" s="8" t="s">
        <v>16</v>
      </c>
      <c r="C102" s="8" t="s">
        <v>54</v>
      </c>
      <c r="D102" s="9" t="s">
        <v>17</v>
      </c>
      <c r="E102" s="9" t="str">
        <f t="shared" si="19"/>
        <v>historical</v>
      </c>
      <c r="F102" s="8">
        <v>350</v>
      </c>
      <c r="G102" s="8" t="s">
        <v>63</v>
      </c>
      <c r="H102" s="8">
        <v>2</v>
      </c>
      <c r="I102" s="8">
        <v>4.8133740840721197E-6</v>
      </c>
      <c r="J102" s="8">
        <v>8</v>
      </c>
      <c r="K102" s="8" t="s">
        <v>171</v>
      </c>
      <c r="L102" s="8">
        <v>4</v>
      </c>
      <c r="M102" s="8"/>
      <c r="N102" s="8">
        <v>1</v>
      </c>
      <c r="O102" s="10" t="s">
        <v>21</v>
      </c>
      <c r="P102" s="17" t="s">
        <v>59</v>
      </c>
      <c r="Q102" s="10" t="str">
        <f t="shared" si="20"/>
        <v>MPI-M-MPI-ESM-LR_Scaled_Cluster8_repl4.sqlite</v>
      </c>
      <c r="R102" s="11">
        <f t="shared" si="21"/>
        <v>11</v>
      </c>
      <c r="S102" s="11">
        <v>0</v>
      </c>
      <c r="T102" s="16" t="str">
        <f t="shared" si="22"/>
        <v>climate_db_MPI-M-MPI-ESM-LR_historical_v4.sqlite</v>
      </c>
      <c r="U102" s="16" t="str">
        <f t="shared" si="23"/>
        <v>log/MPI-M-MPI-ESM-LR_Scaled_Cluster8_repl4.txt</v>
      </c>
      <c r="V102" s="16" t="str">
        <f t="shared" si="24"/>
        <v>init/env_file_CLUSTER08_REPL4_MPI-M-MPI-ESM-LR_historical.csv</v>
      </c>
      <c r="W102" s="16" t="str">
        <f t="shared" si="25"/>
        <v>init/env_grid_CLUSTER08_REPL4.asc</v>
      </c>
      <c r="X102" s="16" t="str">
        <f t="shared" si="26"/>
        <v>init/env_grid_CLUSTER08_REPL4.asc</v>
      </c>
      <c r="Y102" s="16" t="str">
        <f t="shared" si="27"/>
        <v>trees_CLUSTER08.csv</v>
      </c>
      <c r="Z102" s="16" t="str">
        <f t="shared" si="28"/>
        <v>saplings_CLUSTER08.csv</v>
      </c>
      <c r="AA102" s="16">
        <f t="shared" si="29"/>
        <v>350</v>
      </c>
      <c r="AB102" s="16" t="str">
        <f t="shared" si="30"/>
        <v>abe/no_mgmt.csv</v>
      </c>
      <c r="AC102" s="16" t="str">
        <f t="shared" si="31"/>
        <v>gis/WindModifier_cl8.asc</v>
      </c>
      <c r="AD102" s="16">
        <f t="shared" si="32"/>
        <v>4.8134740840721199E-6</v>
      </c>
      <c r="AE102" s="16" t="str">
        <f t="shared" si="35"/>
        <v>MPI-M-MPI-ESM-LR_historical_point34253</v>
      </c>
      <c r="AF102" s="16" t="str">
        <f t="shared" si="33"/>
        <v>wind_Events/Scaled_cl8_repl4.txt</v>
      </c>
      <c r="AG102" s="16" t="str">
        <f t="shared" si="34"/>
        <v>MPI-M-MPI-ESM-LR_Scaled_Cluster8_repl4</v>
      </c>
      <c r="AH102" s="16" t="s">
        <v>312</v>
      </c>
      <c r="AI102" s="16" t="s">
        <v>313</v>
      </c>
    </row>
    <row r="103" spans="1:35" ht="13.8">
      <c r="A103" s="7" t="str">
        <f t="shared" si="18"/>
        <v>NCC-NorESM1-M_Scaled_Cluster8_repl4</v>
      </c>
      <c r="B103" s="8" t="s">
        <v>16</v>
      </c>
      <c r="C103" s="8" t="s">
        <v>54</v>
      </c>
      <c r="D103" s="9" t="s">
        <v>17</v>
      </c>
      <c r="E103" s="9" t="str">
        <f t="shared" si="19"/>
        <v>historical</v>
      </c>
      <c r="F103" s="8">
        <v>350</v>
      </c>
      <c r="G103" s="8" t="s">
        <v>60</v>
      </c>
      <c r="H103" s="8">
        <v>3</v>
      </c>
      <c r="I103" s="8">
        <v>4.8133740840721197E-6</v>
      </c>
      <c r="J103" s="8">
        <v>8</v>
      </c>
      <c r="K103" s="8" t="s">
        <v>178</v>
      </c>
      <c r="L103" s="8">
        <v>4</v>
      </c>
      <c r="M103" s="8"/>
      <c r="N103" s="8">
        <v>1</v>
      </c>
      <c r="O103" s="10" t="s">
        <v>21</v>
      </c>
      <c r="P103" s="17" t="s">
        <v>59</v>
      </c>
      <c r="Q103" s="10" t="str">
        <f t="shared" si="20"/>
        <v>NCC-NorESM1-M_Scaled_Cluster8_repl4.sqlite</v>
      </c>
      <c r="R103" s="11">
        <f t="shared" si="21"/>
        <v>12</v>
      </c>
      <c r="S103" s="11">
        <v>0</v>
      </c>
      <c r="T103" s="16" t="str">
        <f t="shared" si="22"/>
        <v>climate_db_NCC-NorESM1-M_historical_v4.sqlite</v>
      </c>
      <c r="U103" s="16" t="str">
        <f t="shared" si="23"/>
        <v>log/NCC-NorESM1-M_Scaled_Cluster8_repl4.txt</v>
      </c>
      <c r="V103" s="16" t="str">
        <f t="shared" si="24"/>
        <v>init/env_file_CLUSTER08_REPL4_NCC-NorESM1-M_historical.csv</v>
      </c>
      <c r="W103" s="16" t="str">
        <f t="shared" si="25"/>
        <v>init/env_grid_CLUSTER08_REPL4.asc</v>
      </c>
      <c r="X103" s="16" t="str">
        <f t="shared" si="26"/>
        <v>init/env_grid_CLUSTER08_REPL4.asc</v>
      </c>
      <c r="Y103" s="16" t="str">
        <f t="shared" si="27"/>
        <v>trees_CLUSTER08.csv</v>
      </c>
      <c r="Z103" s="16" t="str">
        <f t="shared" si="28"/>
        <v>saplings_CLUSTER08.csv</v>
      </c>
      <c r="AA103" s="16">
        <f t="shared" si="29"/>
        <v>350</v>
      </c>
      <c r="AB103" s="16" t="str">
        <f t="shared" si="30"/>
        <v>abe/no_mgmt.csv</v>
      </c>
      <c r="AC103" s="16" t="str">
        <f t="shared" si="31"/>
        <v>gis/WindModifier_cl8.asc</v>
      </c>
      <c r="AD103" s="16">
        <f t="shared" si="32"/>
        <v>4.8134740840721199E-6</v>
      </c>
      <c r="AE103" s="16" t="str">
        <f t="shared" si="35"/>
        <v>NCC-NorESM1-M_historical_point34891</v>
      </c>
      <c r="AF103" s="16" t="str">
        <f t="shared" si="33"/>
        <v>wind_Events/Scaled_cl8_repl4.txt</v>
      </c>
      <c r="AG103" s="16" t="str">
        <f t="shared" si="34"/>
        <v>NCC-NorESM1-M_Scaled_Cluster8_repl4</v>
      </c>
      <c r="AH103" s="16" t="s">
        <v>314</v>
      </c>
      <c r="AI103" s="16" t="s">
        <v>315</v>
      </c>
    </row>
    <row r="104" spans="1:35" ht="13.8">
      <c r="A104" s="7" t="str">
        <f t="shared" si="18"/>
        <v>ICHEC-EC-EARTH_Scaled_Cluster8_repl5</v>
      </c>
      <c r="B104" s="8" t="s">
        <v>16</v>
      </c>
      <c r="C104" s="8" t="s">
        <v>54</v>
      </c>
      <c r="D104" s="9" t="s">
        <v>17</v>
      </c>
      <c r="E104" s="9" t="str">
        <f t="shared" si="19"/>
        <v>historical</v>
      </c>
      <c r="F104" s="8">
        <v>350</v>
      </c>
      <c r="G104" s="8" t="s">
        <v>18</v>
      </c>
      <c r="H104" s="8">
        <v>1</v>
      </c>
      <c r="I104" s="8">
        <v>4.8133740840721197E-6</v>
      </c>
      <c r="J104" s="8">
        <v>8</v>
      </c>
      <c r="K104" s="8" t="s">
        <v>163</v>
      </c>
      <c r="L104" s="8">
        <v>5</v>
      </c>
      <c r="M104" s="8"/>
      <c r="N104" s="8">
        <v>1</v>
      </c>
      <c r="O104" s="10" t="s">
        <v>21</v>
      </c>
      <c r="P104" s="17" t="s">
        <v>59</v>
      </c>
      <c r="Q104" s="10" t="str">
        <f t="shared" si="20"/>
        <v>ICHEC-EC-EARTH_Scaled_Cluster8_repl5.sqlite</v>
      </c>
      <c r="R104" s="11">
        <f t="shared" si="21"/>
        <v>13</v>
      </c>
      <c r="S104" s="11">
        <v>0</v>
      </c>
      <c r="T104" s="16" t="str">
        <f t="shared" si="22"/>
        <v>climate_db_ICHEC-EC-EARTH_historical_v4.sqlite</v>
      </c>
      <c r="U104" s="16" t="str">
        <f t="shared" si="23"/>
        <v>log/ICHEC-EC-EARTH_Scaled_Cluster8_repl5.txt</v>
      </c>
      <c r="V104" s="16" t="str">
        <f t="shared" si="24"/>
        <v>init/env_file_CLUSTER08_REPL5_ICHEC-EC-EARTH_historical.csv</v>
      </c>
      <c r="W104" s="16" t="str">
        <f t="shared" si="25"/>
        <v>init/env_grid_CLUSTER08_REPL5.asc</v>
      </c>
      <c r="X104" s="16" t="str">
        <f t="shared" si="26"/>
        <v>init/env_grid_CLUSTER08_REPL5.asc</v>
      </c>
      <c r="Y104" s="16" t="str">
        <f t="shared" si="27"/>
        <v>trees_CLUSTER08.csv</v>
      </c>
      <c r="Z104" s="16" t="str">
        <f t="shared" si="28"/>
        <v>saplings_CLUSTER08.csv</v>
      </c>
      <c r="AA104" s="16">
        <f t="shared" si="29"/>
        <v>350</v>
      </c>
      <c r="AB104" s="16" t="str">
        <f t="shared" si="30"/>
        <v>abe/no_mgmt.csv</v>
      </c>
      <c r="AC104" s="16" t="str">
        <f t="shared" si="31"/>
        <v>gis/WindModifier_cl8.asc</v>
      </c>
      <c r="AD104" s="16">
        <f t="shared" si="32"/>
        <v>4.8134740840721199E-6</v>
      </c>
      <c r="AE104" s="16" t="str">
        <f t="shared" si="35"/>
        <v>ICHEC-EC-EARTH_historical_point34569</v>
      </c>
      <c r="AF104" s="16" t="str">
        <f t="shared" si="33"/>
        <v>wind_Events/Scaled_cl8_repl5.txt</v>
      </c>
      <c r="AG104" s="16" t="str">
        <f t="shared" si="34"/>
        <v>ICHEC-EC-EARTH_Scaled_Cluster8_repl5</v>
      </c>
      <c r="AH104" s="16" t="s">
        <v>316</v>
      </c>
      <c r="AI104" s="16" t="s">
        <v>317</v>
      </c>
    </row>
    <row r="105" spans="1:35" ht="13.8">
      <c r="A105" s="7" t="str">
        <f t="shared" si="18"/>
        <v>MPI-M-MPI-ESM-LR_Scaled_Cluster8_repl5</v>
      </c>
      <c r="B105" s="8" t="s">
        <v>16</v>
      </c>
      <c r="C105" s="8" t="s">
        <v>54</v>
      </c>
      <c r="D105" s="9" t="s">
        <v>17</v>
      </c>
      <c r="E105" s="9" t="str">
        <f t="shared" si="19"/>
        <v>historical</v>
      </c>
      <c r="F105" s="8">
        <v>350</v>
      </c>
      <c r="G105" s="8" t="s">
        <v>63</v>
      </c>
      <c r="H105" s="8">
        <v>2</v>
      </c>
      <c r="I105" s="8">
        <v>4.8133740840721197E-6</v>
      </c>
      <c r="J105" s="8">
        <v>8</v>
      </c>
      <c r="K105" s="8" t="s">
        <v>171</v>
      </c>
      <c r="L105" s="8">
        <v>5</v>
      </c>
      <c r="M105" s="8"/>
      <c r="N105" s="8">
        <v>1</v>
      </c>
      <c r="O105" s="10" t="s">
        <v>21</v>
      </c>
      <c r="P105" s="17" t="s">
        <v>59</v>
      </c>
      <c r="Q105" s="10" t="str">
        <f t="shared" si="20"/>
        <v>MPI-M-MPI-ESM-LR_Scaled_Cluster8_repl5.sqlite</v>
      </c>
      <c r="R105" s="11">
        <f t="shared" si="21"/>
        <v>14</v>
      </c>
      <c r="S105" s="11">
        <v>0</v>
      </c>
      <c r="T105" s="16" t="str">
        <f t="shared" si="22"/>
        <v>climate_db_MPI-M-MPI-ESM-LR_historical_v4.sqlite</v>
      </c>
      <c r="U105" s="16" t="str">
        <f t="shared" si="23"/>
        <v>log/MPI-M-MPI-ESM-LR_Scaled_Cluster8_repl5.txt</v>
      </c>
      <c r="V105" s="16" t="str">
        <f t="shared" si="24"/>
        <v>init/env_file_CLUSTER08_REPL5_MPI-M-MPI-ESM-LR_historical.csv</v>
      </c>
      <c r="W105" s="16" t="str">
        <f t="shared" si="25"/>
        <v>init/env_grid_CLUSTER08_REPL5.asc</v>
      </c>
      <c r="X105" s="16" t="str">
        <f t="shared" si="26"/>
        <v>init/env_grid_CLUSTER08_REPL5.asc</v>
      </c>
      <c r="Y105" s="16" t="str">
        <f t="shared" si="27"/>
        <v>trees_CLUSTER08.csv</v>
      </c>
      <c r="Z105" s="16" t="str">
        <f t="shared" si="28"/>
        <v>saplings_CLUSTER08.csv</v>
      </c>
      <c r="AA105" s="16">
        <f t="shared" si="29"/>
        <v>350</v>
      </c>
      <c r="AB105" s="16" t="str">
        <f t="shared" si="30"/>
        <v>abe/no_mgmt.csv</v>
      </c>
      <c r="AC105" s="16" t="str">
        <f t="shared" si="31"/>
        <v>gis/WindModifier_cl8.asc</v>
      </c>
      <c r="AD105" s="16">
        <f t="shared" si="32"/>
        <v>4.8134740840721199E-6</v>
      </c>
      <c r="AE105" s="16" t="str">
        <f t="shared" si="35"/>
        <v>MPI-M-MPI-ESM-LR_historical_point34253</v>
      </c>
      <c r="AF105" s="16" t="str">
        <f t="shared" si="33"/>
        <v>wind_Events/Scaled_cl8_repl5.txt</v>
      </c>
      <c r="AG105" s="16" t="str">
        <f t="shared" si="34"/>
        <v>MPI-M-MPI-ESM-LR_Scaled_Cluster8_repl5</v>
      </c>
      <c r="AH105" s="16" t="s">
        <v>318</v>
      </c>
      <c r="AI105" s="16" t="s">
        <v>319</v>
      </c>
    </row>
    <row r="106" spans="1:35" ht="13.8">
      <c r="A106" s="7" t="str">
        <f t="shared" si="18"/>
        <v>NCC-NorESM1-M_Scaled_Cluster8_repl5</v>
      </c>
      <c r="B106" s="8" t="s">
        <v>16</v>
      </c>
      <c r="C106" s="8" t="s">
        <v>54</v>
      </c>
      <c r="D106" s="9" t="s">
        <v>17</v>
      </c>
      <c r="E106" s="9" t="str">
        <f t="shared" si="19"/>
        <v>historical</v>
      </c>
      <c r="F106" s="8">
        <v>350</v>
      </c>
      <c r="G106" s="8" t="s">
        <v>60</v>
      </c>
      <c r="H106" s="8">
        <v>3</v>
      </c>
      <c r="I106" s="8">
        <v>4.8133740840721197E-6</v>
      </c>
      <c r="J106" s="8">
        <v>8</v>
      </c>
      <c r="K106" s="8" t="s">
        <v>178</v>
      </c>
      <c r="L106" s="8">
        <v>5</v>
      </c>
      <c r="M106" s="8"/>
      <c r="N106" s="8">
        <v>1</v>
      </c>
      <c r="O106" s="10" t="s">
        <v>21</v>
      </c>
      <c r="P106" s="17" t="s">
        <v>59</v>
      </c>
      <c r="Q106" s="10" t="str">
        <f t="shared" si="20"/>
        <v>NCC-NorESM1-M_Scaled_Cluster8_repl5.sqlite</v>
      </c>
      <c r="R106" s="11">
        <f t="shared" si="21"/>
        <v>15</v>
      </c>
      <c r="S106" s="11">
        <v>0</v>
      </c>
      <c r="T106" s="16" t="str">
        <f t="shared" si="22"/>
        <v>climate_db_NCC-NorESM1-M_historical_v4.sqlite</v>
      </c>
      <c r="U106" s="16" t="str">
        <f t="shared" si="23"/>
        <v>log/NCC-NorESM1-M_Scaled_Cluster8_repl5.txt</v>
      </c>
      <c r="V106" s="16" t="str">
        <f t="shared" si="24"/>
        <v>init/env_file_CLUSTER08_REPL5_NCC-NorESM1-M_historical.csv</v>
      </c>
      <c r="W106" s="16" t="str">
        <f t="shared" si="25"/>
        <v>init/env_grid_CLUSTER08_REPL5.asc</v>
      </c>
      <c r="X106" s="16" t="str">
        <f t="shared" si="26"/>
        <v>init/env_grid_CLUSTER08_REPL5.asc</v>
      </c>
      <c r="Y106" s="16" t="str">
        <f t="shared" si="27"/>
        <v>trees_CLUSTER08.csv</v>
      </c>
      <c r="Z106" s="16" t="str">
        <f t="shared" si="28"/>
        <v>saplings_CLUSTER08.csv</v>
      </c>
      <c r="AA106" s="16">
        <f t="shared" si="29"/>
        <v>350</v>
      </c>
      <c r="AB106" s="16" t="str">
        <f t="shared" si="30"/>
        <v>abe/no_mgmt.csv</v>
      </c>
      <c r="AC106" s="16" t="str">
        <f t="shared" si="31"/>
        <v>gis/WindModifier_cl8.asc</v>
      </c>
      <c r="AD106" s="16">
        <f t="shared" si="32"/>
        <v>4.8134740840721199E-6</v>
      </c>
      <c r="AE106" s="16" t="str">
        <f t="shared" si="35"/>
        <v>NCC-NorESM1-M_historical_point34891</v>
      </c>
      <c r="AF106" s="16" t="str">
        <f t="shared" si="33"/>
        <v>wind_Events/Scaled_cl8_repl5.txt</v>
      </c>
      <c r="AG106" s="16" t="str">
        <f t="shared" si="34"/>
        <v>NCC-NorESM1-M_Scaled_Cluster8_repl5</v>
      </c>
      <c r="AH106" s="16" t="s">
        <v>320</v>
      </c>
      <c r="AI106" s="16" t="s">
        <v>321</v>
      </c>
    </row>
    <row r="107" spans="1:35" ht="13.8">
      <c r="A107" s="7" t="str">
        <f t="shared" si="18"/>
        <v>ICHEC-EC-EARTH_Scaled_Cluster10_repl1</v>
      </c>
      <c r="B107" s="8" t="s">
        <v>16</v>
      </c>
      <c r="C107" s="8" t="s">
        <v>54</v>
      </c>
      <c r="D107" s="9" t="s">
        <v>17</v>
      </c>
      <c r="E107" s="9" t="str">
        <f t="shared" si="19"/>
        <v>historical</v>
      </c>
      <c r="F107" s="8">
        <v>350</v>
      </c>
      <c r="G107" s="8" t="s">
        <v>18</v>
      </c>
      <c r="H107" s="8">
        <v>1</v>
      </c>
      <c r="I107" s="8">
        <v>2.5405658160224899E-6</v>
      </c>
      <c r="J107" s="8">
        <v>10</v>
      </c>
      <c r="K107" s="8" t="s">
        <v>164</v>
      </c>
      <c r="L107" s="8">
        <v>1</v>
      </c>
      <c r="M107" s="8"/>
      <c r="N107" s="8">
        <v>1</v>
      </c>
      <c r="O107" s="10" t="s">
        <v>21</v>
      </c>
      <c r="P107" s="17" t="s">
        <v>59</v>
      </c>
      <c r="Q107" s="10" t="str">
        <f t="shared" si="20"/>
        <v>ICHEC-EC-EARTH_Scaled_Cluster10_repl1.sqlite</v>
      </c>
      <c r="R107" s="11">
        <f t="shared" si="21"/>
        <v>1</v>
      </c>
      <c r="S107" s="11">
        <v>0</v>
      </c>
      <c r="T107" s="16" t="str">
        <f t="shared" si="22"/>
        <v>climate_db_ICHEC-EC-EARTH_historical_v4.sqlite</v>
      </c>
      <c r="U107" s="16" t="str">
        <f t="shared" si="23"/>
        <v>log/ICHEC-EC-EARTH_Scaled_Cluster10_repl1.txt</v>
      </c>
      <c r="V107" s="16" t="str">
        <f t="shared" si="24"/>
        <v>init/env_file_CLUSTER10_REPL1_ICHEC-EC-EARTH_historical.csv</v>
      </c>
      <c r="W107" s="16" t="str">
        <f t="shared" si="25"/>
        <v>init/env_grid_CLUSTER10_REPL1.asc</v>
      </c>
      <c r="X107" s="16" t="str">
        <f t="shared" si="26"/>
        <v>init/env_grid_CLUSTER10_REPL1.asc</v>
      </c>
      <c r="Y107" s="16" t="str">
        <f t="shared" si="27"/>
        <v>trees_CLUSTER10.csv</v>
      </c>
      <c r="Z107" s="16" t="str">
        <f t="shared" si="28"/>
        <v>saplings_CLUSTER10.csv</v>
      </c>
      <c r="AA107" s="16">
        <f t="shared" si="29"/>
        <v>350</v>
      </c>
      <c r="AB107" s="16" t="str">
        <f t="shared" si="30"/>
        <v>abe/no_mgmt.csv</v>
      </c>
      <c r="AC107" s="16" t="str">
        <f t="shared" si="31"/>
        <v>gis/WindModifier_cl10.asc</v>
      </c>
      <c r="AD107" s="16">
        <f t="shared" si="32"/>
        <v>2.5406658160224897E-6</v>
      </c>
      <c r="AE107" s="16" t="str">
        <f t="shared" si="35"/>
        <v>ICHEC-EC-EARTH_historical_point38183</v>
      </c>
      <c r="AF107" s="16" t="str">
        <f t="shared" si="33"/>
        <v>wind_Events/Scaled_cl10_repl1.txt</v>
      </c>
      <c r="AG107" s="16" t="str">
        <f t="shared" si="34"/>
        <v>ICHEC-EC-EARTH_Scaled_Cluster10_repl1</v>
      </c>
      <c r="AH107" s="16" t="s">
        <v>322</v>
      </c>
      <c r="AI107" s="16" t="s">
        <v>323</v>
      </c>
    </row>
    <row r="108" spans="1:35" ht="13.8">
      <c r="A108" s="7" t="str">
        <f t="shared" si="18"/>
        <v>MPI-M-MPI-ESM-LR_Scaled_Cluster10_repl1</v>
      </c>
      <c r="B108" s="8" t="s">
        <v>16</v>
      </c>
      <c r="C108" s="8" t="s">
        <v>54</v>
      </c>
      <c r="D108" s="9" t="s">
        <v>17</v>
      </c>
      <c r="E108" s="9" t="str">
        <f t="shared" si="19"/>
        <v>historical</v>
      </c>
      <c r="F108" s="8">
        <v>350</v>
      </c>
      <c r="G108" s="8" t="s">
        <v>63</v>
      </c>
      <c r="H108" s="8">
        <v>2</v>
      </c>
      <c r="I108" s="8">
        <v>2.5405658160224899E-6</v>
      </c>
      <c r="J108" s="8">
        <v>10</v>
      </c>
      <c r="K108" s="8" t="s">
        <v>172</v>
      </c>
      <c r="L108" s="8">
        <v>1</v>
      </c>
      <c r="M108" s="8"/>
      <c r="N108" s="8">
        <v>1</v>
      </c>
      <c r="O108" s="10" t="s">
        <v>21</v>
      </c>
      <c r="P108" s="17" t="s">
        <v>59</v>
      </c>
      <c r="Q108" s="10" t="str">
        <f t="shared" si="20"/>
        <v>MPI-M-MPI-ESM-LR_Scaled_Cluster10_repl1.sqlite</v>
      </c>
      <c r="R108" s="11">
        <f t="shared" si="21"/>
        <v>2</v>
      </c>
      <c r="S108" s="11">
        <v>0</v>
      </c>
      <c r="T108" s="16" t="str">
        <f t="shared" si="22"/>
        <v>climate_db_MPI-M-MPI-ESM-LR_historical_v4.sqlite</v>
      </c>
      <c r="U108" s="16" t="str">
        <f t="shared" si="23"/>
        <v>log/MPI-M-MPI-ESM-LR_Scaled_Cluster10_repl1.txt</v>
      </c>
      <c r="V108" s="16" t="str">
        <f t="shared" si="24"/>
        <v>init/env_file_CLUSTER10_REPL1_MPI-M-MPI-ESM-LR_historical.csv</v>
      </c>
      <c r="W108" s="16" t="str">
        <f t="shared" si="25"/>
        <v>init/env_grid_CLUSTER10_REPL1.asc</v>
      </c>
      <c r="X108" s="16" t="str">
        <f t="shared" si="26"/>
        <v>init/env_grid_CLUSTER10_REPL1.asc</v>
      </c>
      <c r="Y108" s="16" t="str">
        <f t="shared" si="27"/>
        <v>trees_CLUSTER10.csv</v>
      </c>
      <c r="Z108" s="16" t="str">
        <f t="shared" si="28"/>
        <v>saplings_CLUSTER10.csv</v>
      </c>
      <c r="AA108" s="16">
        <f t="shared" si="29"/>
        <v>350</v>
      </c>
      <c r="AB108" s="16" t="str">
        <f t="shared" si="30"/>
        <v>abe/no_mgmt.csv</v>
      </c>
      <c r="AC108" s="16" t="str">
        <f t="shared" si="31"/>
        <v>gis/WindModifier_cl10.asc</v>
      </c>
      <c r="AD108" s="16">
        <f t="shared" si="32"/>
        <v>2.5406658160224897E-6</v>
      </c>
      <c r="AE108" s="16" t="str">
        <f t="shared" si="35"/>
        <v>MPI-M-MPI-ESM-LR_historical_point37861</v>
      </c>
      <c r="AF108" s="16" t="str">
        <f t="shared" si="33"/>
        <v>wind_Events/Scaled_cl10_repl1.txt</v>
      </c>
      <c r="AG108" s="16" t="str">
        <f t="shared" si="34"/>
        <v>MPI-M-MPI-ESM-LR_Scaled_Cluster10_repl1</v>
      </c>
      <c r="AH108" s="16" t="s">
        <v>324</v>
      </c>
      <c r="AI108" s="16" t="s">
        <v>325</v>
      </c>
    </row>
    <row r="109" spans="1:35" ht="13.8">
      <c r="A109" s="7" t="str">
        <f t="shared" si="18"/>
        <v>NCC-NorESM1-M_Scaled_Cluster10_repl1</v>
      </c>
      <c r="B109" s="8" t="s">
        <v>16</v>
      </c>
      <c r="C109" s="8" t="s">
        <v>54</v>
      </c>
      <c r="D109" s="9" t="s">
        <v>17</v>
      </c>
      <c r="E109" s="9" t="str">
        <f t="shared" si="19"/>
        <v>historical</v>
      </c>
      <c r="F109" s="8">
        <v>350</v>
      </c>
      <c r="G109" s="8" t="s">
        <v>60</v>
      </c>
      <c r="H109" s="8">
        <v>3</v>
      </c>
      <c r="I109" s="8">
        <v>2.5405658160224899E-6</v>
      </c>
      <c r="J109" s="8">
        <v>10</v>
      </c>
      <c r="K109" s="8" t="s">
        <v>172</v>
      </c>
      <c r="L109" s="8">
        <v>1</v>
      </c>
      <c r="M109" s="8"/>
      <c r="N109" s="8">
        <v>1</v>
      </c>
      <c r="O109" s="10" t="s">
        <v>21</v>
      </c>
      <c r="P109" s="17" t="s">
        <v>59</v>
      </c>
      <c r="Q109" s="10" t="str">
        <f t="shared" si="20"/>
        <v>NCC-NorESM1-M_Scaled_Cluster10_repl1.sqlite</v>
      </c>
      <c r="R109" s="11">
        <f t="shared" si="21"/>
        <v>3</v>
      </c>
      <c r="S109" s="11">
        <v>0</v>
      </c>
      <c r="T109" s="16" t="str">
        <f t="shared" si="22"/>
        <v>climate_db_NCC-NorESM1-M_historical_v4.sqlite</v>
      </c>
      <c r="U109" s="16" t="str">
        <f t="shared" si="23"/>
        <v>log/NCC-NorESM1-M_Scaled_Cluster10_repl1.txt</v>
      </c>
      <c r="V109" s="16" t="str">
        <f t="shared" si="24"/>
        <v>init/env_file_CLUSTER10_REPL1_NCC-NorESM1-M_historical.csv</v>
      </c>
      <c r="W109" s="16" t="str">
        <f t="shared" si="25"/>
        <v>init/env_grid_CLUSTER10_REPL1.asc</v>
      </c>
      <c r="X109" s="16" t="str">
        <f t="shared" si="26"/>
        <v>init/env_grid_CLUSTER10_REPL1.asc</v>
      </c>
      <c r="Y109" s="16" t="str">
        <f t="shared" si="27"/>
        <v>trees_CLUSTER10.csv</v>
      </c>
      <c r="Z109" s="16" t="str">
        <f t="shared" si="28"/>
        <v>saplings_CLUSTER10.csv</v>
      </c>
      <c r="AA109" s="16">
        <f t="shared" si="29"/>
        <v>350</v>
      </c>
      <c r="AB109" s="16" t="str">
        <f t="shared" si="30"/>
        <v>abe/no_mgmt.csv</v>
      </c>
      <c r="AC109" s="16" t="str">
        <f t="shared" si="31"/>
        <v>gis/WindModifier_cl10.asc</v>
      </c>
      <c r="AD109" s="16">
        <f t="shared" si="32"/>
        <v>2.5406658160224897E-6</v>
      </c>
      <c r="AE109" s="16" t="str">
        <f t="shared" si="35"/>
        <v>NCC-NorESM1-M_historical_point37861</v>
      </c>
      <c r="AF109" s="16" t="str">
        <f t="shared" si="33"/>
        <v>wind_Events/Scaled_cl10_repl1.txt</v>
      </c>
      <c r="AG109" s="16" t="str">
        <f t="shared" si="34"/>
        <v>NCC-NorESM1-M_Scaled_Cluster10_repl1</v>
      </c>
      <c r="AH109" s="16" t="s">
        <v>326</v>
      </c>
      <c r="AI109" s="16" t="s">
        <v>327</v>
      </c>
    </row>
    <row r="110" spans="1:35" ht="13.8">
      <c r="A110" s="7" t="str">
        <f t="shared" si="18"/>
        <v>ICHEC-EC-EARTH_Scaled_Cluster10_repl2</v>
      </c>
      <c r="B110" s="8" t="s">
        <v>16</v>
      </c>
      <c r="C110" s="8" t="s">
        <v>54</v>
      </c>
      <c r="D110" s="9" t="s">
        <v>17</v>
      </c>
      <c r="E110" s="9" t="str">
        <f t="shared" si="19"/>
        <v>historical</v>
      </c>
      <c r="F110" s="8">
        <v>350</v>
      </c>
      <c r="G110" s="8" t="s">
        <v>18</v>
      </c>
      <c r="H110" s="8">
        <v>1</v>
      </c>
      <c r="I110" s="8">
        <v>2.5405658160224899E-6</v>
      </c>
      <c r="J110" s="8">
        <v>10</v>
      </c>
      <c r="K110" s="8" t="s">
        <v>164</v>
      </c>
      <c r="L110" s="8">
        <v>2</v>
      </c>
      <c r="M110" s="8"/>
      <c r="N110" s="8">
        <v>1</v>
      </c>
      <c r="O110" s="10" t="s">
        <v>21</v>
      </c>
      <c r="P110" s="17" t="s">
        <v>59</v>
      </c>
      <c r="Q110" s="10" t="str">
        <f t="shared" si="20"/>
        <v>ICHEC-EC-EARTH_Scaled_Cluster10_repl2.sqlite</v>
      </c>
      <c r="R110" s="11">
        <f t="shared" si="21"/>
        <v>4</v>
      </c>
      <c r="S110" s="11">
        <v>0</v>
      </c>
      <c r="T110" s="16" t="str">
        <f t="shared" si="22"/>
        <v>climate_db_ICHEC-EC-EARTH_historical_v4.sqlite</v>
      </c>
      <c r="U110" s="16" t="str">
        <f t="shared" si="23"/>
        <v>log/ICHEC-EC-EARTH_Scaled_Cluster10_repl2.txt</v>
      </c>
      <c r="V110" s="16" t="str">
        <f t="shared" si="24"/>
        <v>init/env_file_CLUSTER10_REPL2_ICHEC-EC-EARTH_historical.csv</v>
      </c>
      <c r="W110" s="16" t="str">
        <f t="shared" si="25"/>
        <v>init/env_grid_CLUSTER10_REPL2.asc</v>
      </c>
      <c r="X110" s="16" t="str">
        <f t="shared" si="26"/>
        <v>init/env_grid_CLUSTER10_REPL2.asc</v>
      </c>
      <c r="Y110" s="16" t="str">
        <f t="shared" si="27"/>
        <v>trees_CLUSTER10.csv</v>
      </c>
      <c r="Z110" s="16" t="str">
        <f t="shared" si="28"/>
        <v>saplings_CLUSTER10.csv</v>
      </c>
      <c r="AA110" s="16">
        <f t="shared" si="29"/>
        <v>350</v>
      </c>
      <c r="AB110" s="16" t="str">
        <f t="shared" si="30"/>
        <v>abe/no_mgmt.csv</v>
      </c>
      <c r="AC110" s="16" t="str">
        <f t="shared" si="31"/>
        <v>gis/WindModifier_cl10.asc</v>
      </c>
      <c r="AD110" s="16">
        <f t="shared" si="32"/>
        <v>2.5406658160224897E-6</v>
      </c>
      <c r="AE110" s="16" t="str">
        <f t="shared" si="35"/>
        <v>ICHEC-EC-EARTH_historical_point38183</v>
      </c>
      <c r="AF110" s="16" t="str">
        <f t="shared" si="33"/>
        <v>wind_Events/Scaled_cl10_repl2.txt</v>
      </c>
      <c r="AG110" s="16" t="str">
        <f t="shared" si="34"/>
        <v>ICHEC-EC-EARTH_Scaled_Cluster10_repl2</v>
      </c>
      <c r="AH110" s="16" t="s">
        <v>256</v>
      </c>
      <c r="AI110" s="16" t="s">
        <v>257</v>
      </c>
    </row>
    <row r="111" spans="1:35" ht="13.8">
      <c r="A111" s="7" t="str">
        <f t="shared" si="18"/>
        <v>MPI-M-MPI-ESM-LR_Scaled_Cluster10_repl2</v>
      </c>
      <c r="B111" s="8" t="s">
        <v>16</v>
      </c>
      <c r="C111" s="8" t="s">
        <v>54</v>
      </c>
      <c r="D111" s="9" t="s">
        <v>17</v>
      </c>
      <c r="E111" s="9" t="str">
        <f t="shared" si="19"/>
        <v>historical</v>
      </c>
      <c r="F111" s="8">
        <v>350</v>
      </c>
      <c r="G111" s="8" t="s">
        <v>63</v>
      </c>
      <c r="H111" s="8">
        <v>2</v>
      </c>
      <c r="I111" s="8">
        <v>2.5405658160224899E-6</v>
      </c>
      <c r="J111" s="8">
        <v>10</v>
      </c>
      <c r="K111" s="8" t="s">
        <v>172</v>
      </c>
      <c r="L111" s="8">
        <v>2</v>
      </c>
      <c r="M111" s="8"/>
      <c r="N111" s="8">
        <v>1</v>
      </c>
      <c r="O111" s="10" t="s">
        <v>21</v>
      </c>
      <c r="P111" s="17" t="s">
        <v>59</v>
      </c>
      <c r="Q111" s="10" t="str">
        <f t="shared" si="20"/>
        <v>MPI-M-MPI-ESM-LR_Scaled_Cluster10_repl2.sqlite</v>
      </c>
      <c r="R111" s="11">
        <f t="shared" si="21"/>
        <v>5</v>
      </c>
      <c r="S111" s="11">
        <v>0</v>
      </c>
      <c r="T111" s="16" t="str">
        <f t="shared" si="22"/>
        <v>climate_db_MPI-M-MPI-ESM-LR_historical_v4.sqlite</v>
      </c>
      <c r="U111" s="16" t="str">
        <f t="shared" si="23"/>
        <v>log/MPI-M-MPI-ESM-LR_Scaled_Cluster10_repl2.txt</v>
      </c>
      <c r="V111" s="16" t="str">
        <f t="shared" si="24"/>
        <v>init/env_file_CLUSTER10_REPL2_MPI-M-MPI-ESM-LR_historical.csv</v>
      </c>
      <c r="W111" s="16" t="str">
        <f t="shared" si="25"/>
        <v>init/env_grid_CLUSTER10_REPL2.asc</v>
      </c>
      <c r="X111" s="16" t="str">
        <f t="shared" si="26"/>
        <v>init/env_grid_CLUSTER10_REPL2.asc</v>
      </c>
      <c r="Y111" s="16" t="str">
        <f t="shared" si="27"/>
        <v>trees_CLUSTER10.csv</v>
      </c>
      <c r="Z111" s="16" t="str">
        <f t="shared" si="28"/>
        <v>saplings_CLUSTER10.csv</v>
      </c>
      <c r="AA111" s="16">
        <f t="shared" si="29"/>
        <v>350</v>
      </c>
      <c r="AB111" s="16" t="str">
        <f t="shared" si="30"/>
        <v>abe/no_mgmt.csv</v>
      </c>
      <c r="AC111" s="16" t="str">
        <f t="shared" si="31"/>
        <v>gis/WindModifier_cl10.asc</v>
      </c>
      <c r="AD111" s="16">
        <f t="shared" si="32"/>
        <v>2.5406658160224897E-6</v>
      </c>
      <c r="AE111" s="16" t="str">
        <f t="shared" si="35"/>
        <v>MPI-M-MPI-ESM-LR_historical_point37861</v>
      </c>
      <c r="AF111" s="16" t="str">
        <f t="shared" si="33"/>
        <v>wind_Events/Scaled_cl10_repl2.txt</v>
      </c>
      <c r="AG111" s="16" t="str">
        <f t="shared" si="34"/>
        <v>MPI-M-MPI-ESM-LR_Scaled_Cluster10_repl2</v>
      </c>
      <c r="AH111" s="16" t="s">
        <v>258</v>
      </c>
      <c r="AI111" s="16" t="s">
        <v>259</v>
      </c>
    </row>
    <row r="112" spans="1:35" ht="13.8">
      <c r="A112" s="7" t="str">
        <f t="shared" si="18"/>
        <v>NCC-NorESM1-M_Scaled_Cluster10_repl2</v>
      </c>
      <c r="B112" s="8" t="s">
        <v>16</v>
      </c>
      <c r="C112" s="8" t="s">
        <v>54</v>
      </c>
      <c r="D112" s="9" t="s">
        <v>17</v>
      </c>
      <c r="E112" s="9" t="str">
        <f t="shared" si="19"/>
        <v>historical</v>
      </c>
      <c r="F112" s="8">
        <v>350</v>
      </c>
      <c r="G112" s="8" t="s">
        <v>60</v>
      </c>
      <c r="H112" s="8">
        <v>3</v>
      </c>
      <c r="I112" s="8">
        <v>2.5405658160224899E-6</v>
      </c>
      <c r="J112" s="8">
        <v>10</v>
      </c>
      <c r="K112" s="8" t="s">
        <v>172</v>
      </c>
      <c r="L112" s="8">
        <v>2</v>
      </c>
      <c r="M112" s="8"/>
      <c r="N112" s="8">
        <v>1</v>
      </c>
      <c r="O112" s="10" t="s">
        <v>21</v>
      </c>
      <c r="P112" s="17" t="s">
        <v>59</v>
      </c>
      <c r="Q112" s="10" t="str">
        <f t="shared" si="20"/>
        <v>NCC-NorESM1-M_Scaled_Cluster10_repl2.sqlite</v>
      </c>
      <c r="R112" s="11">
        <f t="shared" si="21"/>
        <v>6</v>
      </c>
      <c r="S112" s="11">
        <v>0</v>
      </c>
      <c r="T112" s="16" t="str">
        <f t="shared" si="22"/>
        <v>climate_db_NCC-NorESM1-M_historical_v4.sqlite</v>
      </c>
      <c r="U112" s="16" t="str">
        <f t="shared" si="23"/>
        <v>log/NCC-NorESM1-M_Scaled_Cluster10_repl2.txt</v>
      </c>
      <c r="V112" s="16" t="str">
        <f t="shared" si="24"/>
        <v>init/env_file_CLUSTER10_REPL2_NCC-NorESM1-M_historical.csv</v>
      </c>
      <c r="W112" s="16" t="str">
        <f t="shared" si="25"/>
        <v>init/env_grid_CLUSTER10_REPL2.asc</v>
      </c>
      <c r="X112" s="16" t="str">
        <f t="shared" si="26"/>
        <v>init/env_grid_CLUSTER10_REPL2.asc</v>
      </c>
      <c r="Y112" s="16" t="str">
        <f t="shared" si="27"/>
        <v>trees_CLUSTER10.csv</v>
      </c>
      <c r="Z112" s="16" t="str">
        <f t="shared" si="28"/>
        <v>saplings_CLUSTER10.csv</v>
      </c>
      <c r="AA112" s="16">
        <f t="shared" si="29"/>
        <v>350</v>
      </c>
      <c r="AB112" s="16" t="str">
        <f t="shared" si="30"/>
        <v>abe/no_mgmt.csv</v>
      </c>
      <c r="AC112" s="16" t="str">
        <f t="shared" si="31"/>
        <v>gis/WindModifier_cl10.asc</v>
      </c>
      <c r="AD112" s="16">
        <f t="shared" si="32"/>
        <v>2.5406658160224897E-6</v>
      </c>
      <c r="AE112" s="16" t="str">
        <f t="shared" si="35"/>
        <v>NCC-NorESM1-M_historical_point37861</v>
      </c>
      <c r="AF112" s="16" t="str">
        <f t="shared" si="33"/>
        <v>wind_Events/Scaled_cl10_repl2.txt</v>
      </c>
      <c r="AG112" s="16" t="str">
        <f t="shared" si="34"/>
        <v>NCC-NorESM1-M_Scaled_Cluster10_repl2</v>
      </c>
      <c r="AH112" s="16" t="s">
        <v>260</v>
      </c>
      <c r="AI112" s="16" t="s">
        <v>261</v>
      </c>
    </row>
    <row r="113" spans="1:35" ht="13.8">
      <c r="A113" s="7" t="str">
        <f t="shared" si="18"/>
        <v>ICHEC-EC-EARTH_Scaled_Cluster10_repl3</v>
      </c>
      <c r="B113" s="8" t="s">
        <v>16</v>
      </c>
      <c r="C113" s="8" t="s">
        <v>54</v>
      </c>
      <c r="D113" s="9" t="s">
        <v>17</v>
      </c>
      <c r="E113" s="9" t="str">
        <f t="shared" si="19"/>
        <v>historical</v>
      </c>
      <c r="F113" s="8">
        <v>350</v>
      </c>
      <c r="G113" s="8" t="s">
        <v>18</v>
      </c>
      <c r="H113" s="8">
        <v>1</v>
      </c>
      <c r="I113" s="8">
        <v>2.5405658160224899E-6</v>
      </c>
      <c r="J113" s="8">
        <v>10</v>
      </c>
      <c r="K113" s="8" t="s">
        <v>164</v>
      </c>
      <c r="L113" s="8">
        <v>3</v>
      </c>
      <c r="M113" s="8"/>
      <c r="N113" s="8">
        <v>1</v>
      </c>
      <c r="O113" s="10" t="s">
        <v>21</v>
      </c>
      <c r="P113" s="17" t="s">
        <v>59</v>
      </c>
      <c r="Q113" s="10" t="str">
        <f t="shared" si="20"/>
        <v>ICHEC-EC-EARTH_Scaled_Cluster10_repl3.sqlite</v>
      </c>
      <c r="R113" s="11">
        <f t="shared" si="21"/>
        <v>7</v>
      </c>
      <c r="S113" s="11">
        <v>0</v>
      </c>
      <c r="T113" s="16" t="str">
        <f t="shared" si="22"/>
        <v>climate_db_ICHEC-EC-EARTH_historical_v4.sqlite</v>
      </c>
      <c r="U113" s="16" t="str">
        <f t="shared" si="23"/>
        <v>log/ICHEC-EC-EARTH_Scaled_Cluster10_repl3.txt</v>
      </c>
      <c r="V113" s="16" t="str">
        <f t="shared" si="24"/>
        <v>init/env_file_CLUSTER10_REPL3_ICHEC-EC-EARTH_historical.csv</v>
      </c>
      <c r="W113" s="16" t="str">
        <f t="shared" si="25"/>
        <v>init/env_grid_CLUSTER10_REPL3.asc</v>
      </c>
      <c r="X113" s="16" t="str">
        <f t="shared" si="26"/>
        <v>init/env_grid_CLUSTER10_REPL3.asc</v>
      </c>
      <c r="Y113" s="16" t="str">
        <f t="shared" si="27"/>
        <v>trees_CLUSTER10.csv</v>
      </c>
      <c r="Z113" s="16" t="str">
        <f t="shared" si="28"/>
        <v>saplings_CLUSTER10.csv</v>
      </c>
      <c r="AA113" s="16">
        <f t="shared" si="29"/>
        <v>350</v>
      </c>
      <c r="AB113" s="16" t="str">
        <f t="shared" si="30"/>
        <v>abe/no_mgmt.csv</v>
      </c>
      <c r="AC113" s="16" t="str">
        <f t="shared" si="31"/>
        <v>gis/WindModifier_cl10.asc</v>
      </c>
      <c r="AD113" s="16">
        <f t="shared" si="32"/>
        <v>2.5406658160224897E-6</v>
      </c>
      <c r="AE113" s="16" t="str">
        <f t="shared" si="35"/>
        <v>ICHEC-EC-EARTH_historical_point38183</v>
      </c>
      <c r="AF113" s="16" t="str">
        <f t="shared" si="33"/>
        <v>wind_Events/Scaled_cl10_repl3.txt</v>
      </c>
      <c r="AG113" s="16" t="str">
        <f t="shared" si="34"/>
        <v>ICHEC-EC-EARTH_Scaled_Cluster10_repl3</v>
      </c>
      <c r="AH113" s="16" t="s">
        <v>262</v>
      </c>
      <c r="AI113" s="16" t="s">
        <v>263</v>
      </c>
    </row>
    <row r="114" spans="1:35" ht="13.8">
      <c r="A114" s="7" t="str">
        <f t="shared" si="18"/>
        <v>MPI-M-MPI-ESM-LR_Scaled_Cluster10_repl3</v>
      </c>
      <c r="B114" s="8" t="s">
        <v>16</v>
      </c>
      <c r="C114" s="8" t="s">
        <v>54</v>
      </c>
      <c r="D114" s="9" t="s">
        <v>17</v>
      </c>
      <c r="E114" s="9" t="str">
        <f t="shared" si="19"/>
        <v>historical</v>
      </c>
      <c r="F114" s="8">
        <v>350</v>
      </c>
      <c r="G114" s="8" t="s">
        <v>63</v>
      </c>
      <c r="H114" s="8">
        <v>2</v>
      </c>
      <c r="I114" s="8">
        <v>2.5405658160224899E-6</v>
      </c>
      <c r="J114" s="8">
        <v>10</v>
      </c>
      <c r="K114" s="8" t="s">
        <v>172</v>
      </c>
      <c r="L114" s="8">
        <v>3</v>
      </c>
      <c r="M114" s="8"/>
      <c r="N114" s="8">
        <v>1</v>
      </c>
      <c r="O114" s="10" t="s">
        <v>21</v>
      </c>
      <c r="P114" s="17" t="s">
        <v>59</v>
      </c>
      <c r="Q114" s="10" t="str">
        <f t="shared" si="20"/>
        <v>MPI-M-MPI-ESM-LR_Scaled_Cluster10_repl3.sqlite</v>
      </c>
      <c r="R114" s="11">
        <f t="shared" si="21"/>
        <v>8</v>
      </c>
      <c r="S114" s="11">
        <v>0</v>
      </c>
      <c r="T114" s="16" t="str">
        <f t="shared" si="22"/>
        <v>climate_db_MPI-M-MPI-ESM-LR_historical_v4.sqlite</v>
      </c>
      <c r="U114" s="16" t="str">
        <f t="shared" si="23"/>
        <v>log/MPI-M-MPI-ESM-LR_Scaled_Cluster10_repl3.txt</v>
      </c>
      <c r="V114" s="16" t="str">
        <f t="shared" si="24"/>
        <v>init/env_file_CLUSTER10_REPL3_MPI-M-MPI-ESM-LR_historical.csv</v>
      </c>
      <c r="W114" s="16" t="str">
        <f t="shared" si="25"/>
        <v>init/env_grid_CLUSTER10_REPL3.asc</v>
      </c>
      <c r="X114" s="16" t="str">
        <f t="shared" si="26"/>
        <v>init/env_grid_CLUSTER10_REPL3.asc</v>
      </c>
      <c r="Y114" s="16" t="str">
        <f t="shared" si="27"/>
        <v>trees_CLUSTER10.csv</v>
      </c>
      <c r="Z114" s="16" t="str">
        <f t="shared" si="28"/>
        <v>saplings_CLUSTER10.csv</v>
      </c>
      <c r="AA114" s="16">
        <f t="shared" si="29"/>
        <v>350</v>
      </c>
      <c r="AB114" s="16" t="str">
        <f t="shared" si="30"/>
        <v>abe/no_mgmt.csv</v>
      </c>
      <c r="AC114" s="16" t="str">
        <f t="shared" si="31"/>
        <v>gis/WindModifier_cl10.asc</v>
      </c>
      <c r="AD114" s="16">
        <f t="shared" si="32"/>
        <v>2.5406658160224897E-6</v>
      </c>
      <c r="AE114" s="16" t="str">
        <f t="shared" si="35"/>
        <v>MPI-M-MPI-ESM-LR_historical_point37861</v>
      </c>
      <c r="AF114" s="16" t="str">
        <f t="shared" si="33"/>
        <v>wind_Events/Scaled_cl10_repl3.txt</v>
      </c>
      <c r="AG114" s="16" t="str">
        <f t="shared" si="34"/>
        <v>MPI-M-MPI-ESM-LR_Scaled_Cluster10_repl3</v>
      </c>
      <c r="AH114" s="16" t="s">
        <v>264</v>
      </c>
      <c r="AI114" s="16" t="s">
        <v>265</v>
      </c>
    </row>
    <row r="115" spans="1:35" ht="13.8">
      <c r="A115" s="7" t="str">
        <f t="shared" si="18"/>
        <v>NCC-NorESM1-M_Scaled_Cluster10_repl3</v>
      </c>
      <c r="B115" s="8" t="s">
        <v>16</v>
      </c>
      <c r="C115" s="8" t="s">
        <v>54</v>
      </c>
      <c r="D115" s="9" t="s">
        <v>17</v>
      </c>
      <c r="E115" s="9" t="str">
        <f t="shared" si="19"/>
        <v>historical</v>
      </c>
      <c r="F115" s="8">
        <v>350</v>
      </c>
      <c r="G115" s="8" t="s">
        <v>60</v>
      </c>
      <c r="H115" s="8">
        <v>3</v>
      </c>
      <c r="I115" s="8">
        <v>2.5405658160224899E-6</v>
      </c>
      <c r="J115" s="8">
        <v>10</v>
      </c>
      <c r="K115" s="8" t="s">
        <v>172</v>
      </c>
      <c r="L115" s="8">
        <v>3</v>
      </c>
      <c r="M115" s="8"/>
      <c r="N115" s="8">
        <v>1</v>
      </c>
      <c r="O115" s="10" t="s">
        <v>21</v>
      </c>
      <c r="P115" s="17" t="s">
        <v>59</v>
      </c>
      <c r="Q115" s="10" t="str">
        <f t="shared" si="20"/>
        <v>NCC-NorESM1-M_Scaled_Cluster10_repl3.sqlite</v>
      </c>
      <c r="R115" s="11">
        <f t="shared" si="21"/>
        <v>9</v>
      </c>
      <c r="S115" s="11">
        <v>0</v>
      </c>
      <c r="T115" s="16" t="str">
        <f t="shared" si="22"/>
        <v>climate_db_NCC-NorESM1-M_historical_v4.sqlite</v>
      </c>
      <c r="U115" s="16" t="str">
        <f t="shared" si="23"/>
        <v>log/NCC-NorESM1-M_Scaled_Cluster10_repl3.txt</v>
      </c>
      <c r="V115" s="16" t="str">
        <f t="shared" si="24"/>
        <v>init/env_file_CLUSTER10_REPL3_NCC-NorESM1-M_historical.csv</v>
      </c>
      <c r="W115" s="16" t="str">
        <f t="shared" si="25"/>
        <v>init/env_grid_CLUSTER10_REPL3.asc</v>
      </c>
      <c r="X115" s="16" t="str">
        <f t="shared" si="26"/>
        <v>init/env_grid_CLUSTER10_REPL3.asc</v>
      </c>
      <c r="Y115" s="16" t="str">
        <f t="shared" si="27"/>
        <v>trees_CLUSTER10.csv</v>
      </c>
      <c r="Z115" s="16" t="str">
        <f t="shared" si="28"/>
        <v>saplings_CLUSTER10.csv</v>
      </c>
      <c r="AA115" s="16">
        <f t="shared" si="29"/>
        <v>350</v>
      </c>
      <c r="AB115" s="16" t="str">
        <f t="shared" si="30"/>
        <v>abe/no_mgmt.csv</v>
      </c>
      <c r="AC115" s="16" t="str">
        <f t="shared" si="31"/>
        <v>gis/WindModifier_cl10.asc</v>
      </c>
      <c r="AD115" s="16">
        <f t="shared" si="32"/>
        <v>2.5406658160224897E-6</v>
      </c>
      <c r="AE115" s="16" t="str">
        <f t="shared" si="35"/>
        <v>NCC-NorESM1-M_historical_point37861</v>
      </c>
      <c r="AF115" s="16" t="str">
        <f t="shared" si="33"/>
        <v>wind_Events/Scaled_cl10_repl3.txt</v>
      </c>
      <c r="AG115" s="16" t="str">
        <f t="shared" si="34"/>
        <v>NCC-NorESM1-M_Scaled_Cluster10_repl3</v>
      </c>
      <c r="AH115" s="16" t="s">
        <v>266</v>
      </c>
      <c r="AI115" s="16" t="s">
        <v>267</v>
      </c>
    </row>
    <row r="116" spans="1:35" ht="13.8">
      <c r="A116" s="7" t="str">
        <f t="shared" si="18"/>
        <v>ICHEC-EC-EARTH_Scaled_Cluster10_repl4</v>
      </c>
      <c r="B116" s="8" t="s">
        <v>16</v>
      </c>
      <c r="C116" s="8" t="s">
        <v>54</v>
      </c>
      <c r="D116" s="9" t="s">
        <v>17</v>
      </c>
      <c r="E116" s="9" t="str">
        <f t="shared" si="19"/>
        <v>historical</v>
      </c>
      <c r="F116" s="8">
        <v>350</v>
      </c>
      <c r="G116" s="8" t="s">
        <v>18</v>
      </c>
      <c r="H116" s="8">
        <v>1</v>
      </c>
      <c r="I116" s="8">
        <v>2.5405658160224899E-6</v>
      </c>
      <c r="J116" s="8">
        <v>10</v>
      </c>
      <c r="K116" s="8" t="s">
        <v>164</v>
      </c>
      <c r="L116" s="8">
        <v>4</v>
      </c>
      <c r="M116" s="8"/>
      <c r="N116" s="8">
        <v>1</v>
      </c>
      <c r="O116" s="10" t="s">
        <v>21</v>
      </c>
      <c r="P116" s="17" t="s">
        <v>59</v>
      </c>
      <c r="Q116" s="10" t="str">
        <f t="shared" si="20"/>
        <v>ICHEC-EC-EARTH_Scaled_Cluster10_repl4.sqlite</v>
      </c>
      <c r="R116" s="11">
        <f t="shared" si="21"/>
        <v>10</v>
      </c>
      <c r="S116" s="11">
        <v>0</v>
      </c>
      <c r="T116" s="16" t="str">
        <f t="shared" si="22"/>
        <v>climate_db_ICHEC-EC-EARTH_historical_v4.sqlite</v>
      </c>
      <c r="U116" s="16" t="str">
        <f t="shared" si="23"/>
        <v>log/ICHEC-EC-EARTH_Scaled_Cluster10_repl4.txt</v>
      </c>
      <c r="V116" s="16" t="str">
        <f t="shared" si="24"/>
        <v>init/env_file_CLUSTER10_REPL4_ICHEC-EC-EARTH_historical.csv</v>
      </c>
      <c r="W116" s="16" t="str">
        <f t="shared" si="25"/>
        <v>init/env_grid_CLUSTER10_REPL4.asc</v>
      </c>
      <c r="X116" s="16" t="str">
        <f t="shared" si="26"/>
        <v>init/env_grid_CLUSTER10_REPL4.asc</v>
      </c>
      <c r="Y116" s="16" t="str">
        <f t="shared" si="27"/>
        <v>trees_CLUSTER10.csv</v>
      </c>
      <c r="Z116" s="16" t="str">
        <f t="shared" si="28"/>
        <v>saplings_CLUSTER10.csv</v>
      </c>
      <c r="AA116" s="16">
        <f t="shared" si="29"/>
        <v>350</v>
      </c>
      <c r="AB116" s="16" t="str">
        <f t="shared" si="30"/>
        <v>abe/no_mgmt.csv</v>
      </c>
      <c r="AC116" s="16" t="str">
        <f t="shared" si="31"/>
        <v>gis/WindModifier_cl10.asc</v>
      </c>
      <c r="AD116" s="16">
        <f t="shared" si="32"/>
        <v>2.5406658160224897E-6</v>
      </c>
      <c r="AE116" s="16" t="str">
        <f t="shared" si="35"/>
        <v>ICHEC-EC-EARTH_historical_point38183</v>
      </c>
      <c r="AF116" s="16" t="str">
        <f t="shared" si="33"/>
        <v>wind_Events/Scaled_cl10_repl4.txt</v>
      </c>
      <c r="AG116" s="16" t="str">
        <f t="shared" si="34"/>
        <v>ICHEC-EC-EARTH_Scaled_Cluster10_repl4</v>
      </c>
      <c r="AH116" s="16" t="s">
        <v>268</v>
      </c>
      <c r="AI116" s="16" t="s">
        <v>269</v>
      </c>
    </row>
    <row r="117" spans="1:35" ht="13.8">
      <c r="A117" s="7" t="str">
        <f t="shared" si="18"/>
        <v>MPI-M-MPI-ESM-LR_Scaled_Cluster10_repl4</v>
      </c>
      <c r="B117" s="8" t="s">
        <v>16</v>
      </c>
      <c r="C117" s="8" t="s">
        <v>54</v>
      </c>
      <c r="D117" s="9" t="s">
        <v>17</v>
      </c>
      <c r="E117" s="9" t="str">
        <f t="shared" si="19"/>
        <v>historical</v>
      </c>
      <c r="F117" s="8">
        <v>350</v>
      </c>
      <c r="G117" s="8" t="s">
        <v>63</v>
      </c>
      <c r="H117" s="8">
        <v>2</v>
      </c>
      <c r="I117" s="8">
        <v>2.5405658160224899E-6</v>
      </c>
      <c r="J117" s="8">
        <v>10</v>
      </c>
      <c r="K117" s="8" t="s">
        <v>172</v>
      </c>
      <c r="L117" s="8">
        <v>4</v>
      </c>
      <c r="M117" s="8"/>
      <c r="N117" s="8">
        <v>1</v>
      </c>
      <c r="O117" s="10" t="s">
        <v>21</v>
      </c>
      <c r="P117" s="17" t="s">
        <v>59</v>
      </c>
      <c r="Q117" s="10" t="str">
        <f t="shared" si="20"/>
        <v>MPI-M-MPI-ESM-LR_Scaled_Cluster10_repl4.sqlite</v>
      </c>
      <c r="R117" s="11">
        <f t="shared" si="21"/>
        <v>11</v>
      </c>
      <c r="S117" s="11">
        <v>0</v>
      </c>
      <c r="T117" s="16" t="str">
        <f t="shared" si="22"/>
        <v>climate_db_MPI-M-MPI-ESM-LR_historical_v4.sqlite</v>
      </c>
      <c r="U117" s="16" t="str">
        <f t="shared" si="23"/>
        <v>log/MPI-M-MPI-ESM-LR_Scaled_Cluster10_repl4.txt</v>
      </c>
      <c r="V117" s="16" t="str">
        <f t="shared" si="24"/>
        <v>init/env_file_CLUSTER10_REPL4_MPI-M-MPI-ESM-LR_historical.csv</v>
      </c>
      <c r="W117" s="16" t="str">
        <f t="shared" si="25"/>
        <v>init/env_grid_CLUSTER10_REPL4.asc</v>
      </c>
      <c r="X117" s="16" t="str">
        <f t="shared" si="26"/>
        <v>init/env_grid_CLUSTER10_REPL4.asc</v>
      </c>
      <c r="Y117" s="16" t="str">
        <f t="shared" si="27"/>
        <v>trees_CLUSTER10.csv</v>
      </c>
      <c r="Z117" s="16" t="str">
        <f t="shared" si="28"/>
        <v>saplings_CLUSTER10.csv</v>
      </c>
      <c r="AA117" s="16">
        <f t="shared" si="29"/>
        <v>350</v>
      </c>
      <c r="AB117" s="16" t="str">
        <f t="shared" si="30"/>
        <v>abe/no_mgmt.csv</v>
      </c>
      <c r="AC117" s="16" t="str">
        <f t="shared" si="31"/>
        <v>gis/WindModifier_cl10.asc</v>
      </c>
      <c r="AD117" s="16">
        <f t="shared" si="32"/>
        <v>2.5406658160224897E-6</v>
      </c>
      <c r="AE117" s="16" t="str">
        <f t="shared" si="35"/>
        <v>MPI-M-MPI-ESM-LR_historical_point37861</v>
      </c>
      <c r="AF117" s="16" t="str">
        <f t="shared" si="33"/>
        <v>wind_Events/Scaled_cl10_repl4.txt</v>
      </c>
      <c r="AG117" s="16" t="str">
        <f t="shared" si="34"/>
        <v>MPI-M-MPI-ESM-LR_Scaled_Cluster10_repl4</v>
      </c>
      <c r="AH117" s="16" t="s">
        <v>270</v>
      </c>
      <c r="AI117" s="16" t="s">
        <v>271</v>
      </c>
    </row>
    <row r="118" spans="1:35" ht="13.8">
      <c r="A118" s="7" t="str">
        <f t="shared" si="18"/>
        <v>NCC-NorESM1-M_Scaled_Cluster10_repl4</v>
      </c>
      <c r="B118" s="8" t="s">
        <v>16</v>
      </c>
      <c r="C118" s="8" t="s">
        <v>54</v>
      </c>
      <c r="D118" s="9" t="s">
        <v>17</v>
      </c>
      <c r="E118" s="9" t="str">
        <f t="shared" si="19"/>
        <v>historical</v>
      </c>
      <c r="F118" s="8">
        <v>350</v>
      </c>
      <c r="G118" s="8" t="s">
        <v>60</v>
      </c>
      <c r="H118" s="8">
        <v>3</v>
      </c>
      <c r="I118" s="8">
        <v>2.5405658160224899E-6</v>
      </c>
      <c r="J118" s="8">
        <v>10</v>
      </c>
      <c r="K118" s="8" t="s">
        <v>172</v>
      </c>
      <c r="L118" s="8">
        <v>4</v>
      </c>
      <c r="M118" s="8"/>
      <c r="N118" s="8">
        <v>1</v>
      </c>
      <c r="O118" s="10" t="s">
        <v>21</v>
      </c>
      <c r="P118" s="17" t="s">
        <v>59</v>
      </c>
      <c r="Q118" s="10" t="str">
        <f t="shared" si="20"/>
        <v>NCC-NorESM1-M_Scaled_Cluster10_repl4.sqlite</v>
      </c>
      <c r="R118" s="11">
        <f t="shared" si="21"/>
        <v>12</v>
      </c>
      <c r="S118" s="11">
        <v>0</v>
      </c>
      <c r="T118" s="16" t="str">
        <f t="shared" si="22"/>
        <v>climate_db_NCC-NorESM1-M_historical_v4.sqlite</v>
      </c>
      <c r="U118" s="16" t="str">
        <f t="shared" si="23"/>
        <v>log/NCC-NorESM1-M_Scaled_Cluster10_repl4.txt</v>
      </c>
      <c r="V118" s="16" t="str">
        <f t="shared" si="24"/>
        <v>init/env_file_CLUSTER10_REPL4_NCC-NorESM1-M_historical.csv</v>
      </c>
      <c r="W118" s="16" t="str">
        <f t="shared" si="25"/>
        <v>init/env_grid_CLUSTER10_REPL4.asc</v>
      </c>
      <c r="X118" s="16" t="str">
        <f t="shared" si="26"/>
        <v>init/env_grid_CLUSTER10_REPL4.asc</v>
      </c>
      <c r="Y118" s="16" t="str">
        <f t="shared" si="27"/>
        <v>trees_CLUSTER10.csv</v>
      </c>
      <c r="Z118" s="16" t="str">
        <f t="shared" si="28"/>
        <v>saplings_CLUSTER10.csv</v>
      </c>
      <c r="AA118" s="16">
        <f t="shared" si="29"/>
        <v>350</v>
      </c>
      <c r="AB118" s="16" t="str">
        <f t="shared" si="30"/>
        <v>abe/no_mgmt.csv</v>
      </c>
      <c r="AC118" s="16" t="str">
        <f t="shared" si="31"/>
        <v>gis/WindModifier_cl10.asc</v>
      </c>
      <c r="AD118" s="16">
        <f t="shared" si="32"/>
        <v>2.5406658160224897E-6</v>
      </c>
      <c r="AE118" s="16" t="str">
        <f t="shared" si="35"/>
        <v>NCC-NorESM1-M_historical_point37861</v>
      </c>
      <c r="AF118" s="16" t="str">
        <f t="shared" si="33"/>
        <v>wind_Events/Scaled_cl10_repl4.txt</v>
      </c>
      <c r="AG118" s="16" t="str">
        <f t="shared" si="34"/>
        <v>NCC-NorESM1-M_Scaled_Cluster10_repl4</v>
      </c>
      <c r="AH118" s="16" t="s">
        <v>272</v>
      </c>
      <c r="AI118" s="16" t="s">
        <v>273</v>
      </c>
    </row>
    <row r="119" spans="1:35" ht="13.8">
      <c r="A119" s="7" t="str">
        <f t="shared" si="18"/>
        <v>ICHEC-EC-EARTH_Scaled_Cluster10_repl5</v>
      </c>
      <c r="B119" s="8" t="s">
        <v>16</v>
      </c>
      <c r="C119" s="8" t="s">
        <v>54</v>
      </c>
      <c r="D119" s="9" t="s">
        <v>17</v>
      </c>
      <c r="E119" s="9" t="str">
        <f t="shared" si="19"/>
        <v>historical</v>
      </c>
      <c r="F119" s="8">
        <v>350</v>
      </c>
      <c r="G119" s="8" t="s">
        <v>18</v>
      </c>
      <c r="H119" s="8">
        <v>1</v>
      </c>
      <c r="I119" s="8">
        <v>2.5405658160224899E-6</v>
      </c>
      <c r="J119" s="8">
        <v>10</v>
      </c>
      <c r="K119" s="8" t="s">
        <v>164</v>
      </c>
      <c r="L119" s="8">
        <v>5</v>
      </c>
      <c r="M119" s="8"/>
      <c r="N119" s="8">
        <v>1</v>
      </c>
      <c r="O119" s="10" t="s">
        <v>21</v>
      </c>
      <c r="P119" s="17" t="s">
        <v>59</v>
      </c>
      <c r="Q119" s="10" t="str">
        <f t="shared" si="20"/>
        <v>ICHEC-EC-EARTH_Scaled_Cluster10_repl5.sqlite</v>
      </c>
      <c r="R119" s="11">
        <f t="shared" si="21"/>
        <v>13</v>
      </c>
      <c r="S119" s="11">
        <v>0</v>
      </c>
      <c r="T119" s="16" t="str">
        <f t="shared" si="22"/>
        <v>climate_db_ICHEC-EC-EARTH_historical_v4.sqlite</v>
      </c>
      <c r="U119" s="16" t="str">
        <f t="shared" si="23"/>
        <v>log/ICHEC-EC-EARTH_Scaled_Cluster10_repl5.txt</v>
      </c>
      <c r="V119" s="16" t="str">
        <f t="shared" si="24"/>
        <v>init/env_file_CLUSTER10_REPL5_ICHEC-EC-EARTH_historical.csv</v>
      </c>
      <c r="W119" s="16" t="str">
        <f t="shared" si="25"/>
        <v>init/env_grid_CLUSTER10_REPL5.asc</v>
      </c>
      <c r="X119" s="16" t="str">
        <f t="shared" si="26"/>
        <v>init/env_grid_CLUSTER10_REPL5.asc</v>
      </c>
      <c r="Y119" s="16" t="str">
        <f t="shared" si="27"/>
        <v>trees_CLUSTER10.csv</v>
      </c>
      <c r="Z119" s="16" t="str">
        <f t="shared" si="28"/>
        <v>saplings_CLUSTER10.csv</v>
      </c>
      <c r="AA119" s="16">
        <f t="shared" si="29"/>
        <v>350</v>
      </c>
      <c r="AB119" s="16" t="str">
        <f t="shared" si="30"/>
        <v>abe/no_mgmt.csv</v>
      </c>
      <c r="AC119" s="16" t="str">
        <f t="shared" si="31"/>
        <v>gis/WindModifier_cl10.asc</v>
      </c>
      <c r="AD119" s="16">
        <f t="shared" si="32"/>
        <v>2.5406658160224897E-6</v>
      </c>
      <c r="AE119" s="16" t="str">
        <f t="shared" si="35"/>
        <v>ICHEC-EC-EARTH_historical_point38183</v>
      </c>
      <c r="AF119" s="16" t="str">
        <f t="shared" si="33"/>
        <v>wind_Events/Scaled_cl10_repl5.txt</v>
      </c>
      <c r="AG119" s="16" t="str">
        <f t="shared" si="34"/>
        <v>ICHEC-EC-EARTH_Scaled_Cluster10_repl5</v>
      </c>
      <c r="AH119" s="16" t="s">
        <v>274</v>
      </c>
      <c r="AI119" s="16" t="s">
        <v>275</v>
      </c>
    </row>
    <row r="120" spans="1:35" ht="13.8">
      <c r="A120" s="7" t="str">
        <f t="shared" si="18"/>
        <v>MPI-M-MPI-ESM-LR_Scaled_Cluster10_repl5</v>
      </c>
      <c r="B120" s="8" t="s">
        <v>16</v>
      </c>
      <c r="C120" s="8" t="s">
        <v>54</v>
      </c>
      <c r="D120" s="9" t="s">
        <v>17</v>
      </c>
      <c r="E120" s="9" t="str">
        <f t="shared" si="19"/>
        <v>historical</v>
      </c>
      <c r="F120" s="8">
        <v>350</v>
      </c>
      <c r="G120" s="8" t="s">
        <v>63</v>
      </c>
      <c r="H120" s="8">
        <v>2</v>
      </c>
      <c r="I120" s="8">
        <v>2.5405658160224899E-6</v>
      </c>
      <c r="J120" s="8">
        <v>10</v>
      </c>
      <c r="K120" s="8" t="s">
        <v>172</v>
      </c>
      <c r="L120" s="8">
        <v>5</v>
      </c>
      <c r="M120" s="8"/>
      <c r="N120" s="8">
        <v>1</v>
      </c>
      <c r="O120" s="10" t="s">
        <v>21</v>
      </c>
      <c r="P120" s="17" t="s">
        <v>59</v>
      </c>
      <c r="Q120" s="10" t="str">
        <f t="shared" si="20"/>
        <v>MPI-M-MPI-ESM-LR_Scaled_Cluster10_repl5.sqlite</v>
      </c>
      <c r="R120" s="11">
        <f t="shared" si="21"/>
        <v>14</v>
      </c>
      <c r="S120" s="11">
        <v>0</v>
      </c>
      <c r="T120" s="16" t="str">
        <f t="shared" si="22"/>
        <v>climate_db_MPI-M-MPI-ESM-LR_historical_v4.sqlite</v>
      </c>
      <c r="U120" s="16" t="str">
        <f t="shared" si="23"/>
        <v>log/MPI-M-MPI-ESM-LR_Scaled_Cluster10_repl5.txt</v>
      </c>
      <c r="V120" s="16" t="str">
        <f t="shared" si="24"/>
        <v>init/env_file_CLUSTER10_REPL5_MPI-M-MPI-ESM-LR_historical.csv</v>
      </c>
      <c r="W120" s="16" t="str">
        <f t="shared" si="25"/>
        <v>init/env_grid_CLUSTER10_REPL5.asc</v>
      </c>
      <c r="X120" s="16" t="str">
        <f t="shared" si="26"/>
        <v>init/env_grid_CLUSTER10_REPL5.asc</v>
      </c>
      <c r="Y120" s="16" t="str">
        <f t="shared" si="27"/>
        <v>trees_CLUSTER10.csv</v>
      </c>
      <c r="Z120" s="16" t="str">
        <f t="shared" si="28"/>
        <v>saplings_CLUSTER10.csv</v>
      </c>
      <c r="AA120" s="16">
        <f t="shared" si="29"/>
        <v>350</v>
      </c>
      <c r="AB120" s="16" t="str">
        <f t="shared" si="30"/>
        <v>abe/no_mgmt.csv</v>
      </c>
      <c r="AC120" s="16" t="str">
        <f t="shared" si="31"/>
        <v>gis/WindModifier_cl10.asc</v>
      </c>
      <c r="AD120" s="16">
        <f t="shared" si="32"/>
        <v>2.5406658160224897E-6</v>
      </c>
      <c r="AE120" s="16" t="str">
        <f t="shared" si="35"/>
        <v>MPI-M-MPI-ESM-LR_historical_point37861</v>
      </c>
      <c r="AF120" s="16" t="str">
        <f t="shared" si="33"/>
        <v>wind_Events/Scaled_cl10_repl5.txt</v>
      </c>
      <c r="AG120" s="16" t="str">
        <f t="shared" si="34"/>
        <v>MPI-M-MPI-ESM-LR_Scaled_Cluster10_repl5</v>
      </c>
      <c r="AH120" s="16" t="s">
        <v>276</v>
      </c>
      <c r="AI120" s="16" t="s">
        <v>277</v>
      </c>
    </row>
    <row r="121" spans="1:35" ht="13.8">
      <c r="A121" s="7" t="str">
        <f t="shared" si="18"/>
        <v>NCC-NorESM1-M_Scaled_Cluster10_repl5</v>
      </c>
      <c r="B121" s="8" t="s">
        <v>16</v>
      </c>
      <c r="C121" s="8" t="s">
        <v>54</v>
      </c>
      <c r="D121" s="9" t="s">
        <v>17</v>
      </c>
      <c r="E121" s="9" t="str">
        <f t="shared" si="19"/>
        <v>historical</v>
      </c>
      <c r="F121" s="8">
        <v>350</v>
      </c>
      <c r="G121" s="8" t="s">
        <v>60</v>
      </c>
      <c r="H121" s="8">
        <v>3</v>
      </c>
      <c r="I121" s="8">
        <v>2.5405658160224899E-6</v>
      </c>
      <c r="J121" s="8">
        <v>10</v>
      </c>
      <c r="K121" s="8" t="s">
        <v>172</v>
      </c>
      <c r="L121" s="8">
        <v>5</v>
      </c>
      <c r="M121" s="8"/>
      <c r="N121" s="8">
        <v>1</v>
      </c>
      <c r="O121" s="10" t="s">
        <v>21</v>
      </c>
      <c r="P121" s="17" t="s">
        <v>59</v>
      </c>
      <c r="Q121" s="10" t="str">
        <f t="shared" si="20"/>
        <v>NCC-NorESM1-M_Scaled_Cluster10_repl5.sqlite</v>
      </c>
      <c r="R121" s="11">
        <f t="shared" si="21"/>
        <v>15</v>
      </c>
      <c r="S121" s="11">
        <v>0</v>
      </c>
      <c r="T121" s="16" t="str">
        <f t="shared" si="22"/>
        <v>climate_db_NCC-NorESM1-M_historical_v4.sqlite</v>
      </c>
      <c r="U121" s="16" t="str">
        <f t="shared" si="23"/>
        <v>log/NCC-NorESM1-M_Scaled_Cluster10_repl5.txt</v>
      </c>
      <c r="V121" s="16" t="str">
        <f t="shared" si="24"/>
        <v>init/env_file_CLUSTER10_REPL5_NCC-NorESM1-M_historical.csv</v>
      </c>
      <c r="W121" s="16" t="str">
        <f t="shared" si="25"/>
        <v>init/env_grid_CLUSTER10_REPL5.asc</v>
      </c>
      <c r="X121" s="16" t="str">
        <f t="shared" si="26"/>
        <v>init/env_grid_CLUSTER10_REPL5.asc</v>
      </c>
      <c r="Y121" s="16" t="str">
        <f t="shared" si="27"/>
        <v>trees_CLUSTER10.csv</v>
      </c>
      <c r="Z121" s="16" t="str">
        <f t="shared" si="28"/>
        <v>saplings_CLUSTER10.csv</v>
      </c>
      <c r="AA121" s="16">
        <f t="shared" si="29"/>
        <v>350</v>
      </c>
      <c r="AB121" s="16" t="str">
        <f t="shared" si="30"/>
        <v>abe/no_mgmt.csv</v>
      </c>
      <c r="AC121" s="16" t="str">
        <f t="shared" si="31"/>
        <v>gis/WindModifier_cl10.asc</v>
      </c>
      <c r="AD121" s="16">
        <f t="shared" si="32"/>
        <v>2.5406658160224897E-6</v>
      </c>
      <c r="AE121" s="16" t="str">
        <f t="shared" si="35"/>
        <v>NCC-NorESM1-M_historical_point37861</v>
      </c>
      <c r="AF121" s="16" t="str">
        <f t="shared" si="33"/>
        <v>wind_Events/Scaled_cl10_repl5.txt</v>
      </c>
      <c r="AG121" s="16" t="str">
        <f t="shared" si="34"/>
        <v>NCC-NorESM1-M_Scaled_Cluster10_repl5</v>
      </c>
      <c r="AH121" s="16" t="s">
        <v>278</v>
      </c>
      <c r="AI121" s="16" t="s">
        <v>279</v>
      </c>
    </row>
    <row r="122" spans="1:35" ht="13.8">
      <c r="A122" s="7" t="str">
        <f t="shared" si="18"/>
        <v>ICHEC-EC-EARTH_Scaled_Cluster11_repl1</v>
      </c>
      <c r="B122" s="8" t="s">
        <v>16</v>
      </c>
      <c r="C122" s="8" t="s">
        <v>54</v>
      </c>
      <c r="D122" s="9" t="s">
        <v>17</v>
      </c>
      <c r="E122" s="9" t="str">
        <f t="shared" si="19"/>
        <v>historical</v>
      </c>
      <c r="F122" s="8">
        <v>350</v>
      </c>
      <c r="G122" s="8" t="s">
        <v>18</v>
      </c>
      <c r="H122" s="8">
        <v>1</v>
      </c>
      <c r="I122" s="8">
        <v>1.2451908062161101E-5</v>
      </c>
      <c r="J122" s="8">
        <v>11</v>
      </c>
      <c r="K122" s="8" t="s">
        <v>165</v>
      </c>
      <c r="L122" s="8">
        <v>1</v>
      </c>
      <c r="M122" s="8"/>
      <c r="N122" s="8">
        <v>1</v>
      </c>
      <c r="O122" s="10" t="s">
        <v>21</v>
      </c>
      <c r="P122" s="17" t="s">
        <v>59</v>
      </c>
      <c r="Q122" s="10" t="str">
        <f t="shared" si="20"/>
        <v>ICHEC-EC-EARTH_Scaled_Cluster11_repl1.sqlite</v>
      </c>
      <c r="R122" s="11">
        <f t="shared" si="21"/>
        <v>1</v>
      </c>
      <c r="S122" s="11">
        <v>0</v>
      </c>
      <c r="T122" s="16" t="str">
        <f t="shared" si="22"/>
        <v>climate_db_ICHEC-EC-EARTH_historical_v4.sqlite</v>
      </c>
      <c r="U122" s="16" t="str">
        <f t="shared" si="23"/>
        <v>log/ICHEC-EC-EARTH_Scaled_Cluster11_repl1.txt</v>
      </c>
      <c r="V122" s="16" t="str">
        <f t="shared" si="24"/>
        <v>init/env_file_CLUSTER11_REPL1_ICHEC-EC-EARTH_historical.csv</v>
      </c>
      <c r="W122" s="16" t="str">
        <f t="shared" si="25"/>
        <v>init/env_grid_CLUSTER11_REPL1.asc</v>
      </c>
      <c r="X122" s="16" t="str">
        <f t="shared" si="26"/>
        <v>init/env_grid_CLUSTER11_REPL1.asc</v>
      </c>
      <c r="Y122" s="16" t="str">
        <f t="shared" si="27"/>
        <v>trees_CLUSTER11.csv</v>
      </c>
      <c r="Z122" s="16" t="str">
        <f t="shared" si="28"/>
        <v>saplings_CLUSTER11.csv</v>
      </c>
      <c r="AA122" s="16">
        <f t="shared" si="29"/>
        <v>350</v>
      </c>
      <c r="AB122" s="16" t="str">
        <f t="shared" si="30"/>
        <v>abe/no_mgmt.csv</v>
      </c>
      <c r="AC122" s="16" t="str">
        <f t="shared" si="31"/>
        <v>gis/WindModifier_cl11.asc</v>
      </c>
      <c r="AD122" s="16">
        <f t="shared" si="32"/>
        <v>1.2452008062161101E-5</v>
      </c>
      <c r="AE122" s="16" t="str">
        <f t="shared" si="35"/>
        <v>ICHEC-EC-EARTH_historical_point29711</v>
      </c>
      <c r="AF122" s="16" t="str">
        <f t="shared" si="33"/>
        <v>wind_Events/Scaled_cl11_repl1.txt</v>
      </c>
      <c r="AG122" s="16" t="str">
        <f t="shared" si="34"/>
        <v>ICHEC-EC-EARTH_Scaled_Cluster11_repl1</v>
      </c>
      <c r="AH122" s="16" t="s">
        <v>280</v>
      </c>
      <c r="AI122" s="16" t="s">
        <v>281</v>
      </c>
    </row>
    <row r="123" spans="1:35" ht="13.8">
      <c r="A123" s="7" t="str">
        <f t="shared" si="18"/>
        <v>MPI-M-MPI-ESM-LR_Scaled_Cluster11_repl1</v>
      </c>
      <c r="B123" s="8" t="s">
        <v>16</v>
      </c>
      <c r="C123" s="8" t="s">
        <v>54</v>
      </c>
      <c r="D123" s="9" t="s">
        <v>17</v>
      </c>
      <c r="E123" s="9" t="str">
        <f t="shared" si="19"/>
        <v>historical</v>
      </c>
      <c r="F123" s="8">
        <v>350</v>
      </c>
      <c r="G123" s="8" t="s">
        <v>63</v>
      </c>
      <c r="H123" s="8">
        <v>2</v>
      </c>
      <c r="I123" s="8">
        <v>1.2451908062161101E-5</v>
      </c>
      <c r="J123" s="8">
        <v>11</v>
      </c>
      <c r="K123" s="8" t="s">
        <v>165</v>
      </c>
      <c r="L123" s="8">
        <v>1</v>
      </c>
      <c r="M123" s="8"/>
      <c r="N123" s="8">
        <v>1</v>
      </c>
      <c r="O123" s="10" t="s">
        <v>21</v>
      </c>
      <c r="P123" s="17" t="s">
        <v>59</v>
      </c>
      <c r="Q123" s="10" t="str">
        <f t="shared" si="20"/>
        <v>MPI-M-MPI-ESM-LR_Scaled_Cluster11_repl1.sqlite</v>
      </c>
      <c r="R123" s="11">
        <f t="shared" si="21"/>
        <v>2</v>
      </c>
      <c r="S123" s="11">
        <v>0</v>
      </c>
      <c r="T123" s="16" t="str">
        <f t="shared" si="22"/>
        <v>climate_db_MPI-M-MPI-ESM-LR_historical_v4.sqlite</v>
      </c>
      <c r="U123" s="16" t="str">
        <f t="shared" si="23"/>
        <v>log/MPI-M-MPI-ESM-LR_Scaled_Cluster11_repl1.txt</v>
      </c>
      <c r="V123" s="16" t="str">
        <f t="shared" si="24"/>
        <v>init/env_file_CLUSTER11_REPL1_MPI-M-MPI-ESM-LR_historical.csv</v>
      </c>
      <c r="W123" s="16" t="str">
        <f t="shared" si="25"/>
        <v>init/env_grid_CLUSTER11_REPL1.asc</v>
      </c>
      <c r="X123" s="16" t="str">
        <f t="shared" si="26"/>
        <v>init/env_grid_CLUSTER11_REPL1.asc</v>
      </c>
      <c r="Y123" s="16" t="str">
        <f t="shared" si="27"/>
        <v>trees_CLUSTER11.csv</v>
      </c>
      <c r="Z123" s="16" t="str">
        <f t="shared" si="28"/>
        <v>saplings_CLUSTER11.csv</v>
      </c>
      <c r="AA123" s="16">
        <f t="shared" si="29"/>
        <v>350</v>
      </c>
      <c r="AB123" s="16" t="str">
        <f t="shared" si="30"/>
        <v>abe/no_mgmt.csv</v>
      </c>
      <c r="AC123" s="16" t="str">
        <f t="shared" si="31"/>
        <v>gis/WindModifier_cl11.asc</v>
      </c>
      <c r="AD123" s="16">
        <f t="shared" si="32"/>
        <v>1.2452008062161101E-5</v>
      </c>
      <c r="AE123" s="16" t="str">
        <f t="shared" si="35"/>
        <v>MPI-M-MPI-ESM-LR_historical_point29711</v>
      </c>
      <c r="AF123" s="16" t="str">
        <f t="shared" si="33"/>
        <v>wind_Events/Scaled_cl11_repl1.txt</v>
      </c>
      <c r="AG123" s="16" t="str">
        <f t="shared" si="34"/>
        <v>MPI-M-MPI-ESM-LR_Scaled_Cluster11_repl1</v>
      </c>
      <c r="AH123" s="16" t="s">
        <v>282</v>
      </c>
      <c r="AI123" s="16" t="s">
        <v>283</v>
      </c>
    </row>
    <row r="124" spans="1:35" ht="13.8">
      <c r="A124" s="7" t="str">
        <f t="shared" si="18"/>
        <v>NCC-NorESM1-M_Scaled_Cluster11_repl1</v>
      </c>
      <c r="B124" s="8" t="s">
        <v>16</v>
      </c>
      <c r="C124" s="8" t="s">
        <v>54</v>
      </c>
      <c r="D124" s="9" t="s">
        <v>17</v>
      </c>
      <c r="E124" s="9" t="str">
        <f t="shared" si="19"/>
        <v>historical</v>
      </c>
      <c r="F124" s="8">
        <v>350</v>
      </c>
      <c r="G124" s="8" t="s">
        <v>60</v>
      </c>
      <c r="H124" s="8">
        <v>3</v>
      </c>
      <c r="I124" s="8">
        <v>1.2451908062161101E-5</v>
      </c>
      <c r="J124" s="8">
        <v>11</v>
      </c>
      <c r="K124" s="8" t="s">
        <v>179</v>
      </c>
      <c r="L124" s="8">
        <v>1</v>
      </c>
      <c r="M124" s="8"/>
      <c r="N124" s="8">
        <v>1</v>
      </c>
      <c r="O124" s="10" t="s">
        <v>21</v>
      </c>
      <c r="P124" s="17" t="s">
        <v>59</v>
      </c>
      <c r="Q124" s="10" t="str">
        <f t="shared" si="20"/>
        <v>NCC-NorESM1-M_Scaled_Cluster11_repl1.sqlite</v>
      </c>
      <c r="R124" s="11">
        <f t="shared" si="21"/>
        <v>3</v>
      </c>
      <c r="S124" s="11">
        <v>0</v>
      </c>
      <c r="T124" s="16" t="str">
        <f t="shared" si="22"/>
        <v>climate_db_NCC-NorESM1-M_historical_v4.sqlite</v>
      </c>
      <c r="U124" s="16" t="str">
        <f t="shared" si="23"/>
        <v>log/NCC-NorESM1-M_Scaled_Cluster11_repl1.txt</v>
      </c>
      <c r="V124" s="16" t="str">
        <f t="shared" si="24"/>
        <v>init/env_file_CLUSTER11_REPL1_NCC-NorESM1-M_historical.csv</v>
      </c>
      <c r="W124" s="16" t="str">
        <f t="shared" si="25"/>
        <v>init/env_grid_CLUSTER11_REPL1.asc</v>
      </c>
      <c r="X124" s="16" t="str">
        <f t="shared" si="26"/>
        <v>init/env_grid_CLUSTER11_REPL1.asc</v>
      </c>
      <c r="Y124" s="16" t="str">
        <f t="shared" si="27"/>
        <v>trees_CLUSTER11.csv</v>
      </c>
      <c r="Z124" s="16" t="str">
        <f t="shared" si="28"/>
        <v>saplings_CLUSTER11.csv</v>
      </c>
      <c r="AA124" s="16">
        <f t="shared" si="29"/>
        <v>350</v>
      </c>
      <c r="AB124" s="16" t="str">
        <f t="shared" si="30"/>
        <v>abe/no_mgmt.csv</v>
      </c>
      <c r="AC124" s="16" t="str">
        <f t="shared" si="31"/>
        <v>gis/WindModifier_cl11.asc</v>
      </c>
      <c r="AD124" s="16">
        <f t="shared" si="32"/>
        <v>1.2452008062161101E-5</v>
      </c>
      <c r="AE124" s="16" t="str">
        <f t="shared" si="35"/>
        <v>NCC-NorESM1-M_historical_point31713</v>
      </c>
      <c r="AF124" s="16" t="str">
        <f t="shared" si="33"/>
        <v>wind_Events/Scaled_cl11_repl1.txt</v>
      </c>
      <c r="AG124" s="16" t="str">
        <f t="shared" si="34"/>
        <v>NCC-NorESM1-M_Scaled_Cluster11_repl1</v>
      </c>
      <c r="AH124" s="16" t="s">
        <v>284</v>
      </c>
      <c r="AI124" s="16" t="s">
        <v>285</v>
      </c>
    </row>
    <row r="125" spans="1:35" ht="13.8">
      <c r="A125" s="7" t="str">
        <f t="shared" si="18"/>
        <v>ICHEC-EC-EARTH_Scaled_Cluster11_repl2</v>
      </c>
      <c r="B125" s="8" t="s">
        <v>16</v>
      </c>
      <c r="C125" s="8" t="s">
        <v>54</v>
      </c>
      <c r="D125" s="9" t="s">
        <v>17</v>
      </c>
      <c r="E125" s="9" t="str">
        <f t="shared" si="19"/>
        <v>historical</v>
      </c>
      <c r="F125" s="8">
        <v>350</v>
      </c>
      <c r="G125" s="8" t="s">
        <v>18</v>
      </c>
      <c r="H125" s="8">
        <v>1</v>
      </c>
      <c r="I125" s="8">
        <v>1.2451908062161101E-5</v>
      </c>
      <c r="J125" s="8">
        <v>11</v>
      </c>
      <c r="K125" s="8" t="s">
        <v>165</v>
      </c>
      <c r="L125" s="8">
        <v>2</v>
      </c>
      <c r="M125" s="8"/>
      <c r="N125" s="8">
        <v>1</v>
      </c>
      <c r="O125" s="10" t="s">
        <v>21</v>
      </c>
      <c r="P125" s="17" t="s">
        <v>59</v>
      </c>
      <c r="Q125" s="10" t="str">
        <f t="shared" si="20"/>
        <v>ICHEC-EC-EARTH_Scaled_Cluster11_repl2.sqlite</v>
      </c>
      <c r="R125" s="11">
        <f t="shared" si="21"/>
        <v>4</v>
      </c>
      <c r="S125" s="11">
        <v>0</v>
      </c>
      <c r="T125" s="16" t="str">
        <f t="shared" si="22"/>
        <v>climate_db_ICHEC-EC-EARTH_historical_v4.sqlite</v>
      </c>
      <c r="U125" s="16" t="str">
        <f t="shared" si="23"/>
        <v>log/ICHEC-EC-EARTH_Scaled_Cluster11_repl2.txt</v>
      </c>
      <c r="V125" s="16" t="str">
        <f t="shared" si="24"/>
        <v>init/env_file_CLUSTER11_REPL2_ICHEC-EC-EARTH_historical.csv</v>
      </c>
      <c r="W125" s="16" t="str">
        <f t="shared" si="25"/>
        <v>init/env_grid_CLUSTER11_REPL2.asc</v>
      </c>
      <c r="X125" s="16" t="str">
        <f t="shared" si="26"/>
        <v>init/env_grid_CLUSTER11_REPL2.asc</v>
      </c>
      <c r="Y125" s="16" t="str">
        <f t="shared" si="27"/>
        <v>trees_CLUSTER11.csv</v>
      </c>
      <c r="Z125" s="16" t="str">
        <f t="shared" si="28"/>
        <v>saplings_CLUSTER11.csv</v>
      </c>
      <c r="AA125" s="16">
        <f t="shared" si="29"/>
        <v>350</v>
      </c>
      <c r="AB125" s="16" t="str">
        <f t="shared" si="30"/>
        <v>abe/no_mgmt.csv</v>
      </c>
      <c r="AC125" s="16" t="str">
        <f t="shared" si="31"/>
        <v>gis/WindModifier_cl11.asc</v>
      </c>
      <c r="AD125" s="16">
        <f t="shared" si="32"/>
        <v>1.2452008062161101E-5</v>
      </c>
      <c r="AE125" s="16" t="str">
        <f t="shared" si="35"/>
        <v>ICHEC-EC-EARTH_historical_point29711</v>
      </c>
      <c r="AF125" s="16" t="str">
        <f t="shared" si="33"/>
        <v>wind_Events/Scaled_cl11_repl2.txt</v>
      </c>
      <c r="AG125" s="16" t="str">
        <f t="shared" si="34"/>
        <v>ICHEC-EC-EARTH_Scaled_Cluster11_repl2</v>
      </c>
      <c r="AH125" s="16" t="s">
        <v>286</v>
      </c>
      <c r="AI125" s="16" t="s">
        <v>287</v>
      </c>
    </row>
    <row r="126" spans="1:35" ht="13.8">
      <c r="A126" s="7" t="str">
        <f t="shared" si="18"/>
        <v>MPI-M-MPI-ESM-LR_Scaled_Cluster11_repl2</v>
      </c>
      <c r="B126" s="8" t="s">
        <v>16</v>
      </c>
      <c r="C126" s="8" t="s">
        <v>54</v>
      </c>
      <c r="D126" s="9" t="s">
        <v>17</v>
      </c>
      <c r="E126" s="9" t="str">
        <f t="shared" si="19"/>
        <v>historical</v>
      </c>
      <c r="F126" s="8">
        <v>350</v>
      </c>
      <c r="G126" s="8" t="s">
        <v>63</v>
      </c>
      <c r="H126" s="8">
        <v>2</v>
      </c>
      <c r="I126" s="8">
        <v>1.2451908062161101E-5</v>
      </c>
      <c r="J126" s="8">
        <v>11</v>
      </c>
      <c r="K126" s="8" t="s">
        <v>165</v>
      </c>
      <c r="L126" s="8">
        <v>2</v>
      </c>
      <c r="M126" s="8"/>
      <c r="N126" s="8">
        <v>1</v>
      </c>
      <c r="O126" s="10" t="s">
        <v>21</v>
      </c>
      <c r="P126" s="17" t="s">
        <v>59</v>
      </c>
      <c r="Q126" s="10" t="str">
        <f t="shared" si="20"/>
        <v>MPI-M-MPI-ESM-LR_Scaled_Cluster11_repl2.sqlite</v>
      </c>
      <c r="R126" s="11">
        <f t="shared" si="21"/>
        <v>5</v>
      </c>
      <c r="S126" s="11">
        <v>0</v>
      </c>
      <c r="T126" s="16" t="str">
        <f t="shared" si="22"/>
        <v>climate_db_MPI-M-MPI-ESM-LR_historical_v4.sqlite</v>
      </c>
      <c r="U126" s="16" t="str">
        <f t="shared" si="23"/>
        <v>log/MPI-M-MPI-ESM-LR_Scaled_Cluster11_repl2.txt</v>
      </c>
      <c r="V126" s="16" t="str">
        <f t="shared" si="24"/>
        <v>init/env_file_CLUSTER11_REPL2_MPI-M-MPI-ESM-LR_historical.csv</v>
      </c>
      <c r="W126" s="16" t="str">
        <f t="shared" si="25"/>
        <v>init/env_grid_CLUSTER11_REPL2.asc</v>
      </c>
      <c r="X126" s="16" t="str">
        <f t="shared" si="26"/>
        <v>init/env_grid_CLUSTER11_REPL2.asc</v>
      </c>
      <c r="Y126" s="16" t="str">
        <f t="shared" si="27"/>
        <v>trees_CLUSTER11.csv</v>
      </c>
      <c r="Z126" s="16" t="str">
        <f t="shared" si="28"/>
        <v>saplings_CLUSTER11.csv</v>
      </c>
      <c r="AA126" s="16">
        <f t="shared" si="29"/>
        <v>350</v>
      </c>
      <c r="AB126" s="16" t="str">
        <f t="shared" si="30"/>
        <v>abe/no_mgmt.csv</v>
      </c>
      <c r="AC126" s="16" t="str">
        <f t="shared" si="31"/>
        <v>gis/WindModifier_cl11.asc</v>
      </c>
      <c r="AD126" s="16">
        <f t="shared" si="32"/>
        <v>1.2452008062161101E-5</v>
      </c>
      <c r="AE126" s="16" t="str">
        <f t="shared" si="35"/>
        <v>MPI-M-MPI-ESM-LR_historical_point29711</v>
      </c>
      <c r="AF126" s="16" t="str">
        <f t="shared" si="33"/>
        <v>wind_Events/Scaled_cl11_repl2.txt</v>
      </c>
      <c r="AG126" s="16" t="str">
        <f t="shared" si="34"/>
        <v>MPI-M-MPI-ESM-LR_Scaled_Cluster11_repl2</v>
      </c>
      <c r="AH126" s="16" t="s">
        <v>288</v>
      </c>
      <c r="AI126" s="16" t="s">
        <v>289</v>
      </c>
    </row>
    <row r="127" spans="1:35" ht="13.8">
      <c r="A127" s="7" t="str">
        <f t="shared" si="18"/>
        <v>NCC-NorESM1-M_Scaled_Cluster11_repl2</v>
      </c>
      <c r="B127" s="8" t="s">
        <v>16</v>
      </c>
      <c r="C127" s="8" t="s">
        <v>54</v>
      </c>
      <c r="D127" s="9" t="s">
        <v>17</v>
      </c>
      <c r="E127" s="9" t="str">
        <f t="shared" si="19"/>
        <v>historical</v>
      </c>
      <c r="F127" s="8">
        <v>350</v>
      </c>
      <c r="G127" s="8" t="s">
        <v>60</v>
      </c>
      <c r="H127" s="8">
        <v>3</v>
      </c>
      <c r="I127" s="8">
        <v>1.2451908062161101E-5</v>
      </c>
      <c r="J127" s="8">
        <v>11</v>
      </c>
      <c r="K127" s="8" t="s">
        <v>179</v>
      </c>
      <c r="L127" s="8">
        <v>2</v>
      </c>
      <c r="M127" s="8"/>
      <c r="N127" s="8">
        <v>1</v>
      </c>
      <c r="O127" s="10" t="s">
        <v>21</v>
      </c>
      <c r="P127" s="17" t="s">
        <v>59</v>
      </c>
      <c r="Q127" s="10" t="str">
        <f t="shared" si="20"/>
        <v>NCC-NorESM1-M_Scaled_Cluster11_repl2.sqlite</v>
      </c>
      <c r="R127" s="11">
        <f t="shared" si="21"/>
        <v>6</v>
      </c>
      <c r="S127" s="11">
        <v>0</v>
      </c>
      <c r="T127" s="16" t="str">
        <f t="shared" si="22"/>
        <v>climate_db_NCC-NorESM1-M_historical_v4.sqlite</v>
      </c>
      <c r="U127" s="16" t="str">
        <f t="shared" si="23"/>
        <v>log/NCC-NorESM1-M_Scaled_Cluster11_repl2.txt</v>
      </c>
      <c r="V127" s="16" t="str">
        <f t="shared" si="24"/>
        <v>init/env_file_CLUSTER11_REPL2_NCC-NorESM1-M_historical.csv</v>
      </c>
      <c r="W127" s="16" t="str">
        <f t="shared" si="25"/>
        <v>init/env_grid_CLUSTER11_REPL2.asc</v>
      </c>
      <c r="X127" s="16" t="str">
        <f t="shared" si="26"/>
        <v>init/env_grid_CLUSTER11_REPL2.asc</v>
      </c>
      <c r="Y127" s="16" t="str">
        <f t="shared" si="27"/>
        <v>trees_CLUSTER11.csv</v>
      </c>
      <c r="Z127" s="16" t="str">
        <f t="shared" si="28"/>
        <v>saplings_CLUSTER11.csv</v>
      </c>
      <c r="AA127" s="16">
        <f t="shared" si="29"/>
        <v>350</v>
      </c>
      <c r="AB127" s="16" t="str">
        <f t="shared" si="30"/>
        <v>abe/no_mgmt.csv</v>
      </c>
      <c r="AC127" s="16" t="str">
        <f t="shared" si="31"/>
        <v>gis/WindModifier_cl11.asc</v>
      </c>
      <c r="AD127" s="16">
        <f t="shared" si="32"/>
        <v>1.2452008062161101E-5</v>
      </c>
      <c r="AE127" s="16" t="str">
        <f t="shared" si="35"/>
        <v>NCC-NorESM1-M_historical_point31713</v>
      </c>
      <c r="AF127" s="16" t="str">
        <f t="shared" si="33"/>
        <v>wind_Events/Scaled_cl11_repl2.txt</v>
      </c>
      <c r="AG127" s="16" t="str">
        <f t="shared" si="34"/>
        <v>NCC-NorESM1-M_Scaled_Cluster11_repl2</v>
      </c>
      <c r="AH127" s="16" t="s">
        <v>290</v>
      </c>
      <c r="AI127" s="16" t="s">
        <v>291</v>
      </c>
    </row>
    <row r="128" spans="1:35" ht="13.8">
      <c r="A128" s="7" t="str">
        <f t="shared" si="18"/>
        <v>ICHEC-EC-EARTH_Scaled_Cluster11_repl3</v>
      </c>
      <c r="B128" s="8" t="s">
        <v>16</v>
      </c>
      <c r="C128" s="8" t="s">
        <v>54</v>
      </c>
      <c r="D128" s="9" t="s">
        <v>17</v>
      </c>
      <c r="E128" s="9" t="str">
        <f t="shared" si="19"/>
        <v>historical</v>
      </c>
      <c r="F128" s="8">
        <v>350</v>
      </c>
      <c r="G128" s="8" t="s">
        <v>18</v>
      </c>
      <c r="H128" s="8">
        <v>1</v>
      </c>
      <c r="I128" s="8">
        <v>1.2451908062161101E-5</v>
      </c>
      <c r="J128" s="8">
        <v>11</v>
      </c>
      <c r="K128" s="8" t="s">
        <v>165</v>
      </c>
      <c r="L128" s="8">
        <v>3</v>
      </c>
      <c r="M128" s="8"/>
      <c r="N128" s="8">
        <v>1</v>
      </c>
      <c r="O128" s="10" t="s">
        <v>21</v>
      </c>
      <c r="P128" s="17" t="s">
        <v>59</v>
      </c>
      <c r="Q128" s="10" t="str">
        <f t="shared" si="20"/>
        <v>ICHEC-EC-EARTH_Scaled_Cluster11_repl3.sqlite</v>
      </c>
      <c r="R128" s="11">
        <f t="shared" si="21"/>
        <v>7</v>
      </c>
      <c r="S128" s="11">
        <v>0</v>
      </c>
      <c r="T128" s="16" t="str">
        <f t="shared" si="22"/>
        <v>climate_db_ICHEC-EC-EARTH_historical_v4.sqlite</v>
      </c>
      <c r="U128" s="16" t="str">
        <f t="shared" si="23"/>
        <v>log/ICHEC-EC-EARTH_Scaled_Cluster11_repl3.txt</v>
      </c>
      <c r="V128" s="16" t="str">
        <f t="shared" si="24"/>
        <v>init/env_file_CLUSTER11_REPL3_ICHEC-EC-EARTH_historical.csv</v>
      </c>
      <c r="W128" s="16" t="str">
        <f t="shared" si="25"/>
        <v>init/env_grid_CLUSTER11_REPL3.asc</v>
      </c>
      <c r="X128" s="16" t="str">
        <f t="shared" si="26"/>
        <v>init/env_grid_CLUSTER11_REPL3.asc</v>
      </c>
      <c r="Y128" s="16" t="str">
        <f t="shared" si="27"/>
        <v>trees_CLUSTER11.csv</v>
      </c>
      <c r="Z128" s="16" t="str">
        <f t="shared" si="28"/>
        <v>saplings_CLUSTER11.csv</v>
      </c>
      <c r="AA128" s="16">
        <f t="shared" si="29"/>
        <v>350</v>
      </c>
      <c r="AB128" s="16" t="str">
        <f t="shared" si="30"/>
        <v>abe/no_mgmt.csv</v>
      </c>
      <c r="AC128" s="16" t="str">
        <f t="shared" si="31"/>
        <v>gis/WindModifier_cl11.asc</v>
      </c>
      <c r="AD128" s="16">
        <f t="shared" si="32"/>
        <v>1.2452008062161101E-5</v>
      </c>
      <c r="AE128" s="16" t="str">
        <f t="shared" si="35"/>
        <v>ICHEC-EC-EARTH_historical_point29711</v>
      </c>
      <c r="AF128" s="16" t="str">
        <f t="shared" si="33"/>
        <v>wind_Events/Scaled_cl11_repl3.txt</v>
      </c>
      <c r="AG128" s="16" t="str">
        <f t="shared" si="34"/>
        <v>ICHEC-EC-EARTH_Scaled_Cluster11_repl3</v>
      </c>
      <c r="AH128" s="16" t="s">
        <v>292</v>
      </c>
      <c r="AI128" s="16" t="s">
        <v>293</v>
      </c>
    </row>
    <row r="129" spans="1:35" ht="13.8">
      <c r="A129" s="7" t="str">
        <f t="shared" si="18"/>
        <v>MPI-M-MPI-ESM-LR_Scaled_Cluster11_repl3</v>
      </c>
      <c r="B129" s="8" t="s">
        <v>16</v>
      </c>
      <c r="C129" s="8" t="s">
        <v>54</v>
      </c>
      <c r="D129" s="9" t="s">
        <v>17</v>
      </c>
      <c r="E129" s="9" t="str">
        <f t="shared" si="19"/>
        <v>historical</v>
      </c>
      <c r="F129" s="8">
        <v>350</v>
      </c>
      <c r="G129" s="8" t="s">
        <v>63</v>
      </c>
      <c r="H129" s="8">
        <v>2</v>
      </c>
      <c r="I129" s="8">
        <v>1.2451908062161101E-5</v>
      </c>
      <c r="J129" s="8">
        <v>11</v>
      </c>
      <c r="K129" s="8" t="s">
        <v>165</v>
      </c>
      <c r="L129" s="8">
        <v>3</v>
      </c>
      <c r="M129" s="8"/>
      <c r="N129" s="8">
        <v>1</v>
      </c>
      <c r="O129" s="10" t="s">
        <v>21</v>
      </c>
      <c r="P129" s="17" t="s">
        <v>59</v>
      </c>
      <c r="Q129" s="10" t="str">
        <f t="shared" si="20"/>
        <v>MPI-M-MPI-ESM-LR_Scaled_Cluster11_repl3.sqlite</v>
      </c>
      <c r="R129" s="11">
        <f t="shared" si="21"/>
        <v>8</v>
      </c>
      <c r="S129" s="11">
        <v>0</v>
      </c>
      <c r="T129" s="16" t="str">
        <f t="shared" si="22"/>
        <v>climate_db_MPI-M-MPI-ESM-LR_historical_v4.sqlite</v>
      </c>
      <c r="U129" s="16" t="str">
        <f t="shared" si="23"/>
        <v>log/MPI-M-MPI-ESM-LR_Scaled_Cluster11_repl3.txt</v>
      </c>
      <c r="V129" s="16" t="str">
        <f t="shared" si="24"/>
        <v>init/env_file_CLUSTER11_REPL3_MPI-M-MPI-ESM-LR_historical.csv</v>
      </c>
      <c r="W129" s="16" t="str">
        <f t="shared" si="25"/>
        <v>init/env_grid_CLUSTER11_REPL3.asc</v>
      </c>
      <c r="X129" s="16" t="str">
        <f t="shared" si="26"/>
        <v>init/env_grid_CLUSTER11_REPL3.asc</v>
      </c>
      <c r="Y129" s="16" t="str">
        <f t="shared" si="27"/>
        <v>trees_CLUSTER11.csv</v>
      </c>
      <c r="Z129" s="16" t="str">
        <f t="shared" si="28"/>
        <v>saplings_CLUSTER11.csv</v>
      </c>
      <c r="AA129" s="16">
        <f t="shared" si="29"/>
        <v>350</v>
      </c>
      <c r="AB129" s="16" t="str">
        <f t="shared" si="30"/>
        <v>abe/no_mgmt.csv</v>
      </c>
      <c r="AC129" s="16" t="str">
        <f t="shared" si="31"/>
        <v>gis/WindModifier_cl11.asc</v>
      </c>
      <c r="AD129" s="16">
        <f t="shared" si="32"/>
        <v>1.2452008062161101E-5</v>
      </c>
      <c r="AE129" s="16" t="str">
        <f t="shared" si="35"/>
        <v>MPI-M-MPI-ESM-LR_historical_point29711</v>
      </c>
      <c r="AF129" s="16" t="str">
        <f t="shared" si="33"/>
        <v>wind_Events/Scaled_cl11_repl3.txt</v>
      </c>
      <c r="AG129" s="16" t="str">
        <f t="shared" si="34"/>
        <v>MPI-M-MPI-ESM-LR_Scaled_Cluster11_repl3</v>
      </c>
      <c r="AH129" s="16" t="s">
        <v>294</v>
      </c>
      <c r="AI129" s="16" t="s">
        <v>295</v>
      </c>
    </row>
    <row r="130" spans="1:35" ht="13.8">
      <c r="A130" s="7" t="str">
        <f t="shared" ref="A130:A193" si="36" xml:space="preserve"> G130 &amp; "_" &amp; C130 &amp;"Cluster" &amp; J130 &amp; "_repl" &amp; L130</f>
        <v>NCC-NorESM1-M_Scaled_Cluster11_repl3</v>
      </c>
      <c r="B130" s="8" t="s">
        <v>16</v>
      </c>
      <c r="C130" s="8" t="s">
        <v>54</v>
      </c>
      <c r="D130" s="9" t="s">
        <v>17</v>
      </c>
      <c r="E130" s="9" t="str">
        <f t="shared" ref="E130:E193" si="37">IF(D130="historical", "historical", IF(D130="RCP26", "rcp_2_6", IF(D130="RCP45", "rcp_4_5", "rcp_8_5")))</f>
        <v>historical</v>
      </c>
      <c r="F130" s="8">
        <v>350</v>
      </c>
      <c r="G130" s="8" t="s">
        <v>60</v>
      </c>
      <c r="H130" s="8">
        <v>3</v>
      </c>
      <c r="I130" s="8">
        <v>1.2451908062161101E-5</v>
      </c>
      <c r="J130" s="8">
        <v>11</v>
      </c>
      <c r="K130" s="8" t="s">
        <v>179</v>
      </c>
      <c r="L130" s="8">
        <v>3</v>
      </c>
      <c r="M130" s="8"/>
      <c r="N130" s="8">
        <v>1</v>
      </c>
      <c r="O130" s="10" t="s">
        <v>21</v>
      </c>
      <c r="P130" s="17" t="s">
        <v>59</v>
      </c>
      <c r="Q130" s="10" t="str">
        <f t="shared" ref="Q130:Q193" si="38">A130  &amp; ".sqlite"</f>
        <v>NCC-NorESM1-M_Scaled_Cluster11_repl3.sqlite</v>
      </c>
      <c r="R130" s="11">
        <f t="shared" ref="R130:R193" si="39">(L130-1)*3+H130</f>
        <v>9</v>
      </c>
      <c r="S130" s="11">
        <v>0</v>
      </c>
      <c r="T130" s="16" t="str">
        <f t="shared" ref="T130:T193" si="40">"climate_db_" &amp; G130&amp; "_" &amp;  E130&amp; "_v4.sqlite"</f>
        <v>climate_db_NCC-NorESM1-M_historical_v4.sqlite</v>
      </c>
      <c r="U130" s="16" t="str">
        <f t="shared" ref="U130:U193" si="41">"log/" &amp;A130  &amp; ".txt"</f>
        <v>log/NCC-NorESM1-M_Scaled_Cluster11_repl3.txt</v>
      </c>
      <c r="V130" s="16" t="str">
        <f t="shared" ref="V130:V193" si="42">"init/env_file_CLUSTER" &amp; TEXT(J130, "00") &amp; "_REPL" &amp; L130 &amp; "_" &amp; G130 &amp; "_" &amp; E130 &amp; ".csv"</f>
        <v>init/env_file_CLUSTER11_REPL3_NCC-NorESM1-M_historical.csv</v>
      </c>
      <c r="W130" s="16" t="str">
        <f t="shared" ref="W130:W193" si="43">"init/env_grid_CLUSTER" &amp; TEXT(J130, "00") &amp; "_REPL" &amp; L130 &amp; ".asc"</f>
        <v>init/env_grid_CLUSTER11_REPL3.asc</v>
      </c>
      <c r="X130" s="16" t="str">
        <f t="shared" ref="X130:X193" si="44">W130</f>
        <v>init/env_grid_CLUSTER11_REPL3.asc</v>
      </c>
      <c r="Y130" s="16" t="str">
        <f t="shared" ref="Y130:Y193" si="45">"trees_CLUSTER" &amp; TEXT(J130, "00")  &amp; ".csv"</f>
        <v>trees_CLUSTER11.csv</v>
      </c>
      <c r="Z130" s="16" t="str">
        <f t="shared" ref="Z130:Z193" si="46">"saplings_CLUSTER" &amp; TEXT(J130, "00")  &amp; ".csv"</f>
        <v>saplings_CLUSTER11.csv</v>
      </c>
      <c r="AA130" s="16">
        <f t="shared" ref="AA130:AA193" si="47">F130</f>
        <v>350</v>
      </c>
      <c r="AB130" s="16" t="str">
        <f t="shared" ref="AB130:AB193" si="48">"abe/no_mgmt.csv"</f>
        <v>abe/no_mgmt.csv</v>
      </c>
      <c r="AC130" s="16" t="str">
        <f t="shared" ref="AC130:AC193" si="49">"gis/WindModifier_cl" &amp; J130 &amp; ".asc"</f>
        <v>gis/WindModifier_cl11.asc</v>
      </c>
      <c r="AD130" s="16">
        <f t="shared" ref="AD130:AD193" si="50">IF(C130="Scaled_", I130+0.0000000001,  0.000685)</f>
        <v>1.2452008062161101E-5</v>
      </c>
      <c r="AE130" s="16" t="str">
        <f t="shared" si="35"/>
        <v>NCC-NorESM1-M_historical_point31713</v>
      </c>
      <c r="AF130" s="16" t="str">
        <f t="shared" ref="AF130:AF193" si="51">"wind_Events/" &amp; C130 &amp; "cl" &amp; J130 &amp; "_repl" &amp; L130 &amp; ".txt"</f>
        <v>wind_Events/Scaled_cl11_repl3.txt</v>
      </c>
      <c r="AG130" s="16" t="str">
        <f t="shared" ref="AG130:AG193" si="52">A130</f>
        <v>NCC-NorESM1-M_Scaled_Cluster11_repl3</v>
      </c>
      <c r="AH130" s="16" t="s">
        <v>296</v>
      </c>
      <c r="AI130" s="16" t="s">
        <v>297</v>
      </c>
    </row>
    <row r="131" spans="1:35" ht="13.8">
      <c r="A131" s="7" t="str">
        <f t="shared" si="36"/>
        <v>ICHEC-EC-EARTH_Scaled_Cluster11_repl4</v>
      </c>
      <c r="B131" s="8" t="s">
        <v>16</v>
      </c>
      <c r="C131" s="8" t="s">
        <v>54</v>
      </c>
      <c r="D131" s="9" t="s">
        <v>17</v>
      </c>
      <c r="E131" s="9" t="str">
        <f t="shared" si="37"/>
        <v>historical</v>
      </c>
      <c r="F131" s="8">
        <v>350</v>
      </c>
      <c r="G131" s="8" t="s">
        <v>18</v>
      </c>
      <c r="H131" s="8">
        <v>1</v>
      </c>
      <c r="I131" s="8">
        <v>1.2451908062161101E-5</v>
      </c>
      <c r="J131" s="8">
        <v>11</v>
      </c>
      <c r="K131" s="8" t="s">
        <v>165</v>
      </c>
      <c r="L131" s="8">
        <v>4</v>
      </c>
      <c r="M131" s="8"/>
      <c r="N131" s="8">
        <v>1</v>
      </c>
      <c r="O131" s="10" t="s">
        <v>21</v>
      </c>
      <c r="P131" s="17" t="s">
        <v>59</v>
      </c>
      <c r="Q131" s="10" t="str">
        <f t="shared" si="38"/>
        <v>ICHEC-EC-EARTH_Scaled_Cluster11_repl4.sqlite</v>
      </c>
      <c r="R131" s="11">
        <f t="shared" si="39"/>
        <v>10</v>
      </c>
      <c r="S131" s="11">
        <v>0</v>
      </c>
      <c r="T131" s="16" t="str">
        <f t="shared" si="40"/>
        <v>climate_db_ICHEC-EC-EARTH_historical_v4.sqlite</v>
      </c>
      <c r="U131" s="16" t="str">
        <f t="shared" si="41"/>
        <v>log/ICHEC-EC-EARTH_Scaled_Cluster11_repl4.txt</v>
      </c>
      <c r="V131" s="16" t="str">
        <f t="shared" si="42"/>
        <v>init/env_file_CLUSTER11_REPL4_ICHEC-EC-EARTH_historical.csv</v>
      </c>
      <c r="W131" s="16" t="str">
        <f t="shared" si="43"/>
        <v>init/env_grid_CLUSTER11_REPL4.asc</v>
      </c>
      <c r="X131" s="16" t="str">
        <f t="shared" si="44"/>
        <v>init/env_grid_CLUSTER11_REPL4.asc</v>
      </c>
      <c r="Y131" s="16" t="str">
        <f t="shared" si="45"/>
        <v>trees_CLUSTER11.csv</v>
      </c>
      <c r="Z131" s="16" t="str">
        <f t="shared" si="46"/>
        <v>saplings_CLUSTER11.csv</v>
      </c>
      <c r="AA131" s="16">
        <f t="shared" si="47"/>
        <v>350</v>
      </c>
      <c r="AB131" s="16" t="str">
        <f t="shared" si="48"/>
        <v>abe/no_mgmt.csv</v>
      </c>
      <c r="AC131" s="16" t="str">
        <f t="shared" si="49"/>
        <v>gis/WindModifier_cl11.asc</v>
      </c>
      <c r="AD131" s="16">
        <f t="shared" si="50"/>
        <v>1.2452008062161101E-5</v>
      </c>
      <c r="AE131" s="16" t="str">
        <f t="shared" ref="AE131:AE194" si="53">G131 &amp; "_" &amp; E131 &amp; "_point" &amp; K131</f>
        <v>ICHEC-EC-EARTH_historical_point29711</v>
      </c>
      <c r="AF131" s="16" t="str">
        <f t="shared" si="51"/>
        <v>wind_Events/Scaled_cl11_repl4.txt</v>
      </c>
      <c r="AG131" s="16" t="str">
        <f t="shared" si="52"/>
        <v>ICHEC-EC-EARTH_Scaled_Cluster11_repl4</v>
      </c>
      <c r="AH131" s="16" t="s">
        <v>298</v>
      </c>
      <c r="AI131" s="16" t="s">
        <v>299</v>
      </c>
    </row>
    <row r="132" spans="1:35" ht="13.8">
      <c r="A132" s="7" t="str">
        <f t="shared" si="36"/>
        <v>MPI-M-MPI-ESM-LR_Scaled_Cluster11_repl4</v>
      </c>
      <c r="B132" s="8" t="s">
        <v>16</v>
      </c>
      <c r="C132" s="8" t="s">
        <v>54</v>
      </c>
      <c r="D132" s="9" t="s">
        <v>17</v>
      </c>
      <c r="E132" s="9" t="str">
        <f t="shared" si="37"/>
        <v>historical</v>
      </c>
      <c r="F132" s="8">
        <v>350</v>
      </c>
      <c r="G132" s="8" t="s">
        <v>63</v>
      </c>
      <c r="H132" s="8">
        <v>2</v>
      </c>
      <c r="I132" s="8">
        <v>1.2451908062161101E-5</v>
      </c>
      <c r="J132" s="8">
        <v>11</v>
      </c>
      <c r="K132" s="8" t="s">
        <v>165</v>
      </c>
      <c r="L132" s="8">
        <v>4</v>
      </c>
      <c r="M132" s="8"/>
      <c r="N132" s="8">
        <v>1</v>
      </c>
      <c r="O132" s="10" t="s">
        <v>21</v>
      </c>
      <c r="P132" s="17" t="s">
        <v>59</v>
      </c>
      <c r="Q132" s="10" t="str">
        <f t="shared" si="38"/>
        <v>MPI-M-MPI-ESM-LR_Scaled_Cluster11_repl4.sqlite</v>
      </c>
      <c r="R132" s="11">
        <f t="shared" si="39"/>
        <v>11</v>
      </c>
      <c r="S132" s="11">
        <v>0</v>
      </c>
      <c r="T132" s="16" t="str">
        <f t="shared" si="40"/>
        <v>climate_db_MPI-M-MPI-ESM-LR_historical_v4.sqlite</v>
      </c>
      <c r="U132" s="16" t="str">
        <f t="shared" si="41"/>
        <v>log/MPI-M-MPI-ESM-LR_Scaled_Cluster11_repl4.txt</v>
      </c>
      <c r="V132" s="16" t="str">
        <f t="shared" si="42"/>
        <v>init/env_file_CLUSTER11_REPL4_MPI-M-MPI-ESM-LR_historical.csv</v>
      </c>
      <c r="W132" s="16" t="str">
        <f t="shared" si="43"/>
        <v>init/env_grid_CLUSTER11_REPL4.asc</v>
      </c>
      <c r="X132" s="16" t="str">
        <f t="shared" si="44"/>
        <v>init/env_grid_CLUSTER11_REPL4.asc</v>
      </c>
      <c r="Y132" s="16" t="str">
        <f t="shared" si="45"/>
        <v>trees_CLUSTER11.csv</v>
      </c>
      <c r="Z132" s="16" t="str">
        <f t="shared" si="46"/>
        <v>saplings_CLUSTER11.csv</v>
      </c>
      <c r="AA132" s="16">
        <f t="shared" si="47"/>
        <v>350</v>
      </c>
      <c r="AB132" s="16" t="str">
        <f t="shared" si="48"/>
        <v>abe/no_mgmt.csv</v>
      </c>
      <c r="AC132" s="16" t="str">
        <f t="shared" si="49"/>
        <v>gis/WindModifier_cl11.asc</v>
      </c>
      <c r="AD132" s="16">
        <f t="shared" si="50"/>
        <v>1.2452008062161101E-5</v>
      </c>
      <c r="AE132" s="16" t="str">
        <f t="shared" si="53"/>
        <v>MPI-M-MPI-ESM-LR_historical_point29711</v>
      </c>
      <c r="AF132" s="16" t="str">
        <f t="shared" si="51"/>
        <v>wind_Events/Scaled_cl11_repl4.txt</v>
      </c>
      <c r="AG132" s="16" t="str">
        <f t="shared" si="52"/>
        <v>MPI-M-MPI-ESM-LR_Scaled_Cluster11_repl4</v>
      </c>
      <c r="AH132" s="16" t="s">
        <v>300</v>
      </c>
      <c r="AI132" s="16" t="s">
        <v>301</v>
      </c>
    </row>
    <row r="133" spans="1:35" ht="13.8">
      <c r="A133" s="7" t="str">
        <f t="shared" si="36"/>
        <v>NCC-NorESM1-M_Scaled_Cluster11_repl4</v>
      </c>
      <c r="B133" s="8" t="s">
        <v>16</v>
      </c>
      <c r="C133" s="8" t="s">
        <v>54</v>
      </c>
      <c r="D133" s="9" t="s">
        <v>17</v>
      </c>
      <c r="E133" s="9" t="str">
        <f t="shared" si="37"/>
        <v>historical</v>
      </c>
      <c r="F133" s="8">
        <v>350</v>
      </c>
      <c r="G133" s="8" t="s">
        <v>60</v>
      </c>
      <c r="H133" s="8">
        <v>3</v>
      </c>
      <c r="I133" s="8">
        <v>1.2451908062161101E-5</v>
      </c>
      <c r="J133" s="8">
        <v>11</v>
      </c>
      <c r="K133" s="8" t="s">
        <v>179</v>
      </c>
      <c r="L133" s="8">
        <v>4</v>
      </c>
      <c r="M133" s="8"/>
      <c r="N133" s="8">
        <v>1</v>
      </c>
      <c r="O133" s="10" t="s">
        <v>21</v>
      </c>
      <c r="P133" s="17" t="s">
        <v>59</v>
      </c>
      <c r="Q133" s="10" t="str">
        <f t="shared" si="38"/>
        <v>NCC-NorESM1-M_Scaled_Cluster11_repl4.sqlite</v>
      </c>
      <c r="R133" s="11">
        <f t="shared" si="39"/>
        <v>12</v>
      </c>
      <c r="S133" s="11">
        <v>0</v>
      </c>
      <c r="T133" s="16" t="str">
        <f t="shared" si="40"/>
        <v>climate_db_NCC-NorESM1-M_historical_v4.sqlite</v>
      </c>
      <c r="U133" s="16" t="str">
        <f t="shared" si="41"/>
        <v>log/NCC-NorESM1-M_Scaled_Cluster11_repl4.txt</v>
      </c>
      <c r="V133" s="16" t="str">
        <f t="shared" si="42"/>
        <v>init/env_file_CLUSTER11_REPL4_NCC-NorESM1-M_historical.csv</v>
      </c>
      <c r="W133" s="16" t="str">
        <f t="shared" si="43"/>
        <v>init/env_grid_CLUSTER11_REPL4.asc</v>
      </c>
      <c r="X133" s="16" t="str">
        <f t="shared" si="44"/>
        <v>init/env_grid_CLUSTER11_REPL4.asc</v>
      </c>
      <c r="Y133" s="16" t="str">
        <f t="shared" si="45"/>
        <v>trees_CLUSTER11.csv</v>
      </c>
      <c r="Z133" s="16" t="str">
        <f t="shared" si="46"/>
        <v>saplings_CLUSTER11.csv</v>
      </c>
      <c r="AA133" s="16">
        <f t="shared" si="47"/>
        <v>350</v>
      </c>
      <c r="AB133" s="16" t="str">
        <f t="shared" si="48"/>
        <v>abe/no_mgmt.csv</v>
      </c>
      <c r="AC133" s="16" t="str">
        <f t="shared" si="49"/>
        <v>gis/WindModifier_cl11.asc</v>
      </c>
      <c r="AD133" s="16">
        <f t="shared" si="50"/>
        <v>1.2452008062161101E-5</v>
      </c>
      <c r="AE133" s="16" t="str">
        <f t="shared" si="53"/>
        <v>NCC-NorESM1-M_historical_point31713</v>
      </c>
      <c r="AF133" s="16" t="str">
        <f t="shared" si="51"/>
        <v>wind_Events/Scaled_cl11_repl4.txt</v>
      </c>
      <c r="AG133" s="16" t="str">
        <f t="shared" si="52"/>
        <v>NCC-NorESM1-M_Scaled_Cluster11_repl4</v>
      </c>
      <c r="AH133" s="16" t="s">
        <v>302</v>
      </c>
      <c r="AI133" s="16" t="s">
        <v>303</v>
      </c>
    </row>
    <row r="134" spans="1:35" ht="13.8">
      <c r="A134" s="7" t="str">
        <f t="shared" si="36"/>
        <v>ICHEC-EC-EARTH_Scaled_Cluster11_repl5</v>
      </c>
      <c r="B134" s="8" t="s">
        <v>16</v>
      </c>
      <c r="C134" s="8" t="s">
        <v>54</v>
      </c>
      <c r="D134" s="9" t="s">
        <v>17</v>
      </c>
      <c r="E134" s="9" t="str">
        <f t="shared" si="37"/>
        <v>historical</v>
      </c>
      <c r="F134" s="8">
        <v>350</v>
      </c>
      <c r="G134" s="8" t="s">
        <v>18</v>
      </c>
      <c r="H134" s="8">
        <v>1</v>
      </c>
      <c r="I134" s="8">
        <v>1.2451908062161101E-5</v>
      </c>
      <c r="J134" s="8">
        <v>11</v>
      </c>
      <c r="K134" s="8" t="s">
        <v>165</v>
      </c>
      <c r="L134" s="8">
        <v>5</v>
      </c>
      <c r="M134" s="8"/>
      <c r="N134" s="8">
        <v>1</v>
      </c>
      <c r="O134" s="10" t="s">
        <v>21</v>
      </c>
      <c r="P134" s="17" t="s">
        <v>59</v>
      </c>
      <c r="Q134" s="10" t="str">
        <f t="shared" si="38"/>
        <v>ICHEC-EC-EARTH_Scaled_Cluster11_repl5.sqlite</v>
      </c>
      <c r="R134" s="11">
        <f t="shared" si="39"/>
        <v>13</v>
      </c>
      <c r="S134" s="11">
        <v>0</v>
      </c>
      <c r="T134" s="16" t="str">
        <f t="shared" si="40"/>
        <v>climate_db_ICHEC-EC-EARTH_historical_v4.sqlite</v>
      </c>
      <c r="U134" s="16" t="str">
        <f t="shared" si="41"/>
        <v>log/ICHEC-EC-EARTH_Scaled_Cluster11_repl5.txt</v>
      </c>
      <c r="V134" s="16" t="str">
        <f t="shared" si="42"/>
        <v>init/env_file_CLUSTER11_REPL5_ICHEC-EC-EARTH_historical.csv</v>
      </c>
      <c r="W134" s="16" t="str">
        <f t="shared" si="43"/>
        <v>init/env_grid_CLUSTER11_REPL5.asc</v>
      </c>
      <c r="X134" s="16" t="str">
        <f t="shared" si="44"/>
        <v>init/env_grid_CLUSTER11_REPL5.asc</v>
      </c>
      <c r="Y134" s="16" t="str">
        <f t="shared" si="45"/>
        <v>trees_CLUSTER11.csv</v>
      </c>
      <c r="Z134" s="16" t="str">
        <f t="shared" si="46"/>
        <v>saplings_CLUSTER11.csv</v>
      </c>
      <c r="AA134" s="16">
        <f t="shared" si="47"/>
        <v>350</v>
      </c>
      <c r="AB134" s="16" t="str">
        <f t="shared" si="48"/>
        <v>abe/no_mgmt.csv</v>
      </c>
      <c r="AC134" s="16" t="str">
        <f t="shared" si="49"/>
        <v>gis/WindModifier_cl11.asc</v>
      </c>
      <c r="AD134" s="16">
        <f t="shared" si="50"/>
        <v>1.2452008062161101E-5</v>
      </c>
      <c r="AE134" s="16" t="str">
        <f t="shared" si="53"/>
        <v>ICHEC-EC-EARTH_historical_point29711</v>
      </c>
      <c r="AF134" s="16" t="str">
        <f t="shared" si="51"/>
        <v>wind_Events/Scaled_cl11_repl5.txt</v>
      </c>
      <c r="AG134" s="16" t="str">
        <f t="shared" si="52"/>
        <v>ICHEC-EC-EARTH_Scaled_Cluster11_repl5</v>
      </c>
      <c r="AH134" s="16" t="s">
        <v>304</v>
      </c>
      <c r="AI134" s="16" t="s">
        <v>305</v>
      </c>
    </row>
    <row r="135" spans="1:35" ht="13.8">
      <c r="A135" s="7" t="str">
        <f t="shared" si="36"/>
        <v>MPI-M-MPI-ESM-LR_Scaled_Cluster11_repl5</v>
      </c>
      <c r="B135" s="8" t="s">
        <v>16</v>
      </c>
      <c r="C135" s="8" t="s">
        <v>54</v>
      </c>
      <c r="D135" s="9" t="s">
        <v>17</v>
      </c>
      <c r="E135" s="9" t="str">
        <f t="shared" si="37"/>
        <v>historical</v>
      </c>
      <c r="F135" s="8">
        <v>350</v>
      </c>
      <c r="G135" s="8" t="s">
        <v>63</v>
      </c>
      <c r="H135" s="8">
        <v>2</v>
      </c>
      <c r="I135" s="8">
        <v>1.2451908062161101E-5</v>
      </c>
      <c r="J135" s="8">
        <v>11</v>
      </c>
      <c r="K135" s="8" t="s">
        <v>165</v>
      </c>
      <c r="L135" s="8">
        <v>5</v>
      </c>
      <c r="M135" s="8"/>
      <c r="N135" s="8">
        <v>1</v>
      </c>
      <c r="O135" s="10" t="s">
        <v>21</v>
      </c>
      <c r="P135" s="17" t="s">
        <v>59</v>
      </c>
      <c r="Q135" s="10" t="str">
        <f t="shared" si="38"/>
        <v>MPI-M-MPI-ESM-LR_Scaled_Cluster11_repl5.sqlite</v>
      </c>
      <c r="R135" s="11">
        <f t="shared" si="39"/>
        <v>14</v>
      </c>
      <c r="S135" s="11">
        <v>0</v>
      </c>
      <c r="T135" s="16" t="str">
        <f t="shared" si="40"/>
        <v>climate_db_MPI-M-MPI-ESM-LR_historical_v4.sqlite</v>
      </c>
      <c r="U135" s="16" t="str">
        <f t="shared" si="41"/>
        <v>log/MPI-M-MPI-ESM-LR_Scaled_Cluster11_repl5.txt</v>
      </c>
      <c r="V135" s="16" t="str">
        <f t="shared" si="42"/>
        <v>init/env_file_CLUSTER11_REPL5_MPI-M-MPI-ESM-LR_historical.csv</v>
      </c>
      <c r="W135" s="16" t="str">
        <f t="shared" si="43"/>
        <v>init/env_grid_CLUSTER11_REPL5.asc</v>
      </c>
      <c r="X135" s="16" t="str">
        <f t="shared" si="44"/>
        <v>init/env_grid_CLUSTER11_REPL5.asc</v>
      </c>
      <c r="Y135" s="16" t="str">
        <f t="shared" si="45"/>
        <v>trees_CLUSTER11.csv</v>
      </c>
      <c r="Z135" s="16" t="str">
        <f t="shared" si="46"/>
        <v>saplings_CLUSTER11.csv</v>
      </c>
      <c r="AA135" s="16">
        <f t="shared" si="47"/>
        <v>350</v>
      </c>
      <c r="AB135" s="16" t="str">
        <f t="shared" si="48"/>
        <v>abe/no_mgmt.csv</v>
      </c>
      <c r="AC135" s="16" t="str">
        <f t="shared" si="49"/>
        <v>gis/WindModifier_cl11.asc</v>
      </c>
      <c r="AD135" s="16">
        <f t="shared" si="50"/>
        <v>1.2452008062161101E-5</v>
      </c>
      <c r="AE135" s="16" t="str">
        <f t="shared" si="53"/>
        <v>MPI-M-MPI-ESM-LR_historical_point29711</v>
      </c>
      <c r="AF135" s="16" t="str">
        <f t="shared" si="51"/>
        <v>wind_Events/Scaled_cl11_repl5.txt</v>
      </c>
      <c r="AG135" s="16" t="str">
        <f t="shared" si="52"/>
        <v>MPI-M-MPI-ESM-LR_Scaled_Cluster11_repl5</v>
      </c>
      <c r="AH135" s="16" t="s">
        <v>306</v>
      </c>
      <c r="AI135" s="16" t="s">
        <v>307</v>
      </c>
    </row>
    <row r="136" spans="1:35" ht="13.8">
      <c r="A136" s="7" t="str">
        <f t="shared" si="36"/>
        <v>NCC-NorESM1-M_Scaled_Cluster11_repl5</v>
      </c>
      <c r="B136" s="8" t="s">
        <v>16</v>
      </c>
      <c r="C136" s="8" t="s">
        <v>54</v>
      </c>
      <c r="D136" s="9" t="s">
        <v>17</v>
      </c>
      <c r="E136" s="9" t="str">
        <f t="shared" si="37"/>
        <v>historical</v>
      </c>
      <c r="F136" s="8">
        <v>350</v>
      </c>
      <c r="G136" s="8" t="s">
        <v>60</v>
      </c>
      <c r="H136" s="8">
        <v>3</v>
      </c>
      <c r="I136" s="8">
        <v>1.2451908062161101E-5</v>
      </c>
      <c r="J136" s="8">
        <v>11</v>
      </c>
      <c r="K136" s="8" t="s">
        <v>179</v>
      </c>
      <c r="L136" s="8">
        <v>5</v>
      </c>
      <c r="M136" s="8"/>
      <c r="N136" s="8">
        <v>1</v>
      </c>
      <c r="O136" s="10" t="s">
        <v>21</v>
      </c>
      <c r="P136" s="17" t="s">
        <v>59</v>
      </c>
      <c r="Q136" s="10" t="str">
        <f t="shared" si="38"/>
        <v>NCC-NorESM1-M_Scaled_Cluster11_repl5.sqlite</v>
      </c>
      <c r="R136" s="11">
        <f t="shared" si="39"/>
        <v>15</v>
      </c>
      <c r="S136" s="11">
        <v>0</v>
      </c>
      <c r="T136" s="16" t="str">
        <f t="shared" si="40"/>
        <v>climate_db_NCC-NorESM1-M_historical_v4.sqlite</v>
      </c>
      <c r="U136" s="16" t="str">
        <f t="shared" si="41"/>
        <v>log/NCC-NorESM1-M_Scaled_Cluster11_repl5.txt</v>
      </c>
      <c r="V136" s="16" t="str">
        <f t="shared" si="42"/>
        <v>init/env_file_CLUSTER11_REPL5_NCC-NorESM1-M_historical.csv</v>
      </c>
      <c r="W136" s="16" t="str">
        <f t="shared" si="43"/>
        <v>init/env_grid_CLUSTER11_REPL5.asc</v>
      </c>
      <c r="X136" s="16" t="str">
        <f t="shared" si="44"/>
        <v>init/env_grid_CLUSTER11_REPL5.asc</v>
      </c>
      <c r="Y136" s="16" t="str">
        <f t="shared" si="45"/>
        <v>trees_CLUSTER11.csv</v>
      </c>
      <c r="Z136" s="16" t="str">
        <f t="shared" si="46"/>
        <v>saplings_CLUSTER11.csv</v>
      </c>
      <c r="AA136" s="16">
        <f t="shared" si="47"/>
        <v>350</v>
      </c>
      <c r="AB136" s="16" t="str">
        <f t="shared" si="48"/>
        <v>abe/no_mgmt.csv</v>
      </c>
      <c r="AC136" s="16" t="str">
        <f t="shared" si="49"/>
        <v>gis/WindModifier_cl11.asc</v>
      </c>
      <c r="AD136" s="16">
        <f t="shared" si="50"/>
        <v>1.2452008062161101E-5</v>
      </c>
      <c r="AE136" s="16" t="str">
        <f t="shared" si="53"/>
        <v>NCC-NorESM1-M_historical_point31713</v>
      </c>
      <c r="AF136" s="16" t="str">
        <f t="shared" si="51"/>
        <v>wind_Events/Scaled_cl11_repl5.txt</v>
      </c>
      <c r="AG136" s="16" t="str">
        <f t="shared" si="52"/>
        <v>NCC-NorESM1-M_Scaled_Cluster11_repl5</v>
      </c>
      <c r="AH136" s="16" t="s">
        <v>308</v>
      </c>
      <c r="AI136" s="16" t="s">
        <v>309</v>
      </c>
    </row>
    <row r="137" spans="1:35" ht="13.8">
      <c r="A137" s="7" t="str">
        <f t="shared" si="36"/>
        <v>ICHEC-EC-EARTH_Scaled_Cluster12_repl1</v>
      </c>
      <c r="B137" s="8" t="s">
        <v>16</v>
      </c>
      <c r="C137" s="8" t="s">
        <v>54</v>
      </c>
      <c r="D137" s="9" t="s">
        <v>17</v>
      </c>
      <c r="E137" s="9" t="str">
        <f t="shared" si="37"/>
        <v>historical</v>
      </c>
      <c r="F137" s="8">
        <v>350</v>
      </c>
      <c r="G137" s="8" t="s">
        <v>18</v>
      </c>
      <c r="H137" s="8">
        <v>1</v>
      </c>
      <c r="I137" s="8">
        <v>5.7344370827609102E-6</v>
      </c>
      <c r="J137" s="8">
        <v>12</v>
      </c>
      <c r="K137" s="8" t="s">
        <v>166</v>
      </c>
      <c r="L137" s="8">
        <v>1</v>
      </c>
      <c r="M137" s="8"/>
      <c r="N137" s="8">
        <v>1</v>
      </c>
      <c r="O137" s="10" t="s">
        <v>21</v>
      </c>
      <c r="P137" s="17" t="s">
        <v>59</v>
      </c>
      <c r="Q137" s="10" t="str">
        <f t="shared" si="38"/>
        <v>ICHEC-EC-EARTH_Scaled_Cluster12_repl1.sqlite</v>
      </c>
      <c r="R137" s="11">
        <f t="shared" si="39"/>
        <v>1</v>
      </c>
      <c r="S137" s="11">
        <v>0</v>
      </c>
      <c r="T137" s="16" t="str">
        <f t="shared" si="40"/>
        <v>climate_db_ICHEC-EC-EARTH_historical_v4.sqlite</v>
      </c>
      <c r="U137" s="16" t="str">
        <f t="shared" si="41"/>
        <v>log/ICHEC-EC-EARTH_Scaled_Cluster12_repl1.txt</v>
      </c>
      <c r="V137" s="16" t="str">
        <f t="shared" si="42"/>
        <v>init/env_file_CLUSTER12_REPL1_ICHEC-EC-EARTH_historical.csv</v>
      </c>
      <c r="W137" s="16" t="str">
        <f t="shared" si="43"/>
        <v>init/env_grid_CLUSTER12_REPL1.asc</v>
      </c>
      <c r="X137" s="16" t="str">
        <f t="shared" si="44"/>
        <v>init/env_grid_CLUSTER12_REPL1.asc</v>
      </c>
      <c r="Y137" s="16" t="str">
        <f t="shared" si="45"/>
        <v>trees_CLUSTER12.csv</v>
      </c>
      <c r="Z137" s="16" t="str">
        <f t="shared" si="46"/>
        <v>saplings_CLUSTER12.csv</v>
      </c>
      <c r="AA137" s="16">
        <f t="shared" si="47"/>
        <v>350</v>
      </c>
      <c r="AB137" s="16" t="str">
        <f t="shared" si="48"/>
        <v>abe/no_mgmt.csv</v>
      </c>
      <c r="AC137" s="16" t="str">
        <f t="shared" si="49"/>
        <v>gis/WindModifier_cl12.asc</v>
      </c>
      <c r="AD137" s="16">
        <f t="shared" si="50"/>
        <v>5.7345370827609104E-6</v>
      </c>
      <c r="AE137" s="16" t="str">
        <f t="shared" si="53"/>
        <v>ICHEC-EC-EARTH_historical_point32670</v>
      </c>
      <c r="AF137" s="16" t="str">
        <f t="shared" si="51"/>
        <v>wind_Events/Scaled_cl12_repl1.txt</v>
      </c>
      <c r="AG137" s="16" t="str">
        <f t="shared" si="52"/>
        <v>ICHEC-EC-EARTH_Scaled_Cluster12_repl1</v>
      </c>
      <c r="AH137" s="16" t="s">
        <v>310</v>
      </c>
      <c r="AI137" s="16" t="s">
        <v>311</v>
      </c>
    </row>
    <row r="138" spans="1:35" ht="13.8">
      <c r="A138" s="7" t="str">
        <f t="shared" si="36"/>
        <v>MPI-M-MPI-ESM-LR_Scaled_Cluster12_repl1</v>
      </c>
      <c r="B138" s="8" t="s">
        <v>16</v>
      </c>
      <c r="C138" s="8" t="s">
        <v>54</v>
      </c>
      <c r="D138" s="9" t="s">
        <v>17</v>
      </c>
      <c r="E138" s="9" t="str">
        <f t="shared" si="37"/>
        <v>historical</v>
      </c>
      <c r="F138" s="8">
        <v>350</v>
      </c>
      <c r="G138" s="8" t="s">
        <v>63</v>
      </c>
      <c r="H138" s="8">
        <v>2</v>
      </c>
      <c r="I138" s="8">
        <v>5.7344370827609102E-6</v>
      </c>
      <c r="J138" s="8">
        <v>12</v>
      </c>
      <c r="K138" s="8" t="s">
        <v>166</v>
      </c>
      <c r="L138" s="8">
        <v>1</v>
      </c>
      <c r="M138" s="8"/>
      <c r="N138" s="8">
        <v>1</v>
      </c>
      <c r="O138" s="10" t="s">
        <v>21</v>
      </c>
      <c r="P138" s="17" t="s">
        <v>59</v>
      </c>
      <c r="Q138" s="10" t="str">
        <f t="shared" si="38"/>
        <v>MPI-M-MPI-ESM-LR_Scaled_Cluster12_repl1.sqlite</v>
      </c>
      <c r="R138" s="11">
        <f t="shared" si="39"/>
        <v>2</v>
      </c>
      <c r="S138" s="11">
        <v>0</v>
      </c>
      <c r="T138" s="16" t="str">
        <f t="shared" si="40"/>
        <v>climate_db_MPI-M-MPI-ESM-LR_historical_v4.sqlite</v>
      </c>
      <c r="U138" s="16" t="str">
        <f t="shared" si="41"/>
        <v>log/MPI-M-MPI-ESM-LR_Scaled_Cluster12_repl1.txt</v>
      </c>
      <c r="V138" s="16" t="str">
        <f t="shared" si="42"/>
        <v>init/env_file_CLUSTER12_REPL1_MPI-M-MPI-ESM-LR_historical.csv</v>
      </c>
      <c r="W138" s="16" t="str">
        <f t="shared" si="43"/>
        <v>init/env_grid_CLUSTER12_REPL1.asc</v>
      </c>
      <c r="X138" s="16" t="str">
        <f t="shared" si="44"/>
        <v>init/env_grid_CLUSTER12_REPL1.asc</v>
      </c>
      <c r="Y138" s="16" t="str">
        <f t="shared" si="45"/>
        <v>trees_CLUSTER12.csv</v>
      </c>
      <c r="Z138" s="16" t="str">
        <f t="shared" si="46"/>
        <v>saplings_CLUSTER12.csv</v>
      </c>
      <c r="AA138" s="16">
        <f t="shared" si="47"/>
        <v>350</v>
      </c>
      <c r="AB138" s="16" t="str">
        <f t="shared" si="48"/>
        <v>abe/no_mgmt.csv</v>
      </c>
      <c r="AC138" s="16" t="str">
        <f t="shared" si="49"/>
        <v>gis/WindModifier_cl12.asc</v>
      </c>
      <c r="AD138" s="16">
        <f t="shared" si="50"/>
        <v>5.7345370827609104E-6</v>
      </c>
      <c r="AE138" s="16" t="str">
        <f t="shared" si="53"/>
        <v>MPI-M-MPI-ESM-LR_historical_point32670</v>
      </c>
      <c r="AF138" s="16" t="str">
        <f t="shared" si="51"/>
        <v>wind_Events/Scaled_cl12_repl1.txt</v>
      </c>
      <c r="AG138" s="16" t="str">
        <f t="shared" si="52"/>
        <v>MPI-M-MPI-ESM-LR_Scaled_Cluster12_repl1</v>
      </c>
      <c r="AH138" s="16" t="s">
        <v>312</v>
      </c>
      <c r="AI138" s="16" t="s">
        <v>313</v>
      </c>
    </row>
    <row r="139" spans="1:35" ht="13.8">
      <c r="A139" s="7" t="str">
        <f t="shared" si="36"/>
        <v>NCC-NorESM1-M_Scaled_Cluster12_repl1</v>
      </c>
      <c r="B139" s="8" t="s">
        <v>16</v>
      </c>
      <c r="C139" s="8" t="s">
        <v>54</v>
      </c>
      <c r="D139" s="9" t="s">
        <v>17</v>
      </c>
      <c r="E139" s="9" t="str">
        <f t="shared" si="37"/>
        <v>historical</v>
      </c>
      <c r="F139" s="8">
        <v>350</v>
      </c>
      <c r="G139" s="8" t="s">
        <v>60</v>
      </c>
      <c r="H139" s="8">
        <v>3</v>
      </c>
      <c r="I139" s="8">
        <v>5.7344370827609102E-6</v>
      </c>
      <c r="J139" s="8">
        <v>12</v>
      </c>
      <c r="K139" s="8" t="s">
        <v>166</v>
      </c>
      <c r="L139" s="8">
        <v>1</v>
      </c>
      <c r="M139" s="8"/>
      <c r="N139" s="8">
        <v>1</v>
      </c>
      <c r="O139" s="10" t="s">
        <v>21</v>
      </c>
      <c r="P139" s="17" t="s">
        <v>59</v>
      </c>
      <c r="Q139" s="10" t="str">
        <f t="shared" si="38"/>
        <v>NCC-NorESM1-M_Scaled_Cluster12_repl1.sqlite</v>
      </c>
      <c r="R139" s="11">
        <f t="shared" si="39"/>
        <v>3</v>
      </c>
      <c r="S139" s="11">
        <v>0</v>
      </c>
      <c r="T139" s="16" t="str">
        <f t="shared" si="40"/>
        <v>climate_db_NCC-NorESM1-M_historical_v4.sqlite</v>
      </c>
      <c r="U139" s="16" t="str">
        <f t="shared" si="41"/>
        <v>log/NCC-NorESM1-M_Scaled_Cluster12_repl1.txt</v>
      </c>
      <c r="V139" s="16" t="str">
        <f t="shared" si="42"/>
        <v>init/env_file_CLUSTER12_REPL1_NCC-NorESM1-M_historical.csv</v>
      </c>
      <c r="W139" s="16" t="str">
        <f t="shared" si="43"/>
        <v>init/env_grid_CLUSTER12_REPL1.asc</v>
      </c>
      <c r="X139" s="16" t="str">
        <f t="shared" si="44"/>
        <v>init/env_grid_CLUSTER12_REPL1.asc</v>
      </c>
      <c r="Y139" s="16" t="str">
        <f t="shared" si="45"/>
        <v>trees_CLUSTER12.csv</v>
      </c>
      <c r="Z139" s="16" t="str">
        <f t="shared" si="46"/>
        <v>saplings_CLUSTER12.csv</v>
      </c>
      <c r="AA139" s="16">
        <f t="shared" si="47"/>
        <v>350</v>
      </c>
      <c r="AB139" s="16" t="str">
        <f t="shared" si="48"/>
        <v>abe/no_mgmt.csv</v>
      </c>
      <c r="AC139" s="16" t="str">
        <f t="shared" si="49"/>
        <v>gis/WindModifier_cl12.asc</v>
      </c>
      <c r="AD139" s="16">
        <f t="shared" si="50"/>
        <v>5.7345370827609104E-6</v>
      </c>
      <c r="AE139" s="16" t="str">
        <f t="shared" si="53"/>
        <v>NCC-NorESM1-M_historical_point32670</v>
      </c>
      <c r="AF139" s="16" t="str">
        <f t="shared" si="51"/>
        <v>wind_Events/Scaled_cl12_repl1.txt</v>
      </c>
      <c r="AG139" s="16" t="str">
        <f t="shared" si="52"/>
        <v>NCC-NorESM1-M_Scaled_Cluster12_repl1</v>
      </c>
      <c r="AH139" s="16" t="s">
        <v>314</v>
      </c>
      <c r="AI139" s="16" t="s">
        <v>315</v>
      </c>
    </row>
    <row r="140" spans="1:35" ht="13.8">
      <c r="A140" s="7" t="str">
        <f t="shared" si="36"/>
        <v>ICHEC-EC-EARTH_Scaled_Cluster12_repl2</v>
      </c>
      <c r="B140" s="8" t="s">
        <v>16</v>
      </c>
      <c r="C140" s="8" t="s">
        <v>54</v>
      </c>
      <c r="D140" s="9" t="s">
        <v>17</v>
      </c>
      <c r="E140" s="9" t="str">
        <f t="shared" si="37"/>
        <v>historical</v>
      </c>
      <c r="F140" s="8">
        <v>350</v>
      </c>
      <c r="G140" s="8" t="s">
        <v>18</v>
      </c>
      <c r="H140" s="8">
        <v>1</v>
      </c>
      <c r="I140" s="8">
        <v>5.7344370827609102E-6</v>
      </c>
      <c r="J140" s="8">
        <v>12</v>
      </c>
      <c r="K140" s="8" t="s">
        <v>166</v>
      </c>
      <c r="L140" s="8">
        <v>2</v>
      </c>
      <c r="M140" s="8"/>
      <c r="N140" s="8">
        <v>1</v>
      </c>
      <c r="O140" s="10" t="s">
        <v>21</v>
      </c>
      <c r="P140" s="17" t="s">
        <v>59</v>
      </c>
      <c r="Q140" s="10" t="str">
        <f t="shared" si="38"/>
        <v>ICHEC-EC-EARTH_Scaled_Cluster12_repl2.sqlite</v>
      </c>
      <c r="R140" s="11">
        <f t="shared" si="39"/>
        <v>4</v>
      </c>
      <c r="S140" s="11">
        <v>0</v>
      </c>
      <c r="T140" s="16" t="str">
        <f t="shared" si="40"/>
        <v>climate_db_ICHEC-EC-EARTH_historical_v4.sqlite</v>
      </c>
      <c r="U140" s="16" t="str">
        <f t="shared" si="41"/>
        <v>log/ICHEC-EC-EARTH_Scaled_Cluster12_repl2.txt</v>
      </c>
      <c r="V140" s="16" t="str">
        <f t="shared" si="42"/>
        <v>init/env_file_CLUSTER12_REPL2_ICHEC-EC-EARTH_historical.csv</v>
      </c>
      <c r="W140" s="16" t="str">
        <f t="shared" si="43"/>
        <v>init/env_grid_CLUSTER12_REPL2.asc</v>
      </c>
      <c r="X140" s="16" t="str">
        <f t="shared" si="44"/>
        <v>init/env_grid_CLUSTER12_REPL2.asc</v>
      </c>
      <c r="Y140" s="16" t="str">
        <f t="shared" si="45"/>
        <v>trees_CLUSTER12.csv</v>
      </c>
      <c r="Z140" s="16" t="str">
        <f t="shared" si="46"/>
        <v>saplings_CLUSTER12.csv</v>
      </c>
      <c r="AA140" s="16">
        <f t="shared" si="47"/>
        <v>350</v>
      </c>
      <c r="AB140" s="16" t="str">
        <f t="shared" si="48"/>
        <v>abe/no_mgmt.csv</v>
      </c>
      <c r="AC140" s="16" t="str">
        <f t="shared" si="49"/>
        <v>gis/WindModifier_cl12.asc</v>
      </c>
      <c r="AD140" s="16">
        <f t="shared" si="50"/>
        <v>5.7345370827609104E-6</v>
      </c>
      <c r="AE140" s="16" t="str">
        <f t="shared" si="53"/>
        <v>ICHEC-EC-EARTH_historical_point32670</v>
      </c>
      <c r="AF140" s="16" t="str">
        <f t="shared" si="51"/>
        <v>wind_Events/Scaled_cl12_repl2.txt</v>
      </c>
      <c r="AG140" s="16" t="str">
        <f t="shared" si="52"/>
        <v>ICHEC-EC-EARTH_Scaled_Cluster12_repl2</v>
      </c>
      <c r="AH140" s="16" t="s">
        <v>316</v>
      </c>
      <c r="AI140" s="16" t="s">
        <v>317</v>
      </c>
    </row>
    <row r="141" spans="1:35" ht="13.8">
      <c r="A141" s="7" t="str">
        <f t="shared" si="36"/>
        <v>MPI-M-MPI-ESM-LR_Scaled_Cluster12_repl2</v>
      </c>
      <c r="B141" s="8" t="s">
        <v>16</v>
      </c>
      <c r="C141" s="8" t="s">
        <v>54</v>
      </c>
      <c r="D141" s="9" t="s">
        <v>17</v>
      </c>
      <c r="E141" s="9" t="str">
        <f t="shared" si="37"/>
        <v>historical</v>
      </c>
      <c r="F141" s="8">
        <v>350</v>
      </c>
      <c r="G141" s="8" t="s">
        <v>63</v>
      </c>
      <c r="H141" s="8">
        <v>2</v>
      </c>
      <c r="I141" s="8">
        <v>5.7344370827609102E-6</v>
      </c>
      <c r="J141" s="8">
        <v>12</v>
      </c>
      <c r="K141" s="8" t="s">
        <v>166</v>
      </c>
      <c r="L141" s="8">
        <v>2</v>
      </c>
      <c r="M141" s="8"/>
      <c r="N141" s="8">
        <v>1</v>
      </c>
      <c r="O141" s="10" t="s">
        <v>21</v>
      </c>
      <c r="P141" s="17" t="s">
        <v>59</v>
      </c>
      <c r="Q141" s="10" t="str">
        <f t="shared" si="38"/>
        <v>MPI-M-MPI-ESM-LR_Scaled_Cluster12_repl2.sqlite</v>
      </c>
      <c r="R141" s="11">
        <f t="shared" si="39"/>
        <v>5</v>
      </c>
      <c r="S141" s="11">
        <v>0</v>
      </c>
      <c r="T141" s="16" t="str">
        <f t="shared" si="40"/>
        <v>climate_db_MPI-M-MPI-ESM-LR_historical_v4.sqlite</v>
      </c>
      <c r="U141" s="16" t="str">
        <f t="shared" si="41"/>
        <v>log/MPI-M-MPI-ESM-LR_Scaled_Cluster12_repl2.txt</v>
      </c>
      <c r="V141" s="16" t="str">
        <f t="shared" si="42"/>
        <v>init/env_file_CLUSTER12_REPL2_MPI-M-MPI-ESM-LR_historical.csv</v>
      </c>
      <c r="W141" s="16" t="str">
        <f t="shared" si="43"/>
        <v>init/env_grid_CLUSTER12_REPL2.asc</v>
      </c>
      <c r="X141" s="16" t="str">
        <f t="shared" si="44"/>
        <v>init/env_grid_CLUSTER12_REPL2.asc</v>
      </c>
      <c r="Y141" s="16" t="str">
        <f t="shared" si="45"/>
        <v>trees_CLUSTER12.csv</v>
      </c>
      <c r="Z141" s="16" t="str">
        <f t="shared" si="46"/>
        <v>saplings_CLUSTER12.csv</v>
      </c>
      <c r="AA141" s="16">
        <f t="shared" si="47"/>
        <v>350</v>
      </c>
      <c r="AB141" s="16" t="str">
        <f t="shared" si="48"/>
        <v>abe/no_mgmt.csv</v>
      </c>
      <c r="AC141" s="16" t="str">
        <f t="shared" si="49"/>
        <v>gis/WindModifier_cl12.asc</v>
      </c>
      <c r="AD141" s="16">
        <f t="shared" si="50"/>
        <v>5.7345370827609104E-6</v>
      </c>
      <c r="AE141" s="16" t="str">
        <f t="shared" si="53"/>
        <v>MPI-M-MPI-ESM-LR_historical_point32670</v>
      </c>
      <c r="AF141" s="16" t="str">
        <f t="shared" si="51"/>
        <v>wind_Events/Scaled_cl12_repl2.txt</v>
      </c>
      <c r="AG141" s="16" t="str">
        <f t="shared" si="52"/>
        <v>MPI-M-MPI-ESM-LR_Scaled_Cluster12_repl2</v>
      </c>
      <c r="AH141" s="16" t="s">
        <v>318</v>
      </c>
      <c r="AI141" s="16" t="s">
        <v>319</v>
      </c>
    </row>
    <row r="142" spans="1:35" ht="13.8">
      <c r="A142" s="7" t="str">
        <f t="shared" si="36"/>
        <v>NCC-NorESM1-M_Scaled_Cluster12_repl2</v>
      </c>
      <c r="B142" s="8" t="s">
        <v>16</v>
      </c>
      <c r="C142" s="8" t="s">
        <v>54</v>
      </c>
      <c r="D142" s="9" t="s">
        <v>17</v>
      </c>
      <c r="E142" s="9" t="str">
        <f t="shared" si="37"/>
        <v>historical</v>
      </c>
      <c r="F142" s="8">
        <v>350</v>
      </c>
      <c r="G142" s="8" t="s">
        <v>60</v>
      </c>
      <c r="H142" s="8">
        <v>3</v>
      </c>
      <c r="I142" s="8">
        <v>5.7344370827609102E-6</v>
      </c>
      <c r="J142" s="8">
        <v>12</v>
      </c>
      <c r="K142" s="8" t="s">
        <v>166</v>
      </c>
      <c r="L142" s="8">
        <v>2</v>
      </c>
      <c r="M142" s="8"/>
      <c r="N142" s="8">
        <v>1</v>
      </c>
      <c r="O142" s="10" t="s">
        <v>21</v>
      </c>
      <c r="P142" s="17" t="s">
        <v>59</v>
      </c>
      <c r="Q142" s="10" t="str">
        <f t="shared" si="38"/>
        <v>NCC-NorESM1-M_Scaled_Cluster12_repl2.sqlite</v>
      </c>
      <c r="R142" s="11">
        <f t="shared" si="39"/>
        <v>6</v>
      </c>
      <c r="S142" s="11">
        <v>0</v>
      </c>
      <c r="T142" s="16" t="str">
        <f t="shared" si="40"/>
        <v>climate_db_NCC-NorESM1-M_historical_v4.sqlite</v>
      </c>
      <c r="U142" s="16" t="str">
        <f t="shared" si="41"/>
        <v>log/NCC-NorESM1-M_Scaled_Cluster12_repl2.txt</v>
      </c>
      <c r="V142" s="16" t="str">
        <f t="shared" si="42"/>
        <v>init/env_file_CLUSTER12_REPL2_NCC-NorESM1-M_historical.csv</v>
      </c>
      <c r="W142" s="16" t="str">
        <f t="shared" si="43"/>
        <v>init/env_grid_CLUSTER12_REPL2.asc</v>
      </c>
      <c r="X142" s="16" t="str">
        <f t="shared" si="44"/>
        <v>init/env_grid_CLUSTER12_REPL2.asc</v>
      </c>
      <c r="Y142" s="16" t="str">
        <f t="shared" si="45"/>
        <v>trees_CLUSTER12.csv</v>
      </c>
      <c r="Z142" s="16" t="str">
        <f t="shared" si="46"/>
        <v>saplings_CLUSTER12.csv</v>
      </c>
      <c r="AA142" s="16">
        <f t="shared" si="47"/>
        <v>350</v>
      </c>
      <c r="AB142" s="16" t="str">
        <f t="shared" si="48"/>
        <v>abe/no_mgmt.csv</v>
      </c>
      <c r="AC142" s="16" t="str">
        <f t="shared" si="49"/>
        <v>gis/WindModifier_cl12.asc</v>
      </c>
      <c r="AD142" s="16">
        <f t="shared" si="50"/>
        <v>5.7345370827609104E-6</v>
      </c>
      <c r="AE142" s="16" t="str">
        <f t="shared" si="53"/>
        <v>NCC-NorESM1-M_historical_point32670</v>
      </c>
      <c r="AF142" s="16" t="str">
        <f t="shared" si="51"/>
        <v>wind_Events/Scaled_cl12_repl2.txt</v>
      </c>
      <c r="AG142" s="16" t="str">
        <f t="shared" si="52"/>
        <v>NCC-NorESM1-M_Scaled_Cluster12_repl2</v>
      </c>
      <c r="AH142" s="16" t="s">
        <v>320</v>
      </c>
      <c r="AI142" s="16" t="s">
        <v>321</v>
      </c>
    </row>
    <row r="143" spans="1:35" ht="13.8">
      <c r="A143" s="7" t="str">
        <f t="shared" si="36"/>
        <v>ICHEC-EC-EARTH_Scaled_Cluster12_repl3</v>
      </c>
      <c r="B143" s="8" t="s">
        <v>16</v>
      </c>
      <c r="C143" s="8" t="s">
        <v>54</v>
      </c>
      <c r="D143" s="9" t="s">
        <v>17</v>
      </c>
      <c r="E143" s="9" t="str">
        <f t="shared" si="37"/>
        <v>historical</v>
      </c>
      <c r="F143" s="8">
        <v>350</v>
      </c>
      <c r="G143" s="8" t="s">
        <v>18</v>
      </c>
      <c r="H143" s="8">
        <v>1</v>
      </c>
      <c r="I143" s="8">
        <v>5.7344370827609102E-6</v>
      </c>
      <c r="J143" s="8">
        <v>12</v>
      </c>
      <c r="K143" s="8" t="s">
        <v>166</v>
      </c>
      <c r="L143" s="8">
        <v>3</v>
      </c>
      <c r="M143" s="8"/>
      <c r="N143" s="8">
        <v>1</v>
      </c>
      <c r="O143" s="10" t="s">
        <v>21</v>
      </c>
      <c r="P143" s="17" t="s">
        <v>59</v>
      </c>
      <c r="Q143" s="10" t="str">
        <f t="shared" si="38"/>
        <v>ICHEC-EC-EARTH_Scaled_Cluster12_repl3.sqlite</v>
      </c>
      <c r="R143" s="11">
        <f t="shared" si="39"/>
        <v>7</v>
      </c>
      <c r="S143" s="11">
        <v>0</v>
      </c>
      <c r="T143" s="16" t="str">
        <f t="shared" si="40"/>
        <v>climate_db_ICHEC-EC-EARTH_historical_v4.sqlite</v>
      </c>
      <c r="U143" s="16" t="str">
        <f t="shared" si="41"/>
        <v>log/ICHEC-EC-EARTH_Scaled_Cluster12_repl3.txt</v>
      </c>
      <c r="V143" s="16" t="str">
        <f t="shared" si="42"/>
        <v>init/env_file_CLUSTER12_REPL3_ICHEC-EC-EARTH_historical.csv</v>
      </c>
      <c r="W143" s="16" t="str">
        <f t="shared" si="43"/>
        <v>init/env_grid_CLUSTER12_REPL3.asc</v>
      </c>
      <c r="X143" s="16" t="str">
        <f t="shared" si="44"/>
        <v>init/env_grid_CLUSTER12_REPL3.asc</v>
      </c>
      <c r="Y143" s="16" t="str">
        <f t="shared" si="45"/>
        <v>trees_CLUSTER12.csv</v>
      </c>
      <c r="Z143" s="16" t="str">
        <f t="shared" si="46"/>
        <v>saplings_CLUSTER12.csv</v>
      </c>
      <c r="AA143" s="16">
        <f t="shared" si="47"/>
        <v>350</v>
      </c>
      <c r="AB143" s="16" t="str">
        <f t="shared" si="48"/>
        <v>abe/no_mgmt.csv</v>
      </c>
      <c r="AC143" s="16" t="str">
        <f t="shared" si="49"/>
        <v>gis/WindModifier_cl12.asc</v>
      </c>
      <c r="AD143" s="16">
        <f t="shared" si="50"/>
        <v>5.7345370827609104E-6</v>
      </c>
      <c r="AE143" s="16" t="str">
        <f t="shared" si="53"/>
        <v>ICHEC-EC-EARTH_historical_point32670</v>
      </c>
      <c r="AF143" s="16" t="str">
        <f t="shared" si="51"/>
        <v>wind_Events/Scaled_cl12_repl3.txt</v>
      </c>
      <c r="AG143" s="16" t="str">
        <f t="shared" si="52"/>
        <v>ICHEC-EC-EARTH_Scaled_Cluster12_repl3</v>
      </c>
      <c r="AH143" s="16" t="s">
        <v>322</v>
      </c>
      <c r="AI143" s="16" t="s">
        <v>323</v>
      </c>
    </row>
    <row r="144" spans="1:35" ht="13.8">
      <c r="A144" s="7" t="str">
        <f t="shared" si="36"/>
        <v>MPI-M-MPI-ESM-LR_Scaled_Cluster12_repl3</v>
      </c>
      <c r="B144" s="8" t="s">
        <v>16</v>
      </c>
      <c r="C144" s="8" t="s">
        <v>54</v>
      </c>
      <c r="D144" s="9" t="s">
        <v>17</v>
      </c>
      <c r="E144" s="9" t="str">
        <f t="shared" si="37"/>
        <v>historical</v>
      </c>
      <c r="F144" s="8">
        <v>350</v>
      </c>
      <c r="G144" s="8" t="s">
        <v>63</v>
      </c>
      <c r="H144" s="8">
        <v>2</v>
      </c>
      <c r="I144" s="8">
        <v>5.7344370827609102E-6</v>
      </c>
      <c r="J144" s="8">
        <v>12</v>
      </c>
      <c r="K144" s="8" t="s">
        <v>166</v>
      </c>
      <c r="L144" s="8">
        <v>3</v>
      </c>
      <c r="M144" s="8"/>
      <c r="N144" s="8">
        <v>1</v>
      </c>
      <c r="O144" s="10" t="s">
        <v>21</v>
      </c>
      <c r="P144" s="17" t="s">
        <v>59</v>
      </c>
      <c r="Q144" s="10" t="str">
        <f t="shared" si="38"/>
        <v>MPI-M-MPI-ESM-LR_Scaled_Cluster12_repl3.sqlite</v>
      </c>
      <c r="R144" s="11">
        <f t="shared" si="39"/>
        <v>8</v>
      </c>
      <c r="S144" s="11">
        <v>0</v>
      </c>
      <c r="T144" s="16" t="str">
        <f t="shared" si="40"/>
        <v>climate_db_MPI-M-MPI-ESM-LR_historical_v4.sqlite</v>
      </c>
      <c r="U144" s="16" t="str">
        <f t="shared" si="41"/>
        <v>log/MPI-M-MPI-ESM-LR_Scaled_Cluster12_repl3.txt</v>
      </c>
      <c r="V144" s="16" t="str">
        <f t="shared" si="42"/>
        <v>init/env_file_CLUSTER12_REPL3_MPI-M-MPI-ESM-LR_historical.csv</v>
      </c>
      <c r="W144" s="16" t="str">
        <f t="shared" si="43"/>
        <v>init/env_grid_CLUSTER12_REPL3.asc</v>
      </c>
      <c r="X144" s="16" t="str">
        <f t="shared" si="44"/>
        <v>init/env_grid_CLUSTER12_REPL3.asc</v>
      </c>
      <c r="Y144" s="16" t="str">
        <f t="shared" si="45"/>
        <v>trees_CLUSTER12.csv</v>
      </c>
      <c r="Z144" s="16" t="str">
        <f t="shared" si="46"/>
        <v>saplings_CLUSTER12.csv</v>
      </c>
      <c r="AA144" s="16">
        <f t="shared" si="47"/>
        <v>350</v>
      </c>
      <c r="AB144" s="16" t="str">
        <f t="shared" si="48"/>
        <v>abe/no_mgmt.csv</v>
      </c>
      <c r="AC144" s="16" t="str">
        <f t="shared" si="49"/>
        <v>gis/WindModifier_cl12.asc</v>
      </c>
      <c r="AD144" s="16">
        <f t="shared" si="50"/>
        <v>5.7345370827609104E-6</v>
      </c>
      <c r="AE144" s="16" t="str">
        <f t="shared" si="53"/>
        <v>MPI-M-MPI-ESM-LR_historical_point32670</v>
      </c>
      <c r="AF144" s="16" t="str">
        <f t="shared" si="51"/>
        <v>wind_Events/Scaled_cl12_repl3.txt</v>
      </c>
      <c r="AG144" s="16" t="str">
        <f t="shared" si="52"/>
        <v>MPI-M-MPI-ESM-LR_Scaled_Cluster12_repl3</v>
      </c>
      <c r="AH144" s="16" t="s">
        <v>324</v>
      </c>
      <c r="AI144" s="16" t="s">
        <v>325</v>
      </c>
    </row>
    <row r="145" spans="1:35" ht="13.8">
      <c r="A145" s="7" t="str">
        <f t="shared" si="36"/>
        <v>NCC-NorESM1-M_Scaled_Cluster12_repl3</v>
      </c>
      <c r="B145" s="8" t="s">
        <v>16</v>
      </c>
      <c r="C145" s="8" t="s">
        <v>54</v>
      </c>
      <c r="D145" s="9" t="s">
        <v>17</v>
      </c>
      <c r="E145" s="9" t="str">
        <f t="shared" si="37"/>
        <v>historical</v>
      </c>
      <c r="F145" s="8">
        <v>350</v>
      </c>
      <c r="G145" s="8" t="s">
        <v>60</v>
      </c>
      <c r="H145" s="8">
        <v>3</v>
      </c>
      <c r="I145" s="8">
        <v>5.7344370827609102E-6</v>
      </c>
      <c r="J145" s="8">
        <v>12</v>
      </c>
      <c r="K145" s="8" t="s">
        <v>166</v>
      </c>
      <c r="L145" s="8">
        <v>3</v>
      </c>
      <c r="M145" s="8"/>
      <c r="N145" s="8">
        <v>1</v>
      </c>
      <c r="O145" s="10" t="s">
        <v>21</v>
      </c>
      <c r="P145" s="17" t="s">
        <v>59</v>
      </c>
      <c r="Q145" s="10" t="str">
        <f t="shared" si="38"/>
        <v>NCC-NorESM1-M_Scaled_Cluster12_repl3.sqlite</v>
      </c>
      <c r="R145" s="11">
        <f t="shared" si="39"/>
        <v>9</v>
      </c>
      <c r="S145" s="11">
        <v>0</v>
      </c>
      <c r="T145" s="16" t="str">
        <f t="shared" si="40"/>
        <v>climate_db_NCC-NorESM1-M_historical_v4.sqlite</v>
      </c>
      <c r="U145" s="16" t="str">
        <f t="shared" si="41"/>
        <v>log/NCC-NorESM1-M_Scaled_Cluster12_repl3.txt</v>
      </c>
      <c r="V145" s="16" t="str">
        <f t="shared" si="42"/>
        <v>init/env_file_CLUSTER12_REPL3_NCC-NorESM1-M_historical.csv</v>
      </c>
      <c r="W145" s="16" t="str">
        <f t="shared" si="43"/>
        <v>init/env_grid_CLUSTER12_REPL3.asc</v>
      </c>
      <c r="X145" s="16" t="str">
        <f t="shared" si="44"/>
        <v>init/env_grid_CLUSTER12_REPL3.asc</v>
      </c>
      <c r="Y145" s="16" t="str">
        <f t="shared" si="45"/>
        <v>trees_CLUSTER12.csv</v>
      </c>
      <c r="Z145" s="16" t="str">
        <f t="shared" si="46"/>
        <v>saplings_CLUSTER12.csv</v>
      </c>
      <c r="AA145" s="16">
        <f t="shared" si="47"/>
        <v>350</v>
      </c>
      <c r="AB145" s="16" t="str">
        <f t="shared" si="48"/>
        <v>abe/no_mgmt.csv</v>
      </c>
      <c r="AC145" s="16" t="str">
        <f t="shared" si="49"/>
        <v>gis/WindModifier_cl12.asc</v>
      </c>
      <c r="AD145" s="16">
        <f t="shared" si="50"/>
        <v>5.7345370827609104E-6</v>
      </c>
      <c r="AE145" s="16" t="str">
        <f t="shared" si="53"/>
        <v>NCC-NorESM1-M_historical_point32670</v>
      </c>
      <c r="AF145" s="16" t="str">
        <f t="shared" si="51"/>
        <v>wind_Events/Scaled_cl12_repl3.txt</v>
      </c>
      <c r="AG145" s="16" t="str">
        <f t="shared" si="52"/>
        <v>NCC-NorESM1-M_Scaled_Cluster12_repl3</v>
      </c>
      <c r="AH145" s="16" t="s">
        <v>326</v>
      </c>
      <c r="AI145" s="16" t="s">
        <v>327</v>
      </c>
    </row>
    <row r="146" spans="1:35" ht="13.8">
      <c r="A146" s="7" t="str">
        <f t="shared" si="36"/>
        <v>ICHEC-EC-EARTH_Scaled_Cluster12_repl4</v>
      </c>
      <c r="B146" s="8" t="s">
        <v>16</v>
      </c>
      <c r="C146" s="8" t="s">
        <v>54</v>
      </c>
      <c r="D146" s="9" t="s">
        <v>17</v>
      </c>
      <c r="E146" s="9" t="str">
        <f t="shared" si="37"/>
        <v>historical</v>
      </c>
      <c r="F146" s="8">
        <v>350</v>
      </c>
      <c r="G146" s="8" t="s">
        <v>18</v>
      </c>
      <c r="H146" s="8">
        <v>1</v>
      </c>
      <c r="I146" s="8">
        <v>5.7344370827609102E-6</v>
      </c>
      <c r="J146" s="8">
        <v>12</v>
      </c>
      <c r="K146" s="8" t="s">
        <v>166</v>
      </c>
      <c r="L146" s="8">
        <v>4</v>
      </c>
      <c r="M146" s="8"/>
      <c r="N146" s="8">
        <v>1</v>
      </c>
      <c r="O146" s="10" t="s">
        <v>21</v>
      </c>
      <c r="P146" s="17" t="s">
        <v>59</v>
      </c>
      <c r="Q146" s="10" t="str">
        <f t="shared" si="38"/>
        <v>ICHEC-EC-EARTH_Scaled_Cluster12_repl4.sqlite</v>
      </c>
      <c r="R146" s="11">
        <f t="shared" si="39"/>
        <v>10</v>
      </c>
      <c r="S146" s="11">
        <v>0</v>
      </c>
      <c r="T146" s="16" t="str">
        <f t="shared" si="40"/>
        <v>climate_db_ICHEC-EC-EARTH_historical_v4.sqlite</v>
      </c>
      <c r="U146" s="16" t="str">
        <f t="shared" si="41"/>
        <v>log/ICHEC-EC-EARTH_Scaled_Cluster12_repl4.txt</v>
      </c>
      <c r="V146" s="16" t="str">
        <f t="shared" si="42"/>
        <v>init/env_file_CLUSTER12_REPL4_ICHEC-EC-EARTH_historical.csv</v>
      </c>
      <c r="W146" s="16" t="str">
        <f t="shared" si="43"/>
        <v>init/env_grid_CLUSTER12_REPL4.asc</v>
      </c>
      <c r="X146" s="16" t="str">
        <f t="shared" si="44"/>
        <v>init/env_grid_CLUSTER12_REPL4.asc</v>
      </c>
      <c r="Y146" s="16" t="str">
        <f t="shared" si="45"/>
        <v>trees_CLUSTER12.csv</v>
      </c>
      <c r="Z146" s="16" t="str">
        <f t="shared" si="46"/>
        <v>saplings_CLUSTER12.csv</v>
      </c>
      <c r="AA146" s="16">
        <f t="shared" si="47"/>
        <v>350</v>
      </c>
      <c r="AB146" s="16" t="str">
        <f t="shared" si="48"/>
        <v>abe/no_mgmt.csv</v>
      </c>
      <c r="AC146" s="16" t="str">
        <f t="shared" si="49"/>
        <v>gis/WindModifier_cl12.asc</v>
      </c>
      <c r="AD146" s="16">
        <f t="shared" si="50"/>
        <v>5.7345370827609104E-6</v>
      </c>
      <c r="AE146" s="16" t="str">
        <f t="shared" si="53"/>
        <v>ICHEC-EC-EARTH_historical_point32670</v>
      </c>
      <c r="AF146" s="16" t="str">
        <f t="shared" si="51"/>
        <v>wind_Events/Scaled_cl12_repl4.txt</v>
      </c>
      <c r="AG146" s="16" t="str">
        <f t="shared" si="52"/>
        <v>ICHEC-EC-EARTH_Scaled_Cluster12_repl4</v>
      </c>
      <c r="AH146" s="16" t="s">
        <v>256</v>
      </c>
      <c r="AI146" s="16" t="s">
        <v>257</v>
      </c>
    </row>
    <row r="147" spans="1:35" ht="13.8">
      <c r="A147" s="7" t="str">
        <f t="shared" si="36"/>
        <v>MPI-M-MPI-ESM-LR_Scaled_Cluster12_repl4</v>
      </c>
      <c r="B147" s="8" t="s">
        <v>16</v>
      </c>
      <c r="C147" s="8" t="s">
        <v>54</v>
      </c>
      <c r="D147" s="9" t="s">
        <v>17</v>
      </c>
      <c r="E147" s="9" t="str">
        <f t="shared" si="37"/>
        <v>historical</v>
      </c>
      <c r="F147" s="8">
        <v>350</v>
      </c>
      <c r="G147" s="8" t="s">
        <v>63</v>
      </c>
      <c r="H147" s="8">
        <v>2</v>
      </c>
      <c r="I147" s="8">
        <v>5.7344370827609102E-6</v>
      </c>
      <c r="J147" s="8">
        <v>12</v>
      </c>
      <c r="K147" s="8" t="s">
        <v>166</v>
      </c>
      <c r="L147" s="8">
        <v>4</v>
      </c>
      <c r="M147" s="8"/>
      <c r="N147" s="8">
        <v>1</v>
      </c>
      <c r="O147" s="10" t="s">
        <v>21</v>
      </c>
      <c r="P147" s="17" t="s">
        <v>59</v>
      </c>
      <c r="Q147" s="10" t="str">
        <f t="shared" si="38"/>
        <v>MPI-M-MPI-ESM-LR_Scaled_Cluster12_repl4.sqlite</v>
      </c>
      <c r="R147" s="11">
        <f t="shared" si="39"/>
        <v>11</v>
      </c>
      <c r="S147" s="11">
        <v>0</v>
      </c>
      <c r="T147" s="16" t="str">
        <f t="shared" si="40"/>
        <v>climate_db_MPI-M-MPI-ESM-LR_historical_v4.sqlite</v>
      </c>
      <c r="U147" s="16" t="str">
        <f t="shared" si="41"/>
        <v>log/MPI-M-MPI-ESM-LR_Scaled_Cluster12_repl4.txt</v>
      </c>
      <c r="V147" s="16" t="str">
        <f t="shared" si="42"/>
        <v>init/env_file_CLUSTER12_REPL4_MPI-M-MPI-ESM-LR_historical.csv</v>
      </c>
      <c r="W147" s="16" t="str">
        <f t="shared" si="43"/>
        <v>init/env_grid_CLUSTER12_REPL4.asc</v>
      </c>
      <c r="X147" s="16" t="str">
        <f t="shared" si="44"/>
        <v>init/env_grid_CLUSTER12_REPL4.asc</v>
      </c>
      <c r="Y147" s="16" t="str">
        <f t="shared" si="45"/>
        <v>trees_CLUSTER12.csv</v>
      </c>
      <c r="Z147" s="16" t="str">
        <f t="shared" si="46"/>
        <v>saplings_CLUSTER12.csv</v>
      </c>
      <c r="AA147" s="16">
        <f t="shared" si="47"/>
        <v>350</v>
      </c>
      <c r="AB147" s="16" t="str">
        <f t="shared" si="48"/>
        <v>abe/no_mgmt.csv</v>
      </c>
      <c r="AC147" s="16" t="str">
        <f t="shared" si="49"/>
        <v>gis/WindModifier_cl12.asc</v>
      </c>
      <c r="AD147" s="16">
        <f t="shared" si="50"/>
        <v>5.7345370827609104E-6</v>
      </c>
      <c r="AE147" s="16" t="str">
        <f t="shared" si="53"/>
        <v>MPI-M-MPI-ESM-LR_historical_point32670</v>
      </c>
      <c r="AF147" s="16" t="str">
        <f t="shared" si="51"/>
        <v>wind_Events/Scaled_cl12_repl4.txt</v>
      </c>
      <c r="AG147" s="16" t="str">
        <f t="shared" si="52"/>
        <v>MPI-M-MPI-ESM-LR_Scaled_Cluster12_repl4</v>
      </c>
      <c r="AH147" s="16" t="s">
        <v>258</v>
      </c>
      <c r="AI147" s="16" t="s">
        <v>259</v>
      </c>
    </row>
    <row r="148" spans="1:35" ht="13.8">
      <c r="A148" s="7" t="str">
        <f t="shared" si="36"/>
        <v>NCC-NorESM1-M_Scaled_Cluster12_repl4</v>
      </c>
      <c r="B148" s="8" t="s">
        <v>16</v>
      </c>
      <c r="C148" s="8" t="s">
        <v>54</v>
      </c>
      <c r="D148" s="9" t="s">
        <v>17</v>
      </c>
      <c r="E148" s="9" t="str">
        <f t="shared" si="37"/>
        <v>historical</v>
      </c>
      <c r="F148" s="8">
        <v>350</v>
      </c>
      <c r="G148" s="8" t="s">
        <v>60</v>
      </c>
      <c r="H148" s="8">
        <v>3</v>
      </c>
      <c r="I148" s="8">
        <v>5.7344370827609102E-6</v>
      </c>
      <c r="J148" s="8">
        <v>12</v>
      </c>
      <c r="K148" s="8" t="s">
        <v>166</v>
      </c>
      <c r="L148" s="8">
        <v>4</v>
      </c>
      <c r="M148" s="8"/>
      <c r="N148" s="8">
        <v>1</v>
      </c>
      <c r="O148" s="10" t="s">
        <v>21</v>
      </c>
      <c r="P148" s="17" t="s">
        <v>59</v>
      </c>
      <c r="Q148" s="10" t="str">
        <f t="shared" si="38"/>
        <v>NCC-NorESM1-M_Scaled_Cluster12_repl4.sqlite</v>
      </c>
      <c r="R148" s="11">
        <f t="shared" si="39"/>
        <v>12</v>
      </c>
      <c r="S148" s="11">
        <v>0</v>
      </c>
      <c r="T148" s="16" t="str">
        <f t="shared" si="40"/>
        <v>climate_db_NCC-NorESM1-M_historical_v4.sqlite</v>
      </c>
      <c r="U148" s="16" t="str">
        <f t="shared" si="41"/>
        <v>log/NCC-NorESM1-M_Scaled_Cluster12_repl4.txt</v>
      </c>
      <c r="V148" s="16" t="str">
        <f t="shared" si="42"/>
        <v>init/env_file_CLUSTER12_REPL4_NCC-NorESM1-M_historical.csv</v>
      </c>
      <c r="W148" s="16" t="str">
        <f t="shared" si="43"/>
        <v>init/env_grid_CLUSTER12_REPL4.asc</v>
      </c>
      <c r="X148" s="16" t="str">
        <f t="shared" si="44"/>
        <v>init/env_grid_CLUSTER12_REPL4.asc</v>
      </c>
      <c r="Y148" s="16" t="str">
        <f t="shared" si="45"/>
        <v>trees_CLUSTER12.csv</v>
      </c>
      <c r="Z148" s="16" t="str">
        <f t="shared" si="46"/>
        <v>saplings_CLUSTER12.csv</v>
      </c>
      <c r="AA148" s="16">
        <f t="shared" si="47"/>
        <v>350</v>
      </c>
      <c r="AB148" s="16" t="str">
        <f t="shared" si="48"/>
        <v>abe/no_mgmt.csv</v>
      </c>
      <c r="AC148" s="16" t="str">
        <f t="shared" si="49"/>
        <v>gis/WindModifier_cl12.asc</v>
      </c>
      <c r="AD148" s="16">
        <f t="shared" si="50"/>
        <v>5.7345370827609104E-6</v>
      </c>
      <c r="AE148" s="16" t="str">
        <f t="shared" si="53"/>
        <v>NCC-NorESM1-M_historical_point32670</v>
      </c>
      <c r="AF148" s="16" t="str">
        <f t="shared" si="51"/>
        <v>wind_Events/Scaled_cl12_repl4.txt</v>
      </c>
      <c r="AG148" s="16" t="str">
        <f t="shared" si="52"/>
        <v>NCC-NorESM1-M_Scaled_Cluster12_repl4</v>
      </c>
      <c r="AH148" s="16" t="s">
        <v>260</v>
      </c>
      <c r="AI148" s="16" t="s">
        <v>261</v>
      </c>
    </row>
    <row r="149" spans="1:35" ht="13.8">
      <c r="A149" s="7" t="str">
        <f t="shared" si="36"/>
        <v>ICHEC-EC-EARTH_Scaled_Cluster12_repl5</v>
      </c>
      <c r="B149" s="8" t="s">
        <v>16</v>
      </c>
      <c r="C149" s="8" t="s">
        <v>54</v>
      </c>
      <c r="D149" s="9" t="s">
        <v>17</v>
      </c>
      <c r="E149" s="9" t="str">
        <f t="shared" si="37"/>
        <v>historical</v>
      </c>
      <c r="F149" s="8">
        <v>350</v>
      </c>
      <c r="G149" s="8" t="s">
        <v>18</v>
      </c>
      <c r="H149" s="8">
        <v>1</v>
      </c>
      <c r="I149" s="8">
        <v>5.7344370827609102E-6</v>
      </c>
      <c r="J149" s="8">
        <v>12</v>
      </c>
      <c r="K149" s="8" t="s">
        <v>166</v>
      </c>
      <c r="L149" s="8">
        <v>5</v>
      </c>
      <c r="M149" s="8"/>
      <c r="N149" s="8">
        <v>1</v>
      </c>
      <c r="O149" s="10" t="s">
        <v>21</v>
      </c>
      <c r="P149" s="17" t="s">
        <v>59</v>
      </c>
      <c r="Q149" s="10" t="str">
        <f t="shared" si="38"/>
        <v>ICHEC-EC-EARTH_Scaled_Cluster12_repl5.sqlite</v>
      </c>
      <c r="R149" s="11">
        <f t="shared" si="39"/>
        <v>13</v>
      </c>
      <c r="S149" s="11">
        <v>0</v>
      </c>
      <c r="T149" s="16" t="str">
        <f t="shared" si="40"/>
        <v>climate_db_ICHEC-EC-EARTH_historical_v4.sqlite</v>
      </c>
      <c r="U149" s="16" t="str">
        <f t="shared" si="41"/>
        <v>log/ICHEC-EC-EARTH_Scaled_Cluster12_repl5.txt</v>
      </c>
      <c r="V149" s="16" t="str">
        <f t="shared" si="42"/>
        <v>init/env_file_CLUSTER12_REPL5_ICHEC-EC-EARTH_historical.csv</v>
      </c>
      <c r="W149" s="16" t="str">
        <f t="shared" si="43"/>
        <v>init/env_grid_CLUSTER12_REPL5.asc</v>
      </c>
      <c r="X149" s="16" t="str">
        <f t="shared" si="44"/>
        <v>init/env_grid_CLUSTER12_REPL5.asc</v>
      </c>
      <c r="Y149" s="16" t="str">
        <f t="shared" si="45"/>
        <v>trees_CLUSTER12.csv</v>
      </c>
      <c r="Z149" s="16" t="str">
        <f t="shared" si="46"/>
        <v>saplings_CLUSTER12.csv</v>
      </c>
      <c r="AA149" s="16">
        <f t="shared" si="47"/>
        <v>350</v>
      </c>
      <c r="AB149" s="16" t="str">
        <f t="shared" si="48"/>
        <v>abe/no_mgmt.csv</v>
      </c>
      <c r="AC149" s="16" t="str">
        <f t="shared" si="49"/>
        <v>gis/WindModifier_cl12.asc</v>
      </c>
      <c r="AD149" s="16">
        <f t="shared" si="50"/>
        <v>5.7345370827609104E-6</v>
      </c>
      <c r="AE149" s="16" t="str">
        <f t="shared" si="53"/>
        <v>ICHEC-EC-EARTH_historical_point32670</v>
      </c>
      <c r="AF149" s="16" t="str">
        <f t="shared" si="51"/>
        <v>wind_Events/Scaled_cl12_repl5.txt</v>
      </c>
      <c r="AG149" s="16" t="str">
        <f t="shared" si="52"/>
        <v>ICHEC-EC-EARTH_Scaled_Cluster12_repl5</v>
      </c>
      <c r="AH149" s="16" t="s">
        <v>262</v>
      </c>
      <c r="AI149" s="16" t="s">
        <v>263</v>
      </c>
    </row>
    <row r="150" spans="1:35" ht="13.8">
      <c r="A150" s="7" t="str">
        <f t="shared" si="36"/>
        <v>MPI-M-MPI-ESM-LR_Scaled_Cluster12_repl5</v>
      </c>
      <c r="B150" s="8" t="s">
        <v>16</v>
      </c>
      <c r="C150" s="8" t="s">
        <v>54</v>
      </c>
      <c r="D150" s="9" t="s">
        <v>17</v>
      </c>
      <c r="E150" s="9" t="str">
        <f t="shared" si="37"/>
        <v>historical</v>
      </c>
      <c r="F150" s="8">
        <v>350</v>
      </c>
      <c r="G150" s="8" t="s">
        <v>63</v>
      </c>
      <c r="H150" s="8">
        <v>2</v>
      </c>
      <c r="I150" s="8">
        <v>5.7344370827609102E-6</v>
      </c>
      <c r="J150" s="8">
        <v>12</v>
      </c>
      <c r="K150" s="8" t="s">
        <v>166</v>
      </c>
      <c r="L150" s="8">
        <v>5</v>
      </c>
      <c r="M150" s="8"/>
      <c r="N150" s="8">
        <v>1</v>
      </c>
      <c r="O150" s="10" t="s">
        <v>21</v>
      </c>
      <c r="P150" s="17" t="s">
        <v>59</v>
      </c>
      <c r="Q150" s="10" t="str">
        <f t="shared" si="38"/>
        <v>MPI-M-MPI-ESM-LR_Scaled_Cluster12_repl5.sqlite</v>
      </c>
      <c r="R150" s="11">
        <f t="shared" si="39"/>
        <v>14</v>
      </c>
      <c r="S150" s="11">
        <v>0</v>
      </c>
      <c r="T150" s="16" t="str">
        <f t="shared" si="40"/>
        <v>climate_db_MPI-M-MPI-ESM-LR_historical_v4.sqlite</v>
      </c>
      <c r="U150" s="16" t="str">
        <f t="shared" si="41"/>
        <v>log/MPI-M-MPI-ESM-LR_Scaled_Cluster12_repl5.txt</v>
      </c>
      <c r="V150" s="16" t="str">
        <f t="shared" si="42"/>
        <v>init/env_file_CLUSTER12_REPL5_MPI-M-MPI-ESM-LR_historical.csv</v>
      </c>
      <c r="W150" s="16" t="str">
        <f t="shared" si="43"/>
        <v>init/env_grid_CLUSTER12_REPL5.asc</v>
      </c>
      <c r="X150" s="16" t="str">
        <f t="shared" si="44"/>
        <v>init/env_grid_CLUSTER12_REPL5.asc</v>
      </c>
      <c r="Y150" s="16" t="str">
        <f t="shared" si="45"/>
        <v>trees_CLUSTER12.csv</v>
      </c>
      <c r="Z150" s="16" t="str">
        <f t="shared" si="46"/>
        <v>saplings_CLUSTER12.csv</v>
      </c>
      <c r="AA150" s="16">
        <f t="shared" si="47"/>
        <v>350</v>
      </c>
      <c r="AB150" s="16" t="str">
        <f t="shared" si="48"/>
        <v>abe/no_mgmt.csv</v>
      </c>
      <c r="AC150" s="16" t="str">
        <f t="shared" si="49"/>
        <v>gis/WindModifier_cl12.asc</v>
      </c>
      <c r="AD150" s="16">
        <f t="shared" si="50"/>
        <v>5.7345370827609104E-6</v>
      </c>
      <c r="AE150" s="16" t="str">
        <f t="shared" si="53"/>
        <v>MPI-M-MPI-ESM-LR_historical_point32670</v>
      </c>
      <c r="AF150" s="16" t="str">
        <f t="shared" si="51"/>
        <v>wind_Events/Scaled_cl12_repl5.txt</v>
      </c>
      <c r="AG150" s="16" t="str">
        <f t="shared" si="52"/>
        <v>MPI-M-MPI-ESM-LR_Scaled_Cluster12_repl5</v>
      </c>
      <c r="AH150" s="16" t="s">
        <v>264</v>
      </c>
      <c r="AI150" s="16" t="s">
        <v>265</v>
      </c>
    </row>
    <row r="151" spans="1:35" ht="13.8">
      <c r="A151" s="7" t="str">
        <f t="shared" si="36"/>
        <v>NCC-NorESM1-M_Scaled_Cluster12_repl5</v>
      </c>
      <c r="B151" s="8" t="s">
        <v>16</v>
      </c>
      <c r="C151" s="8" t="s">
        <v>54</v>
      </c>
      <c r="D151" s="9" t="s">
        <v>17</v>
      </c>
      <c r="E151" s="9" t="str">
        <f t="shared" si="37"/>
        <v>historical</v>
      </c>
      <c r="F151" s="8">
        <v>350</v>
      </c>
      <c r="G151" s="8" t="s">
        <v>60</v>
      </c>
      <c r="H151" s="8">
        <v>3</v>
      </c>
      <c r="I151" s="8">
        <v>5.7344370827609102E-6</v>
      </c>
      <c r="J151" s="8">
        <v>12</v>
      </c>
      <c r="K151" s="8" t="s">
        <v>166</v>
      </c>
      <c r="L151" s="8">
        <v>5</v>
      </c>
      <c r="M151" s="8"/>
      <c r="N151" s="8">
        <v>1</v>
      </c>
      <c r="O151" s="10" t="s">
        <v>21</v>
      </c>
      <c r="P151" s="17" t="s">
        <v>59</v>
      </c>
      <c r="Q151" s="10" t="str">
        <f t="shared" si="38"/>
        <v>NCC-NorESM1-M_Scaled_Cluster12_repl5.sqlite</v>
      </c>
      <c r="R151" s="11">
        <f t="shared" si="39"/>
        <v>15</v>
      </c>
      <c r="S151" s="11">
        <v>0</v>
      </c>
      <c r="T151" s="16" t="str">
        <f t="shared" si="40"/>
        <v>climate_db_NCC-NorESM1-M_historical_v4.sqlite</v>
      </c>
      <c r="U151" s="16" t="str">
        <f t="shared" si="41"/>
        <v>log/NCC-NorESM1-M_Scaled_Cluster12_repl5.txt</v>
      </c>
      <c r="V151" s="16" t="str">
        <f t="shared" si="42"/>
        <v>init/env_file_CLUSTER12_REPL5_NCC-NorESM1-M_historical.csv</v>
      </c>
      <c r="W151" s="16" t="str">
        <f t="shared" si="43"/>
        <v>init/env_grid_CLUSTER12_REPL5.asc</v>
      </c>
      <c r="X151" s="16" t="str">
        <f t="shared" si="44"/>
        <v>init/env_grid_CLUSTER12_REPL5.asc</v>
      </c>
      <c r="Y151" s="16" t="str">
        <f t="shared" si="45"/>
        <v>trees_CLUSTER12.csv</v>
      </c>
      <c r="Z151" s="16" t="str">
        <f t="shared" si="46"/>
        <v>saplings_CLUSTER12.csv</v>
      </c>
      <c r="AA151" s="16">
        <f t="shared" si="47"/>
        <v>350</v>
      </c>
      <c r="AB151" s="16" t="str">
        <f t="shared" si="48"/>
        <v>abe/no_mgmt.csv</v>
      </c>
      <c r="AC151" s="16" t="str">
        <f t="shared" si="49"/>
        <v>gis/WindModifier_cl12.asc</v>
      </c>
      <c r="AD151" s="16">
        <f t="shared" si="50"/>
        <v>5.7345370827609104E-6</v>
      </c>
      <c r="AE151" s="16" t="str">
        <f t="shared" si="53"/>
        <v>NCC-NorESM1-M_historical_point32670</v>
      </c>
      <c r="AF151" s="16" t="str">
        <f t="shared" si="51"/>
        <v>wind_Events/Scaled_cl12_repl5.txt</v>
      </c>
      <c r="AG151" s="16" t="str">
        <f t="shared" si="52"/>
        <v>NCC-NorESM1-M_Scaled_Cluster12_repl5</v>
      </c>
      <c r="AH151" s="16" t="s">
        <v>266</v>
      </c>
      <c r="AI151" s="16" t="s">
        <v>267</v>
      </c>
    </row>
    <row r="152" spans="1:35" ht="13.8">
      <c r="A152" s="7" t="str">
        <f t="shared" si="36"/>
        <v>ICHEC-EC-EARTH_Scaled_Cluster13_repl1</v>
      </c>
      <c r="B152" s="8" t="s">
        <v>16</v>
      </c>
      <c r="C152" s="8" t="s">
        <v>54</v>
      </c>
      <c r="D152" s="9" t="s">
        <v>17</v>
      </c>
      <c r="E152" s="9" t="str">
        <f t="shared" si="37"/>
        <v>historical</v>
      </c>
      <c r="F152" s="8">
        <v>350</v>
      </c>
      <c r="G152" s="8" t="s">
        <v>18</v>
      </c>
      <c r="H152" s="8">
        <v>1</v>
      </c>
      <c r="I152" s="8">
        <v>4.1181188616223502E-7</v>
      </c>
      <c r="J152" s="8">
        <v>13</v>
      </c>
      <c r="K152" s="8" t="s">
        <v>167</v>
      </c>
      <c r="L152" s="8">
        <v>1</v>
      </c>
      <c r="M152" s="8"/>
      <c r="N152" s="8">
        <v>1</v>
      </c>
      <c r="O152" s="10" t="s">
        <v>21</v>
      </c>
      <c r="P152" s="17" t="s">
        <v>59</v>
      </c>
      <c r="Q152" s="10" t="str">
        <f t="shared" si="38"/>
        <v>ICHEC-EC-EARTH_Scaled_Cluster13_repl1.sqlite</v>
      </c>
      <c r="R152" s="11">
        <f t="shared" si="39"/>
        <v>1</v>
      </c>
      <c r="S152" s="11">
        <v>0</v>
      </c>
      <c r="T152" s="16" t="str">
        <f t="shared" si="40"/>
        <v>climate_db_ICHEC-EC-EARTH_historical_v4.sqlite</v>
      </c>
      <c r="U152" s="16" t="str">
        <f t="shared" si="41"/>
        <v>log/ICHEC-EC-EARTH_Scaled_Cluster13_repl1.txt</v>
      </c>
      <c r="V152" s="16" t="str">
        <f t="shared" si="42"/>
        <v>init/env_file_CLUSTER13_REPL1_ICHEC-EC-EARTH_historical.csv</v>
      </c>
      <c r="W152" s="16" t="str">
        <f t="shared" si="43"/>
        <v>init/env_grid_CLUSTER13_REPL1.asc</v>
      </c>
      <c r="X152" s="16" t="str">
        <f t="shared" si="44"/>
        <v>init/env_grid_CLUSTER13_REPL1.asc</v>
      </c>
      <c r="Y152" s="16" t="str">
        <f t="shared" si="45"/>
        <v>trees_CLUSTER13.csv</v>
      </c>
      <c r="Z152" s="16" t="str">
        <f t="shared" si="46"/>
        <v>saplings_CLUSTER13.csv</v>
      </c>
      <c r="AA152" s="16">
        <f t="shared" si="47"/>
        <v>350</v>
      </c>
      <c r="AB152" s="16" t="str">
        <f t="shared" si="48"/>
        <v>abe/no_mgmt.csv</v>
      </c>
      <c r="AC152" s="16" t="str">
        <f t="shared" si="49"/>
        <v>gis/WindModifier_cl13.asc</v>
      </c>
      <c r="AD152" s="16">
        <f t="shared" si="50"/>
        <v>4.1191188616223503E-7</v>
      </c>
      <c r="AE152" s="16" t="str">
        <f t="shared" si="53"/>
        <v>ICHEC-EC-EARTH_historical_point33292</v>
      </c>
      <c r="AF152" s="16" t="str">
        <f t="shared" si="51"/>
        <v>wind_Events/Scaled_cl13_repl1.txt</v>
      </c>
      <c r="AG152" s="16" t="str">
        <f t="shared" si="52"/>
        <v>ICHEC-EC-EARTH_Scaled_Cluster13_repl1</v>
      </c>
      <c r="AH152" s="16" t="s">
        <v>268</v>
      </c>
      <c r="AI152" s="16" t="s">
        <v>269</v>
      </c>
    </row>
    <row r="153" spans="1:35" ht="13.8">
      <c r="A153" s="7" t="str">
        <f t="shared" si="36"/>
        <v>MPI-M-MPI-ESM-LR_Scaled_Cluster13_repl1</v>
      </c>
      <c r="B153" s="8" t="s">
        <v>16</v>
      </c>
      <c r="C153" s="8" t="s">
        <v>54</v>
      </c>
      <c r="D153" s="9" t="s">
        <v>17</v>
      </c>
      <c r="E153" s="9" t="str">
        <f t="shared" si="37"/>
        <v>historical</v>
      </c>
      <c r="F153" s="8">
        <v>350</v>
      </c>
      <c r="G153" s="8" t="s">
        <v>63</v>
      </c>
      <c r="H153" s="8">
        <v>2</v>
      </c>
      <c r="I153" s="8">
        <v>4.1181188616223502E-7</v>
      </c>
      <c r="J153" s="8">
        <v>13</v>
      </c>
      <c r="K153" s="8" t="s">
        <v>167</v>
      </c>
      <c r="L153" s="8">
        <v>1</v>
      </c>
      <c r="M153" s="8"/>
      <c r="N153" s="8">
        <v>1</v>
      </c>
      <c r="O153" s="10" t="s">
        <v>21</v>
      </c>
      <c r="P153" s="17" t="s">
        <v>59</v>
      </c>
      <c r="Q153" s="10" t="str">
        <f t="shared" si="38"/>
        <v>MPI-M-MPI-ESM-LR_Scaled_Cluster13_repl1.sqlite</v>
      </c>
      <c r="R153" s="11">
        <f t="shared" si="39"/>
        <v>2</v>
      </c>
      <c r="S153" s="11">
        <v>0</v>
      </c>
      <c r="T153" s="16" t="str">
        <f t="shared" si="40"/>
        <v>climate_db_MPI-M-MPI-ESM-LR_historical_v4.sqlite</v>
      </c>
      <c r="U153" s="16" t="str">
        <f t="shared" si="41"/>
        <v>log/MPI-M-MPI-ESM-LR_Scaled_Cluster13_repl1.txt</v>
      </c>
      <c r="V153" s="16" t="str">
        <f t="shared" si="42"/>
        <v>init/env_file_CLUSTER13_REPL1_MPI-M-MPI-ESM-LR_historical.csv</v>
      </c>
      <c r="W153" s="16" t="str">
        <f t="shared" si="43"/>
        <v>init/env_grid_CLUSTER13_REPL1.asc</v>
      </c>
      <c r="X153" s="16" t="str">
        <f t="shared" si="44"/>
        <v>init/env_grid_CLUSTER13_REPL1.asc</v>
      </c>
      <c r="Y153" s="16" t="str">
        <f t="shared" si="45"/>
        <v>trees_CLUSTER13.csv</v>
      </c>
      <c r="Z153" s="16" t="str">
        <f t="shared" si="46"/>
        <v>saplings_CLUSTER13.csv</v>
      </c>
      <c r="AA153" s="16">
        <f t="shared" si="47"/>
        <v>350</v>
      </c>
      <c r="AB153" s="16" t="str">
        <f t="shared" si="48"/>
        <v>abe/no_mgmt.csv</v>
      </c>
      <c r="AC153" s="16" t="str">
        <f t="shared" si="49"/>
        <v>gis/WindModifier_cl13.asc</v>
      </c>
      <c r="AD153" s="16">
        <f t="shared" si="50"/>
        <v>4.1191188616223503E-7</v>
      </c>
      <c r="AE153" s="16" t="str">
        <f t="shared" si="53"/>
        <v>MPI-M-MPI-ESM-LR_historical_point33292</v>
      </c>
      <c r="AF153" s="16" t="str">
        <f t="shared" si="51"/>
        <v>wind_Events/Scaled_cl13_repl1.txt</v>
      </c>
      <c r="AG153" s="16" t="str">
        <f t="shared" si="52"/>
        <v>MPI-M-MPI-ESM-LR_Scaled_Cluster13_repl1</v>
      </c>
      <c r="AH153" s="16" t="s">
        <v>270</v>
      </c>
      <c r="AI153" s="16" t="s">
        <v>271</v>
      </c>
    </row>
    <row r="154" spans="1:35" ht="13.8">
      <c r="A154" s="7" t="str">
        <f t="shared" si="36"/>
        <v>NCC-NorESM1-M_Scaled_Cluster13_repl1</v>
      </c>
      <c r="B154" s="8" t="s">
        <v>16</v>
      </c>
      <c r="C154" s="8" t="s">
        <v>54</v>
      </c>
      <c r="D154" s="9" t="s">
        <v>17</v>
      </c>
      <c r="E154" s="9" t="str">
        <f t="shared" si="37"/>
        <v>historical</v>
      </c>
      <c r="F154" s="8">
        <v>350</v>
      </c>
      <c r="G154" s="8" t="s">
        <v>60</v>
      </c>
      <c r="H154" s="8">
        <v>3</v>
      </c>
      <c r="I154" s="8">
        <v>4.1181188616223502E-7</v>
      </c>
      <c r="J154" s="8">
        <v>13</v>
      </c>
      <c r="K154" s="8" t="s">
        <v>167</v>
      </c>
      <c r="L154" s="8">
        <v>1</v>
      </c>
      <c r="M154" s="8"/>
      <c r="N154" s="8">
        <v>1</v>
      </c>
      <c r="O154" s="10" t="s">
        <v>21</v>
      </c>
      <c r="P154" s="17" t="s">
        <v>59</v>
      </c>
      <c r="Q154" s="10" t="str">
        <f t="shared" si="38"/>
        <v>NCC-NorESM1-M_Scaled_Cluster13_repl1.sqlite</v>
      </c>
      <c r="R154" s="11">
        <f t="shared" si="39"/>
        <v>3</v>
      </c>
      <c r="S154" s="11">
        <v>0</v>
      </c>
      <c r="T154" s="16" t="str">
        <f t="shared" si="40"/>
        <v>climate_db_NCC-NorESM1-M_historical_v4.sqlite</v>
      </c>
      <c r="U154" s="16" t="str">
        <f t="shared" si="41"/>
        <v>log/NCC-NorESM1-M_Scaled_Cluster13_repl1.txt</v>
      </c>
      <c r="V154" s="16" t="str">
        <f t="shared" si="42"/>
        <v>init/env_file_CLUSTER13_REPL1_NCC-NorESM1-M_historical.csv</v>
      </c>
      <c r="W154" s="16" t="str">
        <f t="shared" si="43"/>
        <v>init/env_grid_CLUSTER13_REPL1.asc</v>
      </c>
      <c r="X154" s="16" t="str">
        <f t="shared" si="44"/>
        <v>init/env_grid_CLUSTER13_REPL1.asc</v>
      </c>
      <c r="Y154" s="16" t="str">
        <f t="shared" si="45"/>
        <v>trees_CLUSTER13.csv</v>
      </c>
      <c r="Z154" s="16" t="str">
        <f t="shared" si="46"/>
        <v>saplings_CLUSTER13.csv</v>
      </c>
      <c r="AA154" s="16">
        <f t="shared" si="47"/>
        <v>350</v>
      </c>
      <c r="AB154" s="16" t="str">
        <f t="shared" si="48"/>
        <v>abe/no_mgmt.csv</v>
      </c>
      <c r="AC154" s="16" t="str">
        <f t="shared" si="49"/>
        <v>gis/WindModifier_cl13.asc</v>
      </c>
      <c r="AD154" s="16">
        <f t="shared" si="50"/>
        <v>4.1191188616223503E-7</v>
      </c>
      <c r="AE154" s="16" t="str">
        <f t="shared" si="53"/>
        <v>NCC-NorESM1-M_historical_point33292</v>
      </c>
      <c r="AF154" s="16" t="str">
        <f t="shared" si="51"/>
        <v>wind_Events/Scaled_cl13_repl1.txt</v>
      </c>
      <c r="AG154" s="16" t="str">
        <f t="shared" si="52"/>
        <v>NCC-NorESM1-M_Scaled_Cluster13_repl1</v>
      </c>
      <c r="AH154" s="16" t="s">
        <v>272</v>
      </c>
      <c r="AI154" s="16" t="s">
        <v>273</v>
      </c>
    </row>
    <row r="155" spans="1:35" ht="13.8">
      <c r="A155" s="7" t="str">
        <f t="shared" si="36"/>
        <v>ICHEC-EC-EARTH_Scaled_Cluster13_repl2</v>
      </c>
      <c r="B155" s="8" t="s">
        <v>16</v>
      </c>
      <c r="C155" s="8" t="s">
        <v>54</v>
      </c>
      <c r="D155" s="9" t="s">
        <v>17</v>
      </c>
      <c r="E155" s="9" t="str">
        <f t="shared" si="37"/>
        <v>historical</v>
      </c>
      <c r="F155" s="8">
        <v>350</v>
      </c>
      <c r="G155" s="8" t="s">
        <v>18</v>
      </c>
      <c r="H155" s="8">
        <v>1</v>
      </c>
      <c r="I155" s="8">
        <v>4.1181188616223502E-7</v>
      </c>
      <c r="J155" s="8">
        <v>13</v>
      </c>
      <c r="K155" s="8" t="s">
        <v>167</v>
      </c>
      <c r="L155" s="8">
        <v>2</v>
      </c>
      <c r="M155" s="8"/>
      <c r="N155" s="8">
        <v>1</v>
      </c>
      <c r="O155" s="10" t="s">
        <v>21</v>
      </c>
      <c r="P155" s="17" t="s">
        <v>59</v>
      </c>
      <c r="Q155" s="10" t="str">
        <f t="shared" si="38"/>
        <v>ICHEC-EC-EARTH_Scaled_Cluster13_repl2.sqlite</v>
      </c>
      <c r="R155" s="11">
        <f t="shared" si="39"/>
        <v>4</v>
      </c>
      <c r="S155" s="11">
        <v>0</v>
      </c>
      <c r="T155" s="16" t="str">
        <f t="shared" si="40"/>
        <v>climate_db_ICHEC-EC-EARTH_historical_v4.sqlite</v>
      </c>
      <c r="U155" s="16" t="str">
        <f t="shared" si="41"/>
        <v>log/ICHEC-EC-EARTH_Scaled_Cluster13_repl2.txt</v>
      </c>
      <c r="V155" s="16" t="str">
        <f t="shared" si="42"/>
        <v>init/env_file_CLUSTER13_REPL2_ICHEC-EC-EARTH_historical.csv</v>
      </c>
      <c r="W155" s="16" t="str">
        <f t="shared" si="43"/>
        <v>init/env_grid_CLUSTER13_REPL2.asc</v>
      </c>
      <c r="X155" s="16" t="str">
        <f t="shared" si="44"/>
        <v>init/env_grid_CLUSTER13_REPL2.asc</v>
      </c>
      <c r="Y155" s="16" t="str">
        <f t="shared" si="45"/>
        <v>trees_CLUSTER13.csv</v>
      </c>
      <c r="Z155" s="16" t="str">
        <f t="shared" si="46"/>
        <v>saplings_CLUSTER13.csv</v>
      </c>
      <c r="AA155" s="16">
        <f t="shared" si="47"/>
        <v>350</v>
      </c>
      <c r="AB155" s="16" t="str">
        <f t="shared" si="48"/>
        <v>abe/no_mgmt.csv</v>
      </c>
      <c r="AC155" s="16" t="str">
        <f t="shared" si="49"/>
        <v>gis/WindModifier_cl13.asc</v>
      </c>
      <c r="AD155" s="16">
        <f t="shared" si="50"/>
        <v>4.1191188616223503E-7</v>
      </c>
      <c r="AE155" s="16" t="str">
        <f t="shared" si="53"/>
        <v>ICHEC-EC-EARTH_historical_point33292</v>
      </c>
      <c r="AF155" s="16" t="str">
        <f t="shared" si="51"/>
        <v>wind_Events/Scaled_cl13_repl2.txt</v>
      </c>
      <c r="AG155" s="16" t="str">
        <f t="shared" si="52"/>
        <v>ICHEC-EC-EARTH_Scaled_Cluster13_repl2</v>
      </c>
      <c r="AH155" s="16" t="s">
        <v>274</v>
      </c>
      <c r="AI155" s="16" t="s">
        <v>275</v>
      </c>
    </row>
    <row r="156" spans="1:35" ht="13.8">
      <c r="A156" s="7" t="str">
        <f t="shared" si="36"/>
        <v>MPI-M-MPI-ESM-LR_Scaled_Cluster13_repl2</v>
      </c>
      <c r="B156" s="8" t="s">
        <v>16</v>
      </c>
      <c r="C156" s="8" t="s">
        <v>54</v>
      </c>
      <c r="D156" s="9" t="s">
        <v>17</v>
      </c>
      <c r="E156" s="9" t="str">
        <f t="shared" si="37"/>
        <v>historical</v>
      </c>
      <c r="F156" s="8">
        <v>350</v>
      </c>
      <c r="G156" s="8" t="s">
        <v>63</v>
      </c>
      <c r="H156" s="8">
        <v>2</v>
      </c>
      <c r="I156" s="8">
        <v>4.1181188616223502E-7</v>
      </c>
      <c r="J156" s="8">
        <v>13</v>
      </c>
      <c r="K156" s="8" t="s">
        <v>167</v>
      </c>
      <c r="L156" s="8">
        <v>2</v>
      </c>
      <c r="M156" s="8"/>
      <c r="N156" s="8">
        <v>1</v>
      </c>
      <c r="O156" s="10" t="s">
        <v>21</v>
      </c>
      <c r="P156" s="17" t="s">
        <v>59</v>
      </c>
      <c r="Q156" s="10" t="str">
        <f t="shared" si="38"/>
        <v>MPI-M-MPI-ESM-LR_Scaled_Cluster13_repl2.sqlite</v>
      </c>
      <c r="R156" s="11">
        <f t="shared" si="39"/>
        <v>5</v>
      </c>
      <c r="S156" s="11">
        <v>0</v>
      </c>
      <c r="T156" s="16" t="str">
        <f t="shared" si="40"/>
        <v>climate_db_MPI-M-MPI-ESM-LR_historical_v4.sqlite</v>
      </c>
      <c r="U156" s="16" t="str">
        <f t="shared" si="41"/>
        <v>log/MPI-M-MPI-ESM-LR_Scaled_Cluster13_repl2.txt</v>
      </c>
      <c r="V156" s="16" t="str">
        <f t="shared" si="42"/>
        <v>init/env_file_CLUSTER13_REPL2_MPI-M-MPI-ESM-LR_historical.csv</v>
      </c>
      <c r="W156" s="16" t="str">
        <f t="shared" si="43"/>
        <v>init/env_grid_CLUSTER13_REPL2.asc</v>
      </c>
      <c r="X156" s="16" t="str">
        <f t="shared" si="44"/>
        <v>init/env_grid_CLUSTER13_REPL2.asc</v>
      </c>
      <c r="Y156" s="16" t="str">
        <f t="shared" si="45"/>
        <v>trees_CLUSTER13.csv</v>
      </c>
      <c r="Z156" s="16" t="str">
        <f t="shared" si="46"/>
        <v>saplings_CLUSTER13.csv</v>
      </c>
      <c r="AA156" s="16">
        <f t="shared" si="47"/>
        <v>350</v>
      </c>
      <c r="AB156" s="16" t="str">
        <f t="shared" si="48"/>
        <v>abe/no_mgmt.csv</v>
      </c>
      <c r="AC156" s="16" t="str">
        <f t="shared" si="49"/>
        <v>gis/WindModifier_cl13.asc</v>
      </c>
      <c r="AD156" s="16">
        <f t="shared" si="50"/>
        <v>4.1191188616223503E-7</v>
      </c>
      <c r="AE156" s="16" t="str">
        <f t="shared" si="53"/>
        <v>MPI-M-MPI-ESM-LR_historical_point33292</v>
      </c>
      <c r="AF156" s="16" t="str">
        <f t="shared" si="51"/>
        <v>wind_Events/Scaled_cl13_repl2.txt</v>
      </c>
      <c r="AG156" s="16" t="str">
        <f t="shared" si="52"/>
        <v>MPI-M-MPI-ESM-LR_Scaled_Cluster13_repl2</v>
      </c>
      <c r="AH156" s="16" t="s">
        <v>276</v>
      </c>
      <c r="AI156" s="16" t="s">
        <v>277</v>
      </c>
    </row>
    <row r="157" spans="1:35" ht="13.8">
      <c r="A157" s="7" t="str">
        <f t="shared" si="36"/>
        <v>NCC-NorESM1-M_Scaled_Cluster13_repl2</v>
      </c>
      <c r="B157" s="8" t="s">
        <v>16</v>
      </c>
      <c r="C157" s="8" t="s">
        <v>54</v>
      </c>
      <c r="D157" s="9" t="s">
        <v>17</v>
      </c>
      <c r="E157" s="9" t="str">
        <f t="shared" si="37"/>
        <v>historical</v>
      </c>
      <c r="F157" s="8">
        <v>350</v>
      </c>
      <c r="G157" s="8" t="s">
        <v>60</v>
      </c>
      <c r="H157" s="8">
        <v>3</v>
      </c>
      <c r="I157" s="8">
        <v>4.1181188616223502E-7</v>
      </c>
      <c r="J157" s="8">
        <v>13</v>
      </c>
      <c r="K157" s="8" t="s">
        <v>167</v>
      </c>
      <c r="L157" s="8">
        <v>2</v>
      </c>
      <c r="M157" s="8"/>
      <c r="N157" s="8">
        <v>1</v>
      </c>
      <c r="O157" s="10" t="s">
        <v>21</v>
      </c>
      <c r="P157" s="17" t="s">
        <v>59</v>
      </c>
      <c r="Q157" s="10" t="str">
        <f t="shared" si="38"/>
        <v>NCC-NorESM1-M_Scaled_Cluster13_repl2.sqlite</v>
      </c>
      <c r="R157" s="11">
        <f t="shared" si="39"/>
        <v>6</v>
      </c>
      <c r="S157" s="11">
        <v>0</v>
      </c>
      <c r="T157" s="16" t="str">
        <f t="shared" si="40"/>
        <v>climate_db_NCC-NorESM1-M_historical_v4.sqlite</v>
      </c>
      <c r="U157" s="16" t="str">
        <f t="shared" si="41"/>
        <v>log/NCC-NorESM1-M_Scaled_Cluster13_repl2.txt</v>
      </c>
      <c r="V157" s="16" t="str">
        <f t="shared" si="42"/>
        <v>init/env_file_CLUSTER13_REPL2_NCC-NorESM1-M_historical.csv</v>
      </c>
      <c r="W157" s="16" t="str">
        <f t="shared" si="43"/>
        <v>init/env_grid_CLUSTER13_REPL2.asc</v>
      </c>
      <c r="X157" s="16" t="str">
        <f t="shared" si="44"/>
        <v>init/env_grid_CLUSTER13_REPL2.asc</v>
      </c>
      <c r="Y157" s="16" t="str">
        <f t="shared" si="45"/>
        <v>trees_CLUSTER13.csv</v>
      </c>
      <c r="Z157" s="16" t="str">
        <f t="shared" si="46"/>
        <v>saplings_CLUSTER13.csv</v>
      </c>
      <c r="AA157" s="16">
        <f t="shared" si="47"/>
        <v>350</v>
      </c>
      <c r="AB157" s="16" t="str">
        <f t="shared" si="48"/>
        <v>abe/no_mgmt.csv</v>
      </c>
      <c r="AC157" s="16" t="str">
        <f t="shared" si="49"/>
        <v>gis/WindModifier_cl13.asc</v>
      </c>
      <c r="AD157" s="16">
        <f t="shared" si="50"/>
        <v>4.1191188616223503E-7</v>
      </c>
      <c r="AE157" s="16" t="str">
        <f t="shared" si="53"/>
        <v>NCC-NorESM1-M_historical_point33292</v>
      </c>
      <c r="AF157" s="16" t="str">
        <f t="shared" si="51"/>
        <v>wind_Events/Scaled_cl13_repl2.txt</v>
      </c>
      <c r="AG157" s="16" t="str">
        <f t="shared" si="52"/>
        <v>NCC-NorESM1-M_Scaled_Cluster13_repl2</v>
      </c>
      <c r="AH157" s="16" t="s">
        <v>278</v>
      </c>
      <c r="AI157" s="16" t="s">
        <v>279</v>
      </c>
    </row>
    <row r="158" spans="1:35" ht="13.8">
      <c r="A158" s="7" t="str">
        <f t="shared" si="36"/>
        <v>ICHEC-EC-EARTH_Scaled_Cluster13_repl3</v>
      </c>
      <c r="B158" s="8" t="s">
        <v>16</v>
      </c>
      <c r="C158" s="8" t="s">
        <v>54</v>
      </c>
      <c r="D158" s="9" t="s">
        <v>17</v>
      </c>
      <c r="E158" s="9" t="str">
        <f t="shared" si="37"/>
        <v>historical</v>
      </c>
      <c r="F158" s="8">
        <v>350</v>
      </c>
      <c r="G158" s="8" t="s">
        <v>18</v>
      </c>
      <c r="H158" s="8">
        <v>1</v>
      </c>
      <c r="I158" s="8">
        <v>4.1181188616223502E-7</v>
      </c>
      <c r="J158" s="8">
        <v>13</v>
      </c>
      <c r="K158" s="8" t="s">
        <v>167</v>
      </c>
      <c r="L158" s="8">
        <v>3</v>
      </c>
      <c r="M158" s="8"/>
      <c r="N158" s="8">
        <v>1</v>
      </c>
      <c r="O158" s="10" t="s">
        <v>21</v>
      </c>
      <c r="P158" s="17" t="s">
        <v>59</v>
      </c>
      <c r="Q158" s="10" t="str">
        <f t="shared" si="38"/>
        <v>ICHEC-EC-EARTH_Scaled_Cluster13_repl3.sqlite</v>
      </c>
      <c r="R158" s="11">
        <f t="shared" si="39"/>
        <v>7</v>
      </c>
      <c r="S158" s="11">
        <v>0</v>
      </c>
      <c r="T158" s="16" t="str">
        <f t="shared" si="40"/>
        <v>climate_db_ICHEC-EC-EARTH_historical_v4.sqlite</v>
      </c>
      <c r="U158" s="16" t="str">
        <f t="shared" si="41"/>
        <v>log/ICHEC-EC-EARTH_Scaled_Cluster13_repl3.txt</v>
      </c>
      <c r="V158" s="16" t="str">
        <f t="shared" si="42"/>
        <v>init/env_file_CLUSTER13_REPL3_ICHEC-EC-EARTH_historical.csv</v>
      </c>
      <c r="W158" s="16" t="str">
        <f t="shared" si="43"/>
        <v>init/env_grid_CLUSTER13_REPL3.asc</v>
      </c>
      <c r="X158" s="16" t="str">
        <f t="shared" si="44"/>
        <v>init/env_grid_CLUSTER13_REPL3.asc</v>
      </c>
      <c r="Y158" s="16" t="str">
        <f t="shared" si="45"/>
        <v>trees_CLUSTER13.csv</v>
      </c>
      <c r="Z158" s="16" t="str">
        <f t="shared" si="46"/>
        <v>saplings_CLUSTER13.csv</v>
      </c>
      <c r="AA158" s="16">
        <f t="shared" si="47"/>
        <v>350</v>
      </c>
      <c r="AB158" s="16" t="str">
        <f t="shared" si="48"/>
        <v>abe/no_mgmt.csv</v>
      </c>
      <c r="AC158" s="16" t="str">
        <f t="shared" si="49"/>
        <v>gis/WindModifier_cl13.asc</v>
      </c>
      <c r="AD158" s="16">
        <f t="shared" si="50"/>
        <v>4.1191188616223503E-7</v>
      </c>
      <c r="AE158" s="16" t="str">
        <f t="shared" si="53"/>
        <v>ICHEC-EC-EARTH_historical_point33292</v>
      </c>
      <c r="AF158" s="16" t="str">
        <f t="shared" si="51"/>
        <v>wind_Events/Scaled_cl13_repl3.txt</v>
      </c>
      <c r="AG158" s="16" t="str">
        <f t="shared" si="52"/>
        <v>ICHEC-EC-EARTH_Scaled_Cluster13_repl3</v>
      </c>
      <c r="AH158" s="16" t="s">
        <v>280</v>
      </c>
      <c r="AI158" s="16" t="s">
        <v>281</v>
      </c>
    </row>
    <row r="159" spans="1:35" ht="13.8">
      <c r="A159" s="7" t="str">
        <f t="shared" si="36"/>
        <v>MPI-M-MPI-ESM-LR_Scaled_Cluster13_repl3</v>
      </c>
      <c r="B159" s="8" t="s">
        <v>16</v>
      </c>
      <c r="C159" s="8" t="s">
        <v>54</v>
      </c>
      <c r="D159" s="9" t="s">
        <v>17</v>
      </c>
      <c r="E159" s="9" t="str">
        <f t="shared" si="37"/>
        <v>historical</v>
      </c>
      <c r="F159" s="8">
        <v>350</v>
      </c>
      <c r="G159" s="8" t="s">
        <v>63</v>
      </c>
      <c r="H159" s="8">
        <v>2</v>
      </c>
      <c r="I159" s="8">
        <v>4.1181188616223502E-7</v>
      </c>
      <c r="J159" s="8">
        <v>13</v>
      </c>
      <c r="K159" s="8" t="s">
        <v>167</v>
      </c>
      <c r="L159" s="8">
        <v>3</v>
      </c>
      <c r="M159" s="8"/>
      <c r="N159" s="8">
        <v>1</v>
      </c>
      <c r="O159" s="10" t="s">
        <v>21</v>
      </c>
      <c r="P159" s="17" t="s">
        <v>59</v>
      </c>
      <c r="Q159" s="10" t="str">
        <f t="shared" si="38"/>
        <v>MPI-M-MPI-ESM-LR_Scaled_Cluster13_repl3.sqlite</v>
      </c>
      <c r="R159" s="11">
        <f t="shared" si="39"/>
        <v>8</v>
      </c>
      <c r="S159" s="11">
        <v>0</v>
      </c>
      <c r="T159" s="16" t="str">
        <f t="shared" si="40"/>
        <v>climate_db_MPI-M-MPI-ESM-LR_historical_v4.sqlite</v>
      </c>
      <c r="U159" s="16" t="str">
        <f t="shared" si="41"/>
        <v>log/MPI-M-MPI-ESM-LR_Scaled_Cluster13_repl3.txt</v>
      </c>
      <c r="V159" s="16" t="str">
        <f t="shared" si="42"/>
        <v>init/env_file_CLUSTER13_REPL3_MPI-M-MPI-ESM-LR_historical.csv</v>
      </c>
      <c r="W159" s="16" t="str">
        <f t="shared" si="43"/>
        <v>init/env_grid_CLUSTER13_REPL3.asc</v>
      </c>
      <c r="X159" s="16" t="str">
        <f t="shared" si="44"/>
        <v>init/env_grid_CLUSTER13_REPL3.asc</v>
      </c>
      <c r="Y159" s="16" t="str">
        <f t="shared" si="45"/>
        <v>trees_CLUSTER13.csv</v>
      </c>
      <c r="Z159" s="16" t="str">
        <f t="shared" si="46"/>
        <v>saplings_CLUSTER13.csv</v>
      </c>
      <c r="AA159" s="16">
        <f t="shared" si="47"/>
        <v>350</v>
      </c>
      <c r="AB159" s="16" t="str">
        <f t="shared" si="48"/>
        <v>abe/no_mgmt.csv</v>
      </c>
      <c r="AC159" s="16" t="str">
        <f t="shared" si="49"/>
        <v>gis/WindModifier_cl13.asc</v>
      </c>
      <c r="AD159" s="16">
        <f t="shared" si="50"/>
        <v>4.1191188616223503E-7</v>
      </c>
      <c r="AE159" s="16" t="str">
        <f t="shared" si="53"/>
        <v>MPI-M-MPI-ESM-LR_historical_point33292</v>
      </c>
      <c r="AF159" s="16" t="str">
        <f t="shared" si="51"/>
        <v>wind_Events/Scaled_cl13_repl3.txt</v>
      </c>
      <c r="AG159" s="16" t="str">
        <f t="shared" si="52"/>
        <v>MPI-M-MPI-ESM-LR_Scaled_Cluster13_repl3</v>
      </c>
      <c r="AH159" s="16" t="s">
        <v>282</v>
      </c>
      <c r="AI159" s="16" t="s">
        <v>283</v>
      </c>
    </row>
    <row r="160" spans="1:35" ht="13.8">
      <c r="A160" s="7" t="str">
        <f t="shared" si="36"/>
        <v>NCC-NorESM1-M_Scaled_Cluster13_repl3</v>
      </c>
      <c r="B160" s="8" t="s">
        <v>16</v>
      </c>
      <c r="C160" s="8" t="s">
        <v>54</v>
      </c>
      <c r="D160" s="9" t="s">
        <v>17</v>
      </c>
      <c r="E160" s="9" t="str">
        <f t="shared" si="37"/>
        <v>historical</v>
      </c>
      <c r="F160" s="8">
        <v>350</v>
      </c>
      <c r="G160" s="8" t="s">
        <v>60</v>
      </c>
      <c r="H160" s="8">
        <v>3</v>
      </c>
      <c r="I160" s="8">
        <v>4.1181188616223502E-7</v>
      </c>
      <c r="J160" s="8">
        <v>13</v>
      </c>
      <c r="K160" s="8" t="s">
        <v>167</v>
      </c>
      <c r="L160" s="8">
        <v>3</v>
      </c>
      <c r="M160" s="8"/>
      <c r="N160" s="8">
        <v>1</v>
      </c>
      <c r="O160" s="10" t="s">
        <v>21</v>
      </c>
      <c r="P160" s="17" t="s">
        <v>59</v>
      </c>
      <c r="Q160" s="10" t="str">
        <f t="shared" si="38"/>
        <v>NCC-NorESM1-M_Scaled_Cluster13_repl3.sqlite</v>
      </c>
      <c r="R160" s="11">
        <f t="shared" si="39"/>
        <v>9</v>
      </c>
      <c r="S160" s="11">
        <v>0</v>
      </c>
      <c r="T160" s="16" t="str">
        <f t="shared" si="40"/>
        <v>climate_db_NCC-NorESM1-M_historical_v4.sqlite</v>
      </c>
      <c r="U160" s="16" t="str">
        <f t="shared" si="41"/>
        <v>log/NCC-NorESM1-M_Scaled_Cluster13_repl3.txt</v>
      </c>
      <c r="V160" s="16" t="str">
        <f t="shared" si="42"/>
        <v>init/env_file_CLUSTER13_REPL3_NCC-NorESM1-M_historical.csv</v>
      </c>
      <c r="W160" s="16" t="str">
        <f t="shared" si="43"/>
        <v>init/env_grid_CLUSTER13_REPL3.asc</v>
      </c>
      <c r="X160" s="16" t="str">
        <f t="shared" si="44"/>
        <v>init/env_grid_CLUSTER13_REPL3.asc</v>
      </c>
      <c r="Y160" s="16" t="str">
        <f t="shared" si="45"/>
        <v>trees_CLUSTER13.csv</v>
      </c>
      <c r="Z160" s="16" t="str">
        <f t="shared" si="46"/>
        <v>saplings_CLUSTER13.csv</v>
      </c>
      <c r="AA160" s="16">
        <f t="shared" si="47"/>
        <v>350</v>
      </c>
      <c r="AB160" s="16" t="str">
        <f t="shared" si="48"/>
        <v>abe/no_mgmt.csv</v>
      </c>
      <c r="AC160" s="16" t="str">
        <f t="shared" si="49"/>
        <v>gis/WindModifier_cl13.asc</v>
      </c>
      <c r="AD160" s="16">
        <f t="shared" si="50"/>
        <v>4.1191188616223503E-7</v>
      </c>
      <c r="AE160" s="16" t="str">
        <f t="shared" si="53"/>
        <v>NCC-NorESM1-M_historical_point33292</v>
      </c>
      <c r="AF160" s="16" t="str">
        <f t="shared" si="51"/>
        <v>wind_Events/Scaled_cl13_repl3.txt</v>
      </c>
      <c r="AG160" s="16" t="str">
        <f t="shared" si="52"/>
        <v>NCC-NorESM1-M_Scaled_Cluster13_repl3</v>
      </c>
      <c r="AH160" s="16" t="s">
        <v>284</v>
      </c>
      <c r="AI160" s="16" t="s">
        <v>285</v>
      </c>
    </row>
    <row r="161" spans="1:35" ht="13.8">
      <c r="A161" s="7" t="str">
        <f t="shared" si="36"/>
        <v>ICHEC-EC-EARTH_Scaled_Cluster13_repl4</v>
      </c>
      <c r="B161" s="8" t="s">
        <v>16</v>
      </c>
      <c r="C161" s="8" t="s">
        <v>54</v>
      </c>
      <c r="D161" s="9" t="s">
        <v>17</v>
      </c>
      <c r="E161" s="9" t="str">
        <f t="shared" si="37"/>
        <v>historical</v>
      </c>
      <c r="F161" s="8">
        <v>350</v>
      </c>
      <c r="G161" s="8" t="s">
        <v>18</v>
      </c>
      <c r="H161" s="8">
        <v>1</v>
      </c>
      <c r="I161" s="8">
        <v>4.1181188616223502E-7</v>
      </c>
      <c r="J161" s="8">
        <v>13</v>
      </c>
      <c r="K161" s="8" t="s">
        <v>167</v>
      </c>
      <c r="L161" s="8">
        <v>4</v>
      </c>
      <c r="M161" s="8"/>
      <c r="N161" s="8">
        <v>1</v>
      </c>
      <c r="O161" s="10" t="s">
        <v>21</v>
      </c>
      <c r="P161" s="17" t="s">
        <v>59</v>
      </c>
      <c r="Q161" s="10" t="str">
        <f t="shared" si="38"/>
        <v>ICHEC-EC-EARTH_Scaled_Cluster13_repl4.sqlite</v>
      </c>
      <c r="R161" s="11">
        <f t="shared" si="39"/>
        <v>10</v>
      </c>
      <c r="S161" s="11">
        <v>0</v>
      </c>
      <c r="T161" s="16" t="str">
        <f t="shared" si="40"/>
        <v>climate_db_ICHEC-EC-EARTH_historical_v4.sqlite</v>
      </c>
      <c r="U161" s="16" t="str">
        <f t="shared" si="41"/>
        <v>log/ICHEC-EC-EARTH_Scaled_Cluster13_repl4.txt</v>
      </c>
      <c r="V161" s="16" t="str">
        <f t="shared" si="42"/>
        <v>init/env_file_CLUSTER13_REPL4_ICHEC-EC-EARTH_historical.csv</v>
      </c>
      <c r="W161" s="16" t="str">
        <f t="shared" si="43"/>
        <v>init/env_grid_CLUSTER13_REPL4.asc</v>
      </c>
      <c r="X161" s="16" t="str">
        <f t="shared" si="44"/>
        <v>init/env_grid_CLUSTER13_REPL4.asc</v>
      </c>
      <c r="Y161" s="16" t="str">
        <f t="shared" si="45"/>
        <v>trees_CLUSTER13.csv</v>
      </c>
      <c r="Z161" s="16" t="str">
        <f t="shared" si="46"/>
        <v>saplings_CLUSTER13.csv</v>
      </c>
      <c r="AA161" s="16">
        <f t="shared" si="47"/>
        <v>350</v>
      </c>
      <c r="AB161" s="16" t="str">
        <f t="shared" si="48"/>
        <v>abe/no_mgmt.csv</v>
      </c>
      <c r="AC161" s="16" t="str">
        <f t="shared" si="49"/>
        <v>gis/WindModifier_cl13.asc</v>
      </c>
      <c r="AD161" s="16">
        <f t="shared" si="50"/>
        <v>4.1191188616223503E-7</v>
      </c>
      <c r="AE161" s="16" t="str">
        <f t="shared" si="53"/>
        <v>ICHEC-EC-EARTH_historical_point33292</v>
      </c>
      <c r="AF161" s="16" t="str">
        <f t="shared" si="51"/>
        <v>wind_Events/Scaled_cl13_repl4.txt</v>
      </c>
      <c r="AG161" s="16" t="str">
        <f t="shared" si="52"/>
        <v>ICHEC-EC-EARTH_Scaled_Cluster13_repl4</v>
      </c>
      <c r="AH161" s="16" t="s">
        <v>286</v>
      </c>
      <c r="AI161" s="16" t="s">
        <v>287</v>
      </c>
    </row>
    <row r="162" spans="1:35" ht="13.8">
      <c r="A162" s="7" t="str">
        <f t="shared" si="36"/>
        <v>MPI-M-MPI-ESM-LR_Scaled_Cluster13_repl4</v>
      </c>
      <c r="B162" s="8" t="s">
        <v>16</v>
      </c>
      <c r="C162" s="8" t="s">
        <v>54</v>
      </c>
      <c r="D162" s="9" t="s">
        <v>17</v>
      </c>
      <c r="E162" s="9" t="str">
        <f t="shared" si="37"/>
        <v>historical</v>
      </c>
      <c r="F162" s="8">
        <v>350</v>
      </c>
      <c r="G162" s="8" t="s">
        <v>63</v>
      </c>
      <c r="H162" s="8">
        <v>2</v>
      </c>
      <c r="I162" s="8">
        <v>4.1181188616223502E-7</v>
      </c>
      <c r="J162" s="8">
        <v>13</v>
      </c>
      <c r="K162" s="8" t="s">
        <v>167</v>
      </c>
      <c r="L162" s="8">
        <v>4</v>
      </c>
      <c r="M162" s="8"/>
      <c r="N162" s="8">
        <v>1</v>
      </c>
      <c r="O162" s="10" t="s">
        <v>21</v>
      </c>
      <c r="P162" s="17" t="s">
        <v>59</v>
      </c>
      <c r="Q162" s="10" t="str">
        <f t="shared" si="38"/>
        <v>MPI-M-MPI-ESM-LR_Scaled_Cluster13_repl4.sqlite</v>
      </c>
      <c r="R162" s="11">
        <f t="shared" si="39"/>
        <v>11</v>
      </c>
      <c r="S162" s="11">
        <v>0</v>
      </c>
      <c r="T162" s="16" t="str">
        <f t="shared" si="40"/>
        <v>climate_db_MPI-M-MPI-ESM-LR_historical_v4.sqlite</v>
      </c>
      <c r="U162" s="16" t="str">
        <f t="shared" si="41"/>
        <v>log/MPI-M-MPI-ESM-LR_Scaled_Cluster13_repl4.txt</v>
      </c>
      <c r="V162" s="16" t="str">
        <f t="shared" si="42"/>
        <v>init/env_file_CLUSTER13_REPL4_MPI-M-MPI-ESM-LR_historical.csv</v>
      </c>
      <c r="W162" s="16" t="str">
        <f t="shared" si="43"/>
        <v>init/env_grid_CLUSTER13_REPL4.asc</v>
      </c>
      <c r="X162" s="16" t="str">
        <f t="shared" si="44"/>
        <v>init/env_grid_CLUSTER13_REPL4.asc</v>
      </c>
      <c r="Y162" s="16" t="str">
        <f t="shared" si="45"/>
        <v>trees_CLUSTER13.csv</v>
      </c>
      <c r="Z162" s="16" t="str">
        <f t="shared" si="46"/>
        <v>saplings_CLUSTER13.csv</v>
      </c>
      <c r="AA162" s="16">
        <f t="shared" si="47"/>
        <v>350</v>
      </c>
      <c r="AB162" s="16" t="str">
        <f t="shared" si="48"/>
        <v>abe/no_mgmt.csv</v>
      </c>
      <c r="AC162" s="16" t="str">
        <f t="shared" si="49"/>
        <v>gis/WindModifier_cl13.asc</v>
      </c>
      <c r="AD162" s="16">
        <f t="shared" si="50"/>
        <v>4.1191188616223503E-7</v>
      </c>
      <c r="AE162" s="16" t="str">
        <f t="shared" si="53"/>
        <v>MPI-M-MPI-ESM-LR_historical_point33292</v>
      </c>
      <c r="AF162" s="16" t="str">
        <f t="shared" si="51"/>
        <v>wind_Events/Scaled_cl13_repl4.txt</v>
      </c>
      <c r="AG162" s="16" t="str">
        <f t="shared" si="52"/>
        <v>MPI-M-MPI-ESM-LR_Scaled_Cluster13_repl4</v>
      </c>
      <c r="AH162" s="16" t="s">
        <v>288</v>
      </c>
      <c r="AI162" s="16" t="s">
        <v>289</v>
      </c>
    </row>
    <row r="163" spans="1:35" ht="13.8">
      <c r="A163" s="7" t="str">
        <f t="shared" si="36"/>
        <v>NCC-NorESM1-M_Scaled_Cluster13_repl4</v>
      </c>
      <c r="B163" s="8" t="s">
        <v>16</v>
      </c>
      <c r="C163" s="8" t="s">
        <v>54</v>
      </c>
      <c r="D163" s="9" t="s">
        <v>17</v>
      </c>
      <c r="E163" s="9" t="str">
        <f t="shared" si="37"/>
        <v>historical</v>
      </c>
      <c r="F163" s="8">
        <v>350</v>
      </c>
      <c r="G163" s="8" t="s">
        <v>60</v>
      </c>
      <c r="H163" s="8">
        <v>3</v>
      </c>
      <c r="I163" s="8">
        <v>4.1181188616223502E-7</v>
      </c>
      <c r="J163" s="8">
        <v>13</v>
      </c>
      <c r="K163" s="8" t="s">
        <v>167</v>
      </c>
      <c r="L163" s="8">
        <v>4</v>
      </c>
      <c r="M163" s="8"/>
      <c r="N163" s="8">
        <v>1</v>
      </c>
      <c r="O163" s="10" t="s">
        <v>21</v>
      </c>
      <c r="P163" s="17" t="s">
        <v>59</v>
      </c>
      <c r="Q163" s="10" t="str">
        <f t="shared" si="38"/>
        <v>NCC-NorESM1-M_Scaled_Cluster13_repl4.sqlite</v>
      </c>
      <c r="R163" s="11">
        <f t="shared" si="39"/>
        <v>12</v>
      </c>
      <c r="S163" s="11">
        <v>0</v>
      </c>
      <c r="T163" s="16" t="str">
        <f t="shared" si="40"/>
        <v>climate_db_NCC-NorESM1-M_historical_v4.sqlite</v>
      </c>
      <c r="U163" s="16" t="str">
        <f t="shared" si="41"/>
        <v>log/NCC-NorESM1-M_Scaled_Cluster13_repl4.txt</v>
      </c>
      <c r="V163" s="16" t="str">
        <f t="shared" si="42"/>
        <v>init/env_file_CLUSTER13_REPL4_NCC-NorESM1-M_historical.csv</v>
      </c>
      <c r="W163" s="16" t="str">
        <f t="shared" si="43"/>
        <v>init/env_grid_CLUSTER13_REPL4.asc</v>
      </c>
      <c r="X163" s="16" t="str">
        <f t="shared" si="44"/>
        <v>init/env_grid_CLUSTER13_REPL4.asc</v>
      </c>
      <c r="Y163" s="16" t="str">
        <f t="shared" si="45"/>
        <v>trees_CLUSTER13.csv</v>
      </c>
      <c r="Z163" s="16" t="str">
        <f t="shared" si="46"/>
        <v>saplings_CLUSTER13.csv</v>
      </c>
      <c r="AA163" s="16">
        <f t="shared" si="47"/>
        <v>350</v>
      </c>
      <c r="AB163" s="16" t="str">
        <f t="shared" si="48"/>
        <v>abe/no_mgmt.csv</v>
      </c>
      <c r="AC163" s="16" t="str">
        <f t="shared" si="49"/>
        <v>gis/WindModifier_cl13.asc</v>
      </c>
      <c r="AD163" s="16">
        <f t="shared" si="50"/>
        <v>4.1191188616223503E-7</v>
      </c>
      <c r="AE163" s="16" t="str">
        <f t="shared" si="53"/>
        <v>NCC-NorESM1-M_historical_point33292</v>
      </c>
      <c r="AF163" s="16" t="str">
        <f t="shared" si="51"/>
        <v>wind_Events/Scaled_cl13_repl4.txt</v>
      </c>
      <c r="AG163" s="16" t="str">
        <f t="shared" si="52"/>
        <v>NCC-NorESM1-M_Scaled_Cluster13_repl4</v>
      </c>
      <c r="AH163" s="16" t="s">
        <v>290</v>
      </c>
      <c r="AI163" s="16" t="s">
        <v>291</v>
      </c>
    </row>
    <row r="164" spans="1:35" ht="13.8">
      <c r="A164" s="7" t="str">
        <f t="shared" si="36"/>
        <v>ICHEC-EC-EARTH_Scaled_Cluster13_repl5</v>
      </c>
      <c r="B164" s="8" t="s">
        <v>16</v>
      </c>
      <c r="C164" s="8" t="s">
        <v>54</v>
      </c>
      <c r="D164" s="9" t="s">
        <v>17</v>
      </c>
      <c r="E164" s="9" t="str">
        <f t="shared" si="37"/>
        <v>historical</v>
      </c>
      <c r="F164" s="8">
        <v>350</v>
      </c>
      <c r="G164" s="8" t="s">
        <v>18</v>
      </c>
      <c r="H164" s="8">
        <v>1</v>
      </c>
      <c r="I164" s="8">
        <v>4.1181188616223502E-7</v>
      </c>
      <c r="J164" s="8">
        <v>13</v>
      </c>
      <c r="K164" s="8" t="s">
        <v>167</v>
      </c>
      <c r="L164" s="8">
        <v>5</v>
      </c>
      <c r="M164" s="8"/>
      <c r="N164" s="8">
        <v>1</v>
      </c>
      <c r="O164" s="10" t="s">
        <v>21</v>
      </c>
      <c r="P164" s="17" t="s">
        <v>59</v>
      </c>
      <c r="Q164" s="10" t="str">
        <f t="shared" si="38"/>
        <v>ICHEC-EC-EARTH_Scaled_Cluster13_repl5.sqlite</v>
      </c>
      <c r="R164" s="11">
        <f t="shared" si="39"/>
        <v>13</v>
      </c>
      <c r="S164" s="11">
        <v>0</v>
      </c>
      <c r="T164" s="16" t="str">
        <f t="shared" si="40"/>
        <v>climate_db_ICHEC-EC-EARTH_historical_v4.sqlite</v>
      </c>
      <c r="U164" s="16" t="str">
        <f t="shared" si="41"/>
        <v>log/ICHEC-EC-EARTH_Scaled_Cluster13_repl5.txt</v>
      </c>
      <c r="V164" s="16" t="str">
        <f t="shared" si="42"/>
        <v>init/env_file_CLUSTER13_REPL5_ICHEC-EC-EARTH_historical.csv</v>
      </c>
      <c r="W164" s="16" t="str">
        <f t="shared" si="43"/>
        <v>init/env_grid_CLUSTER13_REPL5.asc</v>
      </c>
      <c r="X164" s="16" t="str">
        <f t="shared" si="44"/>
        <v>init/env_grid_CLUSTER13_REPL5.asc</v>
      </c>
      <c r="Y164" s="16" t="str">
        <f t="shared" si="45"/>
        <v>trees_CLUSTER13.csv</v>
      </c>
      <c r="Z164" s="16" t="str">
        <f t="shared" si="46"/>
        <v>saplings_CLUSTER13.csv</v>
      </c>
      <c r="AA164" s="16">
        <f t="shared" si="47"/>
        <v>350</v>
      </c>
      <c r="AB164" s="16" t="str">
        <f t="shared" si="48"/>
        <v>abe/no_mgmt.csv</v>
      </c>
      <c r="AC164" s="16" t="str">
        <f t="shared" si="49"/>
        <v>gis/WindModifier_cl13.asc</v>
      </c>
      <c r="AD164" s="16">
        <f t="shared" si="50"/>
        <v>4.1191188616223503E-7</v>
      </c>
      <c r="AE164" s="16" t="str">
        <f t="shared" si="53"/>
        <v>ICHEC-EC-EARTH_historical_point33292</v>
      </c>
      <c r="AF164" s="16" t="str">
        <f t="shared" si="51"/>
        <v>wind_Events/Scaled_cl13_repl5.txt</v>
      </c>
      <c r="AG164" s="16" t="str">
        <f t="shared" si="52"/>
        <v>ICHEC-EC-EARTH_Scaled_Cluster13_repl5</v>
      </c>
      <c r="AH164" s="16" t="s">
        <v>292</v>
      </c>
      <c r="AI164" s="16" t="s">
        <v>293</v>
      </c>
    </row>
    <row r="165" spans="1:35" ht="13.8">
      <c r="A165" s="7" t="str">
        <f t="shared" si="36"/>
        <v>MPI-M-MPI-ESM-LR_Scaled_Cluster13_repl5</v>
      </c>
      <c r="B165" s="8" t="s">
        <v>16</v>
      </c>
      <c r="C165" s="8" t="s">
        <v>54</v>
      </c>
      <c r="D165" s="9" t="s">
        <v>17</v>
      </c>
      <c r="E165" s="9" t="str">
        <f t="shared" si="37"/>
        <v>historical</v>
      </c>
      <c r="F165" s="8">
        <v>350</v>
      </c>
      <c r="G165" s="8" t="s">
        <v>63</v>
      </c>
      <c r="H165" s="8">
        <v>2</v>
      </c>
      <c r="I165" s="8">
        <v>4.1181188616223502E-7</v>
      </c>
      <c r="J165" s="8">
        <v>13</v>
      </c>
      <c r="K165" s="8" t="s">
        <v>167</v>
      </c>
      <c r="L165" s="8">
        <v>5</v>
      </c>
      <c r="M165" s="8"/>
      <c r="N165" s="8">
        <v>1</v>
      </c>
      <c r="O165" s="10" t="s">
        <v>21</v>
      </c>
      <c r="P165" s="17" t="s">
        <v>59</v>
      </c>
      <c r="Q165" s="10" t="str">
        <f t="shared" si="38"/>
        <v>MPI-M-MPI-ESM-LR_Scaled_Cluster13_repl5.sqlite</v>
      </c>
      <c r="R165" s="11">
        <f t="shared" si="39"/>
        <v>14</v>
      </c>
      <c r="S165" s="11">
        <v>0</v>
      </c>
      <c r="T165" s="16" t="str">
        <f t="shared" si="40"/>
        <v>climate_db_MPI-M-MPI-ESM-LR_historical_v4.sqlite</v>
      </c>
      <c r="U165" s="16" t="str">
        <f t="shared" si="41"/>
        <v>log/MPI-M-MPI-ESM-LR_Scaled_Cluster13_repl5.txt</v>
      </c>
      <c r="V165" s="16" t="str">
        <f t="shared" si="42"/>
        <v>init/env_file_CLUSTER13_REPL5_MPI-M-MPI-ESM-LR_historical.csv</v>
      </c>
      <c r="W165" s="16" t="str">
        <f t="shared" si="43"/>
        <v>init/env_grid_CLUSTER13_REPL5.asc</v>
      </c>
      <c r="X165" s="16" t="str">
        <f t="shared" si="44"/>
        <v>init/env_grid_CLUSTER13_REPL5.asc</v>
      </c>
      <c r="Y165" s="16" t="str">
        <f t="shared" si="45"/>
        <v>trees_CLUSTER13.csv</v>
      </c>
      <c r="Z165" s="16" t="str">
        <f t="shared" si="46"/>
        <v>saplings_CLUSTER13.csv</v>
      </c>
      <c r="AA165" s="16">
        <f t="shared" si="47"/>
        <v>350</v>
      </c>
      <c r="AB165" s="16" t="str">
        <f t="shared" si="48"/>
        <v>abe/no_mgmt.csv</v>
      </c>
      <c r="AC165" s="16" t="str">
        <f t="shared" si="49"/>
        <v>gis/WindModifier_cl13.asc</v>
      </c>
      <c r="AD165" s="16">
        <f t="shared" si="50"/>
        <v>4.1191188616223503E-7</v>
      </c>
      <c r="AE165" s="16" t="str">
        <f t="shared" si="53"/>
        <v>MPI-M-MPI-ESM-LR_historical_point33292</v>
      </c>
      <c r="AF165" s="16" t="str">
        <f t="shared" si="51"/>
        <v>wind_Events/Scaled_cl13_repl5.txt</v>
      </c>
      <c r="AG165" s="16" t="str">
        <f t="shared" si="52"/>
        <v>MPI-M-MPI-ESM-LR_Scaled_Cluster13_repl5</v>
      </c>
      <c r="AH165" s="16" t="s">
        <v>294</v>
      </c>
      <c r="AI165" s="16" t="s">
        <v>295</v>
      </c>
    </row>
    <row r="166" spans="1:35" ht="13.8">
      <c r="A166" s="7" t="str">
        <f t="shared" si="36"/>
        <v>NCC-NorESM1-M_Scaled_Cluster13_repl5</v>
      </c>
      <c r="B166" s="8" t="s">
        <v>16</v>
      </c>
      <c r="C166" s="8" t="s">
        <v>54</v>
      </c>
      <c r="D166" s="9" t="s">
        <v>17</v>
      </c>
      <c r="E166" s="9" t="str">
        <f t="shared" si="37"/>
        <v>historical</v>
      </c>
      <c r="F166" s="8">
        <v>350</v>
      </c>
      <c r="G166" s="8" t="s">
        <v>60</v>
      </c>
      <c r="H166" s="8">
        <v>3</v>
      </c>
      <c r="I166" s="8">
        <v>4.1181188616223502E-7</v>
      </c>
      <c r="J166" s="8">
        <v>13</v>
      </c>
      <c r="K166" s="8" t="s">
        <v>167</v>
      </c>
      <c r="L166" s="8">
        <v>5</v>
      </c>
      <c r="M166" s="8"/>
      <c r="N166" s="8">
        <v>1</v>
      </c>
      <c r="O166" s="10" t="s">
        <v>21</v>
      </c>
      <c r="P166" s="17" t="s">
        <v>59</v>
      </c>
      <c r="Q166" s="10" t="str">
        <f t="shared" si="38"/>
        <v>NCC-NorESM1-M_Scaled_Cluster13_repl5.sqlite</v>
      </c>
      <c r="R166" s="11">
        <f t="shared" si="39"/>
        <v>15</v>
      </c>
      <c r="S166" s="11">
        <v>0</v>
      </c>
      <c r="T166" s="16" t="str">
        <f t="shared" si="40"/>
        <v>climate_db_NCC-NorESM1-M_historical_v4.sqlite</v>
      </c>
      <c r="U166" s="16" t="str">
        <f t="shared" si="41"/>
        <v>log/NCC-NorESM1-M_Scaled_Cluster13_repl5.txt</v>
      </c>
      <c r="V166" s="16" t="str">
        <f t="shared" si="42"/>
        <v>init/env_file_CLUSTER13_REPL5_NCC-NorESM1-M_historical.csv</v>
      </c>
      <c r="W166" s="16" t="str">
        <f t="shared" si="43"/>
        <v>init/env_grid_CLUSTER13_REPL5.asc</v>
      </c>
      <c r="X166" s="16" t="str">
        <f t="shared" si="44"/>
        <v>init/env_grid_CLUSTER13_REPL5.asc</v>
      </c>
      <c r="Y166" s="16" t="str">
        <f t="shared" si="45"/>
        <v>trees_CLUSTER13.csv</v>
      </c>
      <c r="Z166" s="16" t="str">
        <f t="shared" si="46"/>
        <v>saplings_CLUSTER13.csv</v>
      </c>
      <c r="AA166" s="16">
        <f t="shared" si="47"/>
        <v>350</v>
      </c>
      <c r="AB166" s="16" t="str">
        <f t="shared" si="48"/>
        <v>abe/no_mgmt.csv</v>
      </c>
      <c r="AC166" s="16" t="str">
        <f t="shared" si="49"/>
        <v>gis/WindModifier_cl13.asc</v>
      </c>
      <c r="AD166" s="16">
        <f t="shared" si="50"/>
        <v>4.1191188616223503E-7</v>
      </c>
      <c r="AE166" s="16" t="str">
        <f t="shared" si="53"/>
        <v>NCC-NorESM1-M_historical_point33292</v>
      </c>
      <c r="AF166" s="16" t="str">
        <f t="shared" si="51"/>
        <v>wind_Events/Scaled_cl13_repl5.txt</v>
      </c>
      <c r="AG166" s="16" t="str">
        <f t="shared" si="52"/>
        <v>NCC-NorESM1-M_Scaled_Cluster13_repl5</v>
      </c>
      <c r="AH166" s="16" t="s">
        <v>296</v>
      </c>
      <c r="AI166" s="16" t="s">
        <v>297</v>
      </c>
    </row>
    <row r="167" spans="1:35" ht="13.8">
      <c r="A167" s="7" t="str">
        <f t="shared" si="36"/>
        <v>ICHEC-EC-EARTH_Scaled_Cluster14_repl1</v>
      </c>
      <c r="B167" s="8" t="s">
        <v>16</v>
      </c>
      <c r="C167" s="8" t="s">
        <v>54</v>
      </c>
      <c r="D167" s="9" t="s">
        <v>17</v>
      </c>
      <c r="E167" s="9" t="str">
        <f t="shared" si="37"/>
        <v>historical</v>
      </c>
      <c r="F167" s="8">
        <v>350</v>
      </c>
      <c r="G167" s="8" t="s">
        <v>18</v>
      </c>
      <c r="H167" s="8">
        <v>1</v>
      </c>
      <c r="I167" s="8">
        <v>2.19455891293013E-6</v>
      </c>
      <c r="J167" s="8">
        <v>14</v>
      </c>
      <c r="K167" s="8" t="s">
        <v>168</v>
      </c>
      <c r="L167" s="8">
        <v>1</v>
      </c>
      <c r="M167" s="8"/>
      <c r="N167" s="8">
        <v>1</v>
      </c>
      <c r="O167" s="10" t="s">
        <v>21</v>
      </c>
      <c r="P167" s="17" t="s">
        <v>59</v>
      </c>
      <c r="Q167" s="10" t="str">
        <f t="shared" si="38"/>
        <v>ICHEC-EC-EARTH_Scaled_Cluster14_repl1.sqlite</v>
      </c>
      <c r="R167" s="11">
        <f t="shared" si="39"/>
        <v>1</v>
      </c>
      <c r="S167" s="11">
        <v>0</v>
      </c>
      <c r="T167" s="16" t="str">
        <f t="shared" si="40"/>
        <v>climate_db_ICHEC-EC-EARTH_historical_v4.sqlite</v>
      </c>
      <c r="U167" s="16" t="str">
        <f t="shared" si="41"/>
        <v>log/ICHEC-EC-EARTH_Scaled_Cluster14_repl1.txt</v>
      </c>
      <c r="V167" s="16" t="str">
        <f t="shared" si="42"/>
        <v>init/env_file_CLUSTER14_REPL1_ICHEC-EC-EARTH_historical.csv</v>
      </c>
      <c r="W167" s="16" t="str">
        <f t="shared" si="43"/>
        <v>init/env_grid_CLUSTER14_REPL1.asc</v>
      </c>
      <c r="X167" s="16" t="str">
        <f t="shared" si="44"/>
        <v>init/env_grid_CLUSTER14_REPL1.asc</v>
      </c>
      <c r="Y167" s="16" t="str">
        <f t="shared" si="45"/>
        <v>trees_CLUSTER14.csv</v>
      </c>
      <c r="Z167" s="16" t="str">
        <f t="shared" si="46"/>
        <v>saplings_CLUSTER14.csv</v>
      </c>
      <c r="AA167" s="16">
        <f t="shared" si="47"/>
        <v>350</v>
      </c>
      <c r="AB167" s="16" t="str">
        <f t="shared" si="48"/>
        <v>abe/no_mgmt.csv</v>
      </c>
      <c r="AC167" s="16" t="str">
        <f t="shared" si="49"/>
        <v>gis/WindModifier_cl14.asc</v>
      </c>
      <c r="AD167" s="16">
        <f t="shared" si="50"/>
        <v>2.1946589129301298E-6</v>
      </c>
      <c r="AE167" s="16" t="str">
        <f t="shared" si="53"/>
        <v>ICHEC-EC-EARTH_historical_point34874</v>
      </c>
      <c r="AF167" s="16" t="str">
        <f t="shared" si="51"/>
        <v>wind_Events/Scaled_cl14_repl1.txt</v>
      </c>
      <c r="AG167" s="16" t="str">
        <f t="shared" si="52"/>
        <v>ICHEC-EC-EARTH_Scaled_Cluster14_repl1</v>
      </c>
      <c r="AH167" s="16" t="s">
        <v>298</v>
      </c>
      <c r="AI167" s="16" t="s">
        <v>299</v>
      </c>
    </row>
    <row r="168" spans="1:35" ht="13.8">
      <c r="A168" s="7" t="str">
        <f t="shared" si="36"/>
        <v>MPI-M-MPI-ESM-LR_Scaled_Cluster14_repl1</v>
      </c>
      <c r="B168" s="8" t="s">
        <v>16</v>
      </c>
      <c r="C168" s="8" t="s">
        <v>54</v>
      </c>
      <c r="D168" s="9" t="s">
        <v>17</v>
      </c>
      <c r="E168" s="9" t="str">
        <f t="shared" si="37"/>
        <v>historical</v>
      </c>
      <c r="F168" s="8">
        <v>350</v>
      </c>
      <c r="G168" s="8" t="s">
        <v>63</v>
      </c>
      <c r="H168" s="8">
        <v>2</v>
      </c>
      <c r="I168" s="8">
        <v>2.19455891293013E-6</v>
      </c>
      <c r="J168" s="8">
        <v>14</v>
      </c>
      <c r="K168" s="8" t="s">
        <v>173</v>
      </c>
      <c r="L168" s="8">
        <v>1</v>
      </c>
      <c r="M168" s="8"/>
      <c r="N168" s="8">
        <v>1</v>
      </c>
      <c r="O168" s="10" t="s">
        <v>21</v>
      </c>
      <c r="P168" s="17" t="s">
        <v>59</v>
      </c>
      <c r="Q168" s="10" t="str">
        <f t="shared" si="38"/>
        <v>MPI-M-MPI-ESM-LR_Scaled_Cluster14_repl1.sqlite</v>
      </c>
      <c r="R168" s="11">
        <f t="shared" si="39"/>
        <v>2</v>
      </c>
      <c r="S168" s="11">
        <v>0</v>
      </c>
      <c r="T168" s="16" t="str">
        <f t="shared" si="40"/>
        <v>climate_db_MPI-M-MPI-ESM-LR_historical_v4.sqlite</v>
      </c>
      <c r="U168" s="16" t="str">
        <f t="shared" si="41"/>
        <v>log/MPI-M-MPI-ESM-LR_Scaled_Cluster14_repl1.txt</v>
      </c>
      <c r="V168" s="16" t="str">
        <f t="shared" si="42"/>
        <v>init/env_file_CLUSTER14_REPL1_MPI-M-MPI-ESM-LR_historical.csv</v>
      </c>
      <c r="W168" s="16" t="str">
        <f t="shared" si="43"/>
        <v>init/env_grid_CLUSTER14_REPL1.asc</v>
      </c>
      <c r="X168" s="16" t="str">
        <f t="shared" si="44"/>
        <v>init/env_grid_CLUSTER14_REPL1.asc</v>
      </c>
      <c r="Y168" s="16" t="str">
        <f t="shared" si="45"/>
        <v>trees_CLUSTER14.csv</v>
      </c>
      <c r="Z168" s="16" t="str">
        <f t="shared" si="46"/>
        <v>saplings_CLUSTER14.csv</v>
      </c>
      <c r="AA168" s="16">
        <f t="shared" si="47"/>
        <v>350</v>
      </c>
      <c r="AB168" s="16" t="str">
        <f t="shared" si="48"/>
        <v>abe/no_mgmt.csv</v>
      </c>
      <c r="AC168" s="16" t="str">
        <f t="shared" si="49"/>
        <v>gis/WindModifier_cl14.asc</v>
      </c>
      <c r="AD168" s="16">
        <f t="shared" si="50"/>
        <v>2.1946589129301298E-6</v>
      </c>
      <c r="AE168" s="16" t="str">
        <f t="shared" si="53"/>
        <v>MPI-M-MPI-ESM-LR_historical_point36494</v>
      </c>
      <c r="AF168" s="16" t="str">
        <f t="shared" si="51"/>
        <v>wind_Events/Scaled_cl14_repl1.txt</v>
      </c>
      <c r="AG168" s="16" t="str">
        <f t="shared" si="52"/>
        <v>MPI-M-MPI-ESM-LR_Scaled_Cluster14_repl1</v>
      </c>
      <c r="AH168" s="16" t="s">
        <v>300</v>
      </c>
      <c r="AI168" s="16" t="s">
        <v>301</v>
      </c>
    </row>
    <row r="169" spans="1:35" ht="13.8">
      <c r="A169" s="7" t="str">
        <f t="shared" si="36"/>
        <v>NCC-NorESM1-M_Scaled_Cluster14_repl1</v>
      </c>
      <c r="B169" s="8" t="s">
        <v>16</v>
      </c>
      <c r="C169" s="8" t="s">
        <v>54</v>
      </c>
      <c r="D169" s="9" t="s">
        <v>17</v>
      </c>
      <c r="E169" s="9" t="str">
        <f t="shared" si="37"/>
        <v>historical</v>
      </c>
      <c r="F169" s="8">
        <v>350</v>
      </c>
      <c r="G169" s="8" t="s">
        <v>60</v>
      </c>
      <c r="H169" s="8">
        <v>3</v>
      </c>
      <c r="I169" s="8">
        <v>2.19455891293013E-6</v>
      </c>
      <c r="J169" s="8">
        <v>14</v>
      </c>
      <c r="K169" s="8" t="s">
        <v>180</v>
      </c>
      <c r="L169" s="8">
        <v>1</v>
      </c>
      <c r="M169" s="8"/>
      <c r="N169" s="8">
        <v>1</v>
      </c>
      <c r="O169" s="10" t="s">
        <v>21</v>
      </c>
      <c r="P169" s="17" t="s">
        <v>59</v>
      </c>
      <c r="Q169" s="10" t="str">
        <f t="shared" si="38"/>
        <v>NCC-NorESM1-M_Scaled_Cluster14_repl1.sqlite</v>
      </c>
      <c r="R169" s="11">
        <f t="shared" si="39"/>
        <v>3</v>
      </c>
      <c r="S169" s="11">
        <v>0</v>
      </c>
      <c r="T169" s="16" t="str">
        <f t="shared" si="40"/>
        <v>climate_db_NCC-NorESM1-M_historical_v4.sqlite</v>
      </c>
      <c r="U169" s="16" t="str">
        <f t="shared" si="41"/>
        <v>log/NCC-NorESM1-M_Scaled_Cluster14_repl1.txt</v>
      </c>
      <c r="V169" s="16" t="str">
        <f t="shared" si="42"/>
        <v>init/env_file_CLUSTER14_REPL1_NCC-NorESM1-M_historical.csv</v>
      </c>
      <c r="W169" s="16" t="str">
        <f t="shared" si="43"/>
        <v>init/env_grid_CLUSTER14_REPL1.asc</v>
      </c>
      <c r="X169" s="16" t="str">
        <f t="shared" si="44"/>
        <v>init/env_grid_CLUSTER14_REPL1.asc</v>
      </c>
      <c r="Y169" s="16" t="str">
        <f t="shared" si="45"/>
        <v>trees_CLUSTER14.csv</v>
      </c>
      <c r="Z169" s="16" t="str">
        <f t="shared" si="46"/>
        <v>saplings_CLUSTER14.csv</v>
      </c>
      <c r="AA169" s="16">
        <f t="shared" si="47"/>
        <v>350</v>
      </c>
      <c r="AB169" s="16" t="str">
        <f t="shared" si="48"/>
        <v>abe/no_mgmt.csv</v>
      </c>
      <c r="AC169" s="16" t="str">
        <f t="shared" si="49"/>
        <v>gis/WindModifier_cl14.asc</v>
      </c>
      <c r="AD169" s="16">
        <f t="shared" si="50"/>
        <v>2.1946589129301298E-6</v>
      </c>
      <c r="AE169" s="16" t="str">
        <f t="shared" si="53"/>
        <v>NCC-NorESM1-M_historical_point34873</v>
      </c>
      <c r="AF169" s="16" t="str">
        <f t="shared" si="51"/>
        <v>wind_Events/Scaled_cl14_repl1.txt</v>
      </c>
      <c r="AG169" s="16" t="str">
        <f t="shared" si="52"/>
        <v>NCC-NorESM1-M_Scaled_Cluster14_repl1</v>
      </c>
      <c r="AH169" s="16" t="s">
        <v>302</v>
      </c>
      <c r="AI169" s="16" t="s">
        <v>303</v>
      </c>
    </row>
    <row r="170" spans="1:35" ht="13.8">
      <c r="A170" s="7" t="str">
        <f t="shared" si="36"/>
        <v>ICHEC-EC-EARTH_Scaled_Cluster14_repl2</v>
      </c>
      <c r="B170" s="8" t="s">
        <v>16</v>
      </c>
      <c r="C170" s="8" t="s">
        <v>54</v>
      </c>
      <c r="D170" s="9" t="s">
        <v>17</v>
      </c>
      <c r="E170" s="9" t="str">
        <f t="shared" si="37"/>
        <v>historical</v>
      </c>
      <c r="F170" s="8">
        <v>350</v>
      </c>
      <c r="G170" s="8" t="s">
        <v>18</v>
      </c>
      <c r="H170" s="8">
        <v>1</v>
      </c>
      <c r="I170" s="8">
        <v>2.19455891293013E-6</v>
      </c>
      <c r="J170" s="8">
        <v>14</v>
      </c>
      <c r="K170" s="8" t="s">
        <v>168</v>
      </c>
      <c r="L170" s="8">
        <v>2</v>
      </c>
      <c r="M170" s="8"/>
      <c r="N170" s="8">
        <v>1</v>
      </c>
      <c r="O170" s="10" t="s">
        <v>21</v>
      </c>
      <c r="P170" s="17" t="s">
        <v>59</v>
      </c>
      <c r="Q170" s="10" t="str">
        <f t="shared" si="38"/>
        <v>ICHEC-EC-EARTH_Scaled_Cluster14_repl2.sqlite</v>
      </c>
      <c r="R170" s="11">
        <f t="shared" si="39"/>
        <v>4</v>
      </c>
      <c r="S170" s="11">
        <v>0</v>
      </c>
      <c r="T170" s="16" t="str">
        <f t="shared" si="40"/>
        <v>climate_db_ICHEC-EC-EARTH_historical_v4.sqlite</v>
      </c>
      <c r="U170" s="16" t="str">
        <f t="shared" si="41"/>
        <v>log/ICHEC-EC-EARTH_Scaled_Cluster14_repl2.txt</v>
      </c>
      <c r="V170" s="16" t="str">
        <f t="shared" si="42"/>
        <v>init/env_file_CLUSTER14_REPL2_ICHEC-EC-EARTH_historical.csv</v>
      </c>
      <c r="W170" s="16" t="str">
        <f t="shared" si="43"/>
        <v>init/env_grid_CLUSTER14_REPL2.asc</v>
      </c>
      <c r="X170" s="16" t="str">
        <f t="shared" si="44"/>
        <v>init/env_grid_CLUSTER14_REPL2.asc</v>
      </c>
      <c r="Y170" s="16" t="str">
        <f t="shared" si="45"/>
        <v>trees_CLUSTER14.csv</v>
      </c>
      <c r="Z170" s="16" t="str">
        <f t="shared" si="46"/>
        <v>saplings_CLUSTER14.csv</v>
      </c>
      <c r="AA170" s="16">
        <f t="shared" si="47"/>
        <v>350</v>
      </c>
      <c r="AB170" s="16" t="str">
        <f t="shared" si="48"/>
        <v>abe/no_mgmt.csv</v>
      </c>
      <c r="AC170" s="16" t="str">
        <f t="shared" si="49"/>
        <v>gis/WindModifier_cl14.asc</v>
      </c>
      <c r="AD170" s="16">
        <f t="shared" si="50"/>
        <v>2.1946589129301298E-6</v>
      </c>
      <c r="AE170" s="16" t="str">
        <f t="shared" si="53"/>
        <v>ICHEC-EC-EARTH_historical_point34874</v>
      </c>
      <c r="AF170" s="16" t="str">
        <f t="shared" si="51"/>
        <v>wind_Events/Scaled_cl14_repl2.txt</v>
      </c>
      <c r="AG170" s="16" t="str">
        <f t="shared" si="52"/>
        <v>ICHEC-EC-EARTH_Scaled_Cluster14_repl2</v>
      </c>
      <c r="AH170" s="16" t="s">
        <v>304</v>
      </c>
      <c r="AI170" s="16" t="s">
        <v>305</v>
      </c>
    </row>
    <row r="171" spans="1:35" ht="13.8">
      <c r="A171" s="7" t="str">
        <f t="shared" si="36"/>
        <v>MPI-M-MPI-ESM-LR_Scaled_Cluster14_repl2</v>
      </c>
      <c r="B171" s="8" t="s">
        <v>16</v>
      </c>
      <c r="C171" s="8" t="s">
        <v>54</v>
      </c>
      <c r="D171" s="9" t="s">
        <v>17</v>
      </c>
      <c r="E171" s="9" t="str">
        <f t="shared" si="37"/>
        <v>historical</v>
      </c>
      <c r="F171" s="8">
        <v>350</v>
      </c>
      <c r="G171" s="8" t="s">
        <v>63</v>
      </c>
      <c r="H171" s="8">
        <v>2</v>
      </c>
      <c r="I171" s="8">
        <v>2.19455891293013E-6</v>
      </c>
      <c r="J171" s="8">
        <v>14</v>
      </c>
      <c r="K171" s="8" t="s">
        <v>173</v>
      </c>
      <c r="L171" s="8">
        <v>2</v>
      </c>
      <c r="M171" s="8"/>
      <c r="N171" s="8">
        <v>1</v>
      </c>
      <c r="O171" s="10" t="s">
        <v>21</v>
      </c>
      <c r="P171" s="17" t="s">
        <v>59</v>
      </c>
      <c r="Q171" s="10" t="str">
        <f t="shared" si="38"/>
        <v>MPI-M-MPI-ESM-LR_Scaled_Cluster14_repl2.sqlite</v>
      </c>
      <c r="R171" s="11">
        <f t="shared" si="39"/>
        <v>5</v>
      </c>
      <c r="S171" s="11">
        <v>0</v>
      </c>
      <c r="T171" s="16" t="str">
        <f t="shared" si="40"/>
        <v>climate_db_MPI-M-MPI-ESM-LR_historical_v4.sqlite</v>
      </c>
      <c r="U171" s="16" t="str">
        <f t="shared" si="41"/>
        <v>log/MPI-M-MPI-ESM-LR_Scaled_Cluster14_repl2.txt</v>
      </c>
      <c r="V171" s="16" t="str">
        <f t="shared" si="42"/>
        <v>init/env_file_CLUSTER14_REPL2_MPI-M-MPI-ESM-LR_historical.csv</v>
      </c>
      <c r="W171" s="16" t="str">
        <f t="shared" si="43"/>
        <v>init/env_grid_CLUSTER14_REPL2.asc</v>
      </c>
      <c r="X171" s="16" t="str">
        <f t="shared" si="44"/>
        <v>init/env_grid_CLUSTER14_REPL2.asc</v>
      </c>
      <c r="Y171" s="16" t="str">
        <f t="shared" si="45"/>
        <v>trees_CLUSTER14.csv</v>
      </c>
      <c r="Z171" s="16" t="str">
        <f t="shared" si="46"/>
        <v>saplings_CLUSTER14.csv</v>
      </c>
      <c r="AA171" s="16">
        <f t="shared" si="47"/>
        <v>350</v>
      </c>
      <c r="AB171" s="16" t="str">
        <f t="shared" si="48"/>
        <v>abe/no_mgmt.csv</v>
      </c>
      <c r="AC171" s="16" t="str">
        <f t="shared" si="49"/>
        <v>gis/WindModifier_cl14.asc</v>
      </c>
      <c r="AD171" s="16">
        <f t="shared" si="50"/>
        <v>2.1946589129301298E-6</v>
      </c>
      <c r="AE171" s="16" t="str">
        <f t="shared" si="53"/>
        <v>MPI-M-MPI-ESM-LR_historical_point36494</v>
      </c>
      <c r="AF171" s="16" t="str">
        <f t="shared" si="51"/>
        <v>wind_Events/Scaled_cl14_repl2.txt</v>
      </c>
      <c r="AG171" s="16" t="str">
        <f t="shared" si="52"/>
        <v>MPI-M-MPI-ESM-LR_Scaled_Cluster14_repl2</v>
      </c>
      <c r="AH171" s="16" t="s">
        <v>306</v>
      </c>
      <c r="AI171" s="16" t="s">
        <v>307</v>
      </c>
    </row>
    <row r="172" spans="1:35" ht="13.8">
      <c r="A172" s="7" t="str">
        <f t="shared" si="36"/>
        <v>NCC-NorESM1-M_Scaled_Cluster14_repl2</v>
      </c>
      <c r="B172" s="8" t="s">
        <v>16</v>
      </c>
      <c r="C172" s="8" t="s">
        <v>54</v>
      </c>
      <c r="D172" s="9" t="s">
        <v>17</v>
      </c>
      <c r="E172" s="9" t="str">
        <f t="shared" si="37"/>
        <v>historical</v>
      </c>
      <c r="F172" s="8">
        <v>350</v>
      </c>
      <c r="G172" s="8" t="s">
        <v>60</v>
      </c>
      <c r="H172" s="8">
        <v>3</v>
      </c>
      <c r="I172" s="8">
        <v>2.19455891293013E-6</v>
      </c>
      <c r="J172" s="8">
        <v>14</v>
      </c>
      <c r="K172" s="8" t="s">
        <v>180</v>
      </c>
      <c r="L172" s="8">
        <v>2</v>
      </c>
      <c r="M172" s="8"/>
      <c r="N172" s="8">
        <v>1</v>
      </c>
      <c r="O172" s="10" t="s">
        <v>21</v>
      </c>
      <c r="P172" s="17" t="s">
        <v>59</v>
      </c>
      <c r="Q172" s="10" t="str">
        <f t="shared" si="38"/>
        <v>NCC-NorESM1-M_Scaled_Cluster14_repl2.sqlite</v>
      </c>
      <c r="R172" s="11">
        <f t="shared" si="39"/>
        <v>6</v>
      </c>
      <c r="S172" s="11">
        <v>0</v>
      </c>
      <c r="T172" s="16" t="str">
        <f t="shared" si="40"/>
        <v>climate_db_NCC-NorESM1-M_historical_v4.sqlite</v>
      </c>
      <c r="U172" s="16" t="str">
        <f t="shared" si="41"/>
        <v>log/NCC-NorESM1-M_Scaled_Cluster14_repl2.txt</v>
      </c>
      <c r="V172" s="16" t="str">
        <f t="shared" si="42"/>
        <v>init/env_file_CLUSTER14_REPL2_NCC-NorESM1-M_historical.csv</v>
      </c>
      <c r="W172" s="16" t="str">
        <f t="shared" si="43"/>
        <v>init/env_grid_CLUSTER14_REPL2.asc</v>
      </c>
      <c r="X172" s="16" t="str">
        <f t="shared" si="44"/>
        <v>init/env_grid_CLUSTER14_REPL2.asc</v>
      </c>
      <c r="Y172" s="16" t="str">
        <f t="shared" si="45"/>
        <v>trees_CLUSTER14.csv</v>
      </c>
      <c r="Z172" s="16" t="str">
        <f t="shared" si="46"/>
        <v>saplings_CLUSTER14.csv</v>
      </c>
      <c r="AA172" s="16">
        <f t="shared" si="47"/>
        <v>350</v>
      </c>
      <c r="AB172" s="16" t="str">
        <f t="shared" si="48"/>
        <v>abe/no_mgmt.csv</v>
      </c>
      <c r="AC172" s="16" t="str">
        <f t="shared" si="49"/>
        <v>gis/WindModifier_cl14.asc</v>
      </c>
      <c r="AD172" s="16">
        <f t="shared" si="50"/>
        <v>2.1946589129301298E-6</v>
      </c>
      <c r="AE172" s="16" t="str">
        <f t="shared" si="53"/>
        <v>NCC-NorESM1-M_historical_point34873</v>
      </c>
      <c r="AF172" s="16" t="str">
        <f t="shared" si="51"/>
        <v>wind_Events/Scaled_cl14_repl2.txt</v>
      </c>
      <c r="AG172" s="16" t="str">
        <f t="shared" si="52"/>
        <v>NCC-NorESM1-M_Scaled_Cluster14_repl2</v>
      </c>
      <c r="AH172" s="16" t="s">
        <v>308</v>
      </c>
      <c r="AI172" s="16" t="s">
        <v>309</v>
      </c>
    </row>
    <row r="173" spans="1:35" ht="13.8">
      <c r="A173" s="7" t="str">
        <f t="shared" si="36"/>
        <v>ICHEC-EC-EARTH_Scaled_Cluster14_repl3</v>
      </c>
      <c r="B173" s="8" t="s">
        <v>16</v>
      </c>
      <c r="C173" s="8" t="s">
        <v>54</v>
      </c>
      <c r="D173" s="9" t="s">
        <v>17</v>
      </c>
      <c r="E173" s="9" t="str">
        <f t="shared" si="37"/>
        <v>historical</v>
      </c>
      <c r="F173" s="8">
        <v>350</v>
      </c>
      <c r="G173" s="8" t="s">
        <v>18</v>
      </c>
      <c r="H173" s="8">
        <v>1</v>
      </c>
      <c r="I173" s="8">
        <v>2.19455891293013E-6</v>
      </c>
      <c r="J173" s="8">
        <v>14</v>
      </c>
      <c r="K173" s="8" t="s">
        <v>168</v>
      </c>
      <c r="L173" s="8">
        <v>3</v>
      </c>
      <c r="M173" s="8"/>
      <c r="N173" s="8">
        <v>1</v>
      </c>
      <c r="O173" s="10" t="s">
        <v>21</v>
      </c>
      <c r="P173" s="17" t="s">
        <v>59</v>
      </c>
      <c r="Q173" s="10" t="str">
        <f t="shared" si="38"/>
        <v>ICHEC-EC-EARTH_Scaled_Cluster14_repl3.sqlite</v>
      </c>
      <c r="R173" s="11">
        <f t="shared" si="39"/>
        <v>7</v>
      </c>
      <c r="S173" s="11">
        <v>0</v>
      </c>
      <c r="T173" s="16" t="str">
        <f t="shared" si="40"/>
        <v>climate_db_ICHEC-EC-EARTH_historical_v4.sqlite</v>
      </c>
      <c r="U173" s="16" t="str">
        <f t="shared" si="41"/>
        <v>log/ICHEC-EC-EARTH_Scaled_Cluster14_repl3.txt</v>
      </c>
      <c r="V173" s="16" t="str">
        <f t="shared" si="42"/>
        <v>init/env_file_CLUSTER14_REPL3_ICHEC-EC-EARTH_historical.csv</v>
      </c>
      <c r="W173" s="16" t="str">
        <f t="shared" si="43"/>
        <v>init/env_grid_CLUSTER14_REPL3.asc</v>
      </c>
      <c r="X173" s="16" t="str">
        <f t="shared" si="44"/>
        <v>init/env_grid_CLUSTER14_REPL3.asc</v>
      </c>
      <c r="Y173" s="16" t="str">
        <f t="shared" si="45"/>
        <v>trees_CLUSTER14.csv</v>
      </c>
      <c r="Z173" s="16" t="str">
        <f t="shared" si="46"/>
        <v>saplings_CLUSTER14.csv</v>
      </c>
      <c r="AA173" s="16">
        <f t="shared" si="47"/>
        <v>350</v>
      </c>
      <c r="AB173" s="16" t="str">
        <f t="shared" si="48"/>
        <v>abe/no_mgmt.csv</v>
      </c>
      <c r="AC173" s="16" t="str">
        <f t="shared" si="49"/>
        <v>gis/WindModifier_cl14.asc</v>
      </c>
      <c r="AD173" s="16">
        <f t="shared" si="50"/>
        <v>2.1946589129301298E-6</v>
      </c>
      <c r="AE173" s="16" t="str">
        <f t="shared" si="53"/>
        <v>ICHEC-EC-EARTH_historical_point34874</v>
      </c>
      <c r="AF173" s="16" t="str">
        <f t="shared" si="51"/>
        <v>wind_Events/Scaled_cl14_repl3.txt</v>
      </c>
      <c r="AG173" s="16" t="str">
        <f t="shared" si="52"/>
        <v>ICHEC-EC-EARTH_Scaled_Cluster14_repl3</v>
      </c>
      <c r="AH173" s="16" t="s">
        <v>310</v>
      </c>
      <c r="AI173" s="16" t="s">
        <v>311</v>
      </c>
    </row>
    <row r="174" spans="1:35" ht="13.8">
      <c r="A174" s="7" t="str">
        <f t="shared" si="36"/>
        <v>MPI-M-MPI-ESM-LR_Scaled_Cluster14_repl3</v>
      </c>
      <c r="B174" s="8" t="s">
        <v>16</v>
      </c>
      <c r="C174" s="8" t="s">
        <v>54</v>
      </c>
      <c r="D174" s="9" t="s">
        <v>17</v>
      </c>
      <c r="E174" s="9" t="str">
        <f t="shared" si="37"/>
        <v>historical</v>
      </c>
      <c r="F174" s="8">
        <v>350</v>
      </c>
      <c r="G174" s="8" t="s">
        <v>63</v>
      </c>
      <c r="H174" s="8">
        <v>2</v>
      </c>
      <c r="I174" s="8">
        <v>2.19455891293013E-6</v>
      </c>
      <c r="J174" s="8">
        <v>14</v>
      </c>
      <c r="K174" s="8" t="s">
        <v>173</v>
      </c>
      <c r="L174" s="8">
        <v>3</v>
      </c>
      <c r="M174" s="8"/>
      <c r="N174" s="8">
        <v>1</v>
      </c>
      <c r="O174" s="10" t="s">
        <v>21</v>
      </c>
      <c r="P174" s="17" t="s">
        <v>59</v>
      </c>
      <c r="Q174" s="10" t="str">
        <f t="shared" si="38"/>
        <v>MPI-M-MPI-ESM-LR_Scaled_Cluster14_repl3.sqlite</v>
      </c>
      <c r="R174" s="11">
        <f t="shared" si="39"/>
        <v>8</v>
      </c>
      <c r="S174" s="11">
        <v>0</v>
      </c>
      <c r="T174" s="16" t="str">
        <f t="shared" si="40"/>
        <v>climate_db_MPI-M-MPI-ESM-LR_historical_v4.sqlite</v>
      </c>
      <c r="U174" s="16" t="str">
        <f t="shared" si="41"/>
        <v>log/MPI-M-MPI-ESM-LR_Scaled_Cluster14_repl3.txt</v>
      </c>
      <c r="V174" s="16" t="str">
        <f t="shared" si="42"/>
        <v>init/env_file_CLUSTER14_REPL3_MPI-M-MPI-ESM-LR_historical.csv</v>
      </c>
      <c r="W174" s="16" t="str">
        <f t="shared" si="43"/>
        <v>init/env_grid_CLUSTER14_REPL3.asc</v>
      </c>
      <c r="X174" s="16" t="str">
        <f t="shared" si="44"/>
        <v>init/env_grid_CLUSTER14_REPL3.asc</v>
      </c>
      <c r="Y174" s="16" t="str">
        <f t="shared" si="45"/>
        <v>trees_CLUSTER14.csv</v>
      </c>
      <c r="Z174" s="16" t="str">
        <f t="shared" si="46"/>
        <v>saplings_CLUSTER14.csv</v>
      </c>
      <c r="AA174" s="16">
        <f t="shared" si="47"/>
        <v>350</v>
      </c>
      <c r="AB174" s="16" t="str">
        <f t="shared" si="48"/>
        <v>abe/no_mgmt.csv</v>
      </c>
      <c r="AC174" s="16" t="str">
        <f t="shared" si="49"/>
        <v>gis/WindModifier_cl14.asc</v>
      </c>
      <c r="AD174" s="16">
        <f t="shared" si="50"/>
        <v>2.1946589129301298E-6</v>
      </c>
      <c r="AE174" s="16" t="str">
        <f t="shared" si="53"/>
        <v>MPI-M-MPI-ESM-LR_historical_point36494</v>
      </c>
      <c r="AF174" s="16" t="str">
        <f t="shared" si="51"/>
        <v>wind_Events/Scaled_cl14_repl3.txt</v>
      </c>
      <c r="AG174" s="16" t="str">
        <f t="shared" si="52"/>
        <v>MPI-M-MPI-ESM-LR_Scaled_Cluster14_repl3</v>
      </c>
      <c r="AH174" s="16" t="s">
        <v>312</v>
      </c>
      <c r="AI174" s="16" t="s">
        <v>313</v>
      </c>
    </row>
    <row r="175" spans="1:35" ht="13.8">
      <c r="A175" s="7" t="str">
        <f t="shared" si="36"/>
        <v>NCC-NorESM1-M_Scaled_Cluster14_repl3</v>
      </c>
      <c r="B175" s="8" t="s">
        <v>16</v>
      </c>
      <c r="C175" s="8" t="s">
        <v>54</v>
      </c>
      <c r="D175" s="9" t="s">
        <v>17</v>
      </c>
      <c r="E175" s="9" t="str">
        <f t="shared" si="37"/>
        <v>historical</v>
      </c>
      <c r="F175" s="8">
        <v>350</v>
      </c>
      <c r="G175" s="8" t="s">
        <v>60</v>
      </c>
      <c r="H175" s="8">
        <v>3</v>
      </c>
      <c r="I175" s="8">
        <v>2.19455891293013E-6</v>
      </c>
      <c r="J175" s="8">
        <v>14</v>
      </c>
      <c r="K175" s="8" t="s">
        <v>180</v>
      </c>
      <c r="L175" s="8">
        <v>3</v>
      </c>
      <c r="M175" s="8"/>
      <c r="N175" s="8">
        <v>1</v>
      </c>
      <c r="O175" s="10" t="s">
        <v>21</v>
      </c>
      <c r="P175" s="17" t="s">
        <v>59</v>
      </c>
      <c r="Q175" s="10" t="str">
        <f t="shared" si="38"/>
        <v>NCC-NorESM1-M_Scaled_Cluster14_repl3.sqlite</v>
      </c>
      <c r="R175" s="11">
        <f t="shared" si="39"/>
        <v>9</v>
      </c>
      <c r="S175" s="11">
        <v>0</v>
      </c>
      <c r="T175" s="16" t="str">
        <f t="shared" si="40"/>
        <v>climate_db_NCC-NorESM1-M_historical_v4.sqlite</v>
      </c>
      <c r="U175" s="16" t="str">
        <f t="shared" si="41"/>
        <v>log/NCC-NorESM1-M_Scaled_Cluster14_repl3.txt</v>
      </c>
      <c r="V175" s="16" t="str">
        <f t="shared" si="42"/>
        <v>init/env_file_CLUSTER14_REPL3_NCC-NorESM1-M_historical.csv</v>
      </c>
      <c r="W175" s="16" t="str">
        <f t="shared" si="43"/>
        <v>init/env_grid_CLUSTER14_REPL3.asc</v>
      </c>
      <c r="X175" s="16" t="str">
        <f t="shared" si="44"/>
        <v>init/env_grid_CLUSTER14_REPL3.asc</v>
      </c>
      <c r="Y175" s="16" t="str">
        <f t="shared" si="45"/>
        <v>trees_CLUSTER14.csv</v>
      </c>
      <c r="Z175" s="16" t="str">
        <f t="shared" si="46"/>
        <v>saplings_CLUSTER14.csv</v>
      </c>
      <c r="AA175" s="16">
        <f t="shared" si="47"/>
        <v>350</v>
      </c>
      <c r="AB175" s="16" t="str">
        <f t="shared" si="48"/>
        <v>abe/no_mgmt.csv</v>
      </c>
      <c r="AC175" s="16" t="str">
        <f t="shared" si="49"/>
        <v>gis/WindModifier_cl14.asc</v>
      </c>
      <c r="AD175" s="16">
        <f t="shared" si="50"/>
        <v>2.1946589129301298E-6</v>
      </c>
      <c r="AE175" s="16" t="str">
        <f t="shared" si="53"/>
        <v>NCC-NorESM1-M_historical_point34873</v>
      </c>
      <c r="AF175" s="16" t="str">
        <f t="shared" si="51"/>
        <v>wind_Events/Scaled_cl14_repl3.txt</v>
      </c>
      <c r="AG175" s="16" t="str">
        <f t="shared" si="52"/>
        <v>NCC-NorESM1-M_Scaled_Cluster14_repl3</v>
      </c>
      <c r="AH175" s="16" t="s">
        <v>314</v>
      </c>
      <c r="AI175" s="16" t="s">
        <v>315</v>
      </c>
    </row>
    <row r="176" spans="1:35" ht="13.8">
      <c r="A176" s="7" t="str">
        <f t="shared" si="36"/>
        <v>ICHEC-EC-EARTH_Scaled_Cluster14_repl4</v>
      </c>
      <c r="B176" s="8" t="s">
        <v>16</v>
      </c>
      <c r="C176" s="8" t="s">
        <v>54</v>
      </c>
      <c r="D176" s="9" t="s">
        <v>17</v>
      </c>
      <c r="E176" s="9" t="str">
        <f t="shared" si="37"/>
        <v>historical</v>
      </c>
      <c r="F176" s="8">
        <v>350</v>
      </c>
      <c r="G176" s="8" t="s">
        <v>18</v>
      </c>
      <c r="H176" s="8">
        <v>1</v>
      </c>
      <c r="I176" s="8">
        <v>2.19455891293013E-6</v>
      </c>
      <c r="J176" s="8">
        <v>14</v>
      </c>
      <c r="K176" s="8" t="s">
        <v>168</v>
      </c>
      <c r="L176" s="8">
        <v>4</v>
      </c>
      <c r="M176" s="8"/>
      <c r="N176" s="8">
        <v>1</v>
      </c>
      <c r="O176" s="10" t="s">
        <v>21</v>
      </c>
      <c r="P176" s="17" t="s">
        <v>59</v>
      </c>
      <c r="Q176" s="10" t="str">
        <f t="shared" si="38"/>
        <v>ICHEC-EC-EARTH_Scaled_Cluster14_repl4.sqlite</v>
      </c>
      <c r="R176" s="11">
        <f t="shared" si="39"/>
        <v>10</v>
      </c>
      <c r="S176" s="11">
        <v>0</v>
      </c>
      <c r="T176" s="16" t="str">
        <f t="shared" si="40"/>
        <v>climate_db_ICHEC-EC-EARTH_historical_v4.sqlite</v>
      </c>
      <c r="U176" s="16" t="str">
        <f t="shared" si="41"/>
        <v>log/ICHEC-EC-EARTH_Scaled_Cluster14_repl4.txt</v>
      </c>
      <c r="V176" s="16" t="str">
        <f t="shared" si="42"/>
        <v>init/env_file_CLUSTER14_REPL4_ICHEC-EC-EARTH_historical.csv</v>
      </c>
      <c r="W176" s="16" t="str">
        <f t="shared" si="43"/>
        <v>init/env_grid_CLUSTER14_REPL4.asc</v>
      </c>
      <c r="X176" s="16" t="str">
        <f t="shared" si="44"/>
        <v>init/env_grid_CLUSTER14_REPL4.asc</v>
      </c>
      <c r="Y176" s="16" t="str">
        <f t="shared" si="45"/>
        <v>trees_CLUSTER14.csv</v>
      </c>
      <c r="Z176" s="16" t="str">
        <f t="shared" si="46"/>
        <v>saplings_CLUSTER14.csv</v>
      </c>
      <c r="AA176" s="16">
        <f t="shared" si="47"/>
        <v>350</v>
      </c>
      <c r="AB176" s="16" t="str">
        <f t="shared" si="48"/>
        <v>abe/no_mgmt.csv</v>
      </c>
      <c r="AC176" s="16" t="str">
        <f t="shared" si="49"/>
        <v>gis/WindModifier_cl14.asc</v>
      </c>
      <c r="AD176" s="16">
        <f t="shared" si="50"/>
        <v>2.1946589129301298E-6</v>
      </c>
      <c r="AE176" s="16" t="str">
        <f t="shared" si="53"/>
        <v>ICHEC-EC-EARTH_historical_point34874</v>
      </c>
      <c r="AF176" s="16" t="str">
        <f t="shared" si="51"/>
        <v>wind_Events/Scaled_cl14_repl4.txt</v>
      </c>
      <c r="AG176" s="16" t="str">
        <f t="shared" si="52"/>
        <v>ICHEC-EC-EARTH_Scaled_Cluster14_repl4</v>
      </c>
      <c r="AH176" s="16" t="s">
        <v>316</v>
      </c>
      <c r="AI176" s="16" t="s">
        <v>317</v>
      </c>
    </row>
    <row r="177" spans="1:35" ht="13.8">
      <c r="A177" s="7" t="str">
        <f t="shared" si="36"/>
        <v>MPI-M-MPI-ESM-LR_Scaled_Cluster14_repl4</v>
      </c>
      <c r="B177" s="8" t="s">
        <v>16</v>
      </c>
      <c r="C177" s="8" t="s">
        <v>54</v>
      </c>
      <c r="D177" s="9" t="s">
        <v>17</v>
      </c>
      <c r="E177" s="9" t="str">
        <f t="shared" si="37"/>
        <v>historical</v>
      </c>
      <c r="F177" s="8">
        <v>350</v>
      </c>
      <c r="G177" s="8" t="s">
        <v>63</v>
      </c>
      <c r="H177" s="8">
        <v>2</v>
      </c>
      <c r="I177" s="8">
        <v>2.19455891293013E-6</v>
      </c>
      <c r="J177" s="8">
        <v>14</v>
      </c>
      <c r="K177" s="8" t="s">
        <v>173</v>
      </c>
      <c r="L177" s="8">
        <v>4</v>
      </c>
      <c r="M177" s="8"/>
      <c r="N177" s="8">
        <v>1</v>
      </c>
      <c r="O177" s="10" t="s">
        <v>21</v>
      </c>
      <c r="P177" s="17" t="s">
        <v>59</v>
      </c>
      <c r="Q177" s="10" t="str">
        <f t="shared" si="38"/>
        <v>MPI-M-MPI-ESM-LR_Scaled_Cluster14_repl4.sqlite</v>
      </c>
      <c r="R177" s="11">
        <f t="shared" si="39"/>
        <v>11</v>
      </c>
      <c r="S177" s="11">
        <v>0</v>
      </c>
      <c r="T177" s="16" t="str">
        <f t="shared" si="40"/>
        <v>climate_db_MPI-M-MPI-ESM-LR_historical_v4.sqlite</v>
      </c>
      <c r="U177" s="16" t="str">
        <f t="shared" si="41"/>
        <v>log/MPI-M-MPI-ESM-LR_Scaled_Cluster14_repl4.txt</v>
      </c>
      <c r="V177" s="16" t="str">
        <f t="shared" si="42"/>
        <v>init/env_file_CLUSTER14_REPL4_MPI-M-MPI-ESM-LR_historical.csv</v>
      </c>
      <c r="W177" s="16" t="str">
        <f t="shared" si="43"/>
        <v>init/env_grid_CLUSTER14_REPL4.asc</v>
      </c>
      <c r="X177" s="16" t="str">
        <f t="shared" si="44"/>
        <v>init/env_grid_CLUSTER14_REPL4.asc</v>
      </c>
      <c r="Y177" s="16" t="str">
        <f t="shared" si="45"/>
        <v>trees_CLUSTER14.csv</v>
      </c>
      <c r="Z177" s="16" t="str">
        <f t="shared" si="46"/>
        <v>saplings_CLUSTER14.csv</v>
      </c>
      <c r="AA177" s="16">
        <f t="shared" si="47"/>
        <v>350</v>
      </c>
      <c r="AB177" s="16" t="str">
        <f t="shared" si="48"/>
        <v>abe/no_mgmt.csv</v>
      </c>
      <c r="AC177" s="16" t="str">
        <f t="shared" si="49"/>
        <v>gis/WindModifier_cl14.asc</v>
      </c>
      <c r="AD177" s="16">
        <f t="shared" si="50"/>
        <v>2.1946589129301298E-6</v>
      </c>
      <c r="AE177" s="16" t="str">
        <f t="shared" si="53"/>
        <v>MPI-M-MPI-ESM-LR_historical_point36494</v>
      </c>
      <c r="AF177" s="16" t="str">
        <f t="shared" si="51"/>
        <v>wind_Events/Scaled_cl14_repl4.txt</v>
      </c>
      <c r="AG177" s="16" t="str">
        <f t="shared" si="52"/>
        <v>MPI-M-MPI-ESM-LR_Scaled_Cluster14_repl4</v>
      </c>
      <c r="AH177" s="16" t="s">
        <v>318</v>
      </c>
      <c r="AI177" s="16" t="s">
        <v>319</v>
      </c>
    </row>
    <row r="178" spans="1:35" ht="13.8">
      <c r="A178" s="7" t="str">
        <f t="shared" si="36"/>
        <v>NCC-NorESM1-M_Scaled_Cluster14_repl4</v>
      </c>
      <c r="B178" s="8" t="s">
        <v>16</v>
      </c>
      <c r="C178" s="8" t="s">
        <v>54</v>
      </c>
      <c r="D178" s="9" t="s">
        <v>17</v>
      </c>
      <c r="E178" s="9" t="str">
        <f t="shared" si="37"/>
        <v>historical</v>
      </c>
      <c r="F178" s="8">
        <v>350</v>
      </c>
      <c r="G178" s="8" t="s">
        <v>60</v>
      </c>
      <c r="H178" s="8">
        <v>3</v>
      </c>
      <c r="I178" s="8">
        <v>2.19455891293013E-6</v>
      </c>
      <c r="J178" s="8">
        <v>14</v>
      </c>
      <c r="K178" s="8" t="s">
        <v>180</v>
      </c>
      <c r="L178" s="8">
        <v>4</v>
      </c>
      <c r="M178" s="8"/>
      <c r="N178" s="8">
        <v>1</v>
      </c>
      <c r="O178" s="10" t="s">
        <v>21</v>
      </c>
      <c r="P178" s="17" t="s">
        <v>59</v>
      </c>
      <c r="Q178" s="10" t="str">
        <f t="shared" si="38"/>
        <v>NCC-NorESM1-M_Scaled_Cluster14_repl4.sqlite</v>
      </c>
      <c r="R178" s="11">
        <f t="shared" si="39"/>
        <v>12</v>
      </c>
      <c r="S178" s="11">
        <v>0</v>
      </c>
      <c r="T178" s="16" t="str">
        <f t="shared" si="40"/>
        <v>climate_db_NCC-NorESM1-M_historical_v4.sqlite</v>
      </c>
      <c r="U178" s="16" t="str">
        <f t="shared" si="41"/>
        <v>log/NCC-NorESM1-M_Scaled_Cluster14_repl4.txt</v>
      </c>
      <c r="V178" s="16" t="str">
        <f t="shared" si="42"/>
        <v>init/env_file_CLUSTER14_REPL4_NCC-NorESM1-M_historical.csv</v>
      </c>
      <c r="W178" s="16" t="str">
        <f t="shared" si="43"/>
        <v>init/env_grid_CLUSTER14_REPL4.asc</v>
      </c>
      <c r="X178" s="16" t="str">
        <f t="shared" si="44"/>
        <v>init/env_grid_CLUSTER14_REPL4.asc</v>
      </c>
      <c r="Y178" s="16" t="str">
        <f t="shared" si="45"/>
        <v>trees_CLUSTER14.csv</v>
      </c>
      <c r="Z178" s="16" t="str">
        <f t="shared" si="46"/>
        <v>saplings_CLUSTER14.csv</v>
      </c>
      <c r="AA178" s="16">
        <f t="shared" si="47"/>
        <v>350</v>
      </c>
      <c r="AB178" s="16" t="str">
        <f t="shared" si="48"/>
        <v>abe/no_mgmt.csv</v>
      </c>
      <c r="AC178" s="16" t="str">
        <f t="shared" si="49"/>
        <v>gis/WindModifier_cl14.asc</v>
      </c>
      <c r="AD178" s="16">
        <f t="shared" si="50"/>
        <v>2.1946589129301298E-6</v>
      </c>
      <c r="AE178" s="16" t="str">
        <f t="shared" si="53"/>
        <v>NCC-NorESM1-M_historical_point34873</v>
      </c>
      <c r="AF178" s="16" t="str">
        <f t="shared" si="51"/>
        <v>wind_Events/Scaled_cl14_repl4.txt</v>
      </c>
      <c r="AG178" s="16" t="str">
        <f t="shared" si="52"/>
        <v>NCC-NorESM1-M_Scaled_Cluster14_repl4</v>
      </c>
      <c r="AH178" s="16" t="s">
        <v>320</v>
      </c>
      <c r="AI178" s="16" t="s">
        <v>321</v>
      </c>
    </row>
    <row r="179" spans="1:35" ht="13.8">
      <c r="A179" s="7" t="str">
        <f t="shared" si="36"/>
        <v>ICHEC-EC-EARTH_Scaled_Cluster14_repl5</v>
      </c>
      <c r="B179" s="8" t="s">
        <v>16</v>
      </c>
      <c r="C179" s="8" t="s">
        <v>54</v>
      </c>
      <c r="D179" s="9" t="s">
        <v>17</v>
      </c>
      <c r="E179" s="9" t="str">
        <f t="shared" si="37"/>
        <v>historical</v>
      </c>
      <c r="F179" s="8">
        <v>350</v>
      </c>
      <c r="G179" s="8" t="s">
        <v>18</v>
      </c>
      <c r="H179" s="8">
        <v>1</v>
      </c>
      <c r="I179" s="8">
        <v>2.19455891293013E-6</v>
      </c>
      <c r="J179" s="8">
        <v>14</v>
      </c>
      <c r="K179" s="8" t="s">
        <v>168</v>
      </c>
      <c r="L179" s="8">
        <v>5</v>
      </c>
      <c r="M179" s="8"/>
      <c r="N179" s="8">
        <v>1</v>
      </c>
      <c r="O179" s="10" t="s">
        <v>21</v>
      </c>
      <c r="P179" s="17" t="s">
        <v>59</v>
      </c>
      <c r="Q179" s="10" t="str">
        <f t="shared" si="38"/>
        <v>ICHEC-EC-EARTH_Scaled_Cluster14_repl5.sqlite</v>
      </c>
      <c r="R179" s="11">
        <f t="shared" si="39"/>
        <v>13</v>
      </c>
      <c r="S179" s="11">
        <v>0</v>
      </c>
      <c r="T179" s="16" t="str">
        <f t="shared" si="40"/>
        <v>climate_db_ICHEC-EC-EARTH_historical_v4.sqlite</v>
      </c>
      <c r="U179" s="16" t="str">
        <f t="shared" si="41"/>
        <v>log/ICHEC-EC-EARTH_Scaled_Cluster14_repl5.txt</v>
      </c>
      <c r="V179" s="16" t="str">
        <f t="shared" si="42"/>
        <v>init/env_file_CLUSTER14_REPL5_ICHEC-EC-EARTH_historical.csv</v>
      </c>
      <c r="W179" s="16" t="str">
        <f t="shared" si="43"/>
        <v>init/env_grid_CLUSTER14_REPL5.asc</v>
      </c>
      <c r="X179" s="16" t="str">
        <f t="shared" si="44"/>
        <v>init/env_grid_CLUSTER14_REPL5.asc</v>
      </c>
      <c r="Y179" s="16" t="str">
        <f t="shared" si="45"/>
        <v>trees_CLUSTER14.csv</v>
      </c>
      <c r="Z179" s="16" t="str">
        <f t="shared" si="46"/>
        <v>saplings_CLUSTER14.csv</v>
      </c>
      <c r="AA179" s="16">
        <f t="shared" si="47"/>
        <v>350</v>
      </c>
      <c r="AB179" s="16" t="str">
        <f t="shared" si="48"/>
        <v>abe/no_mgmt.csv</v>
      </c>
      <c r="AC179" s="16" t="str">
        <f t="shared" si="49"/>
        <v>gis/WindModifier_cl14.asc</v>
      </c>
      <c r="AD179" s="16">
        <f t="shared" si="50"/>
        <v>2.1946589129301298E-6</v>
      </c>
      <c r="AE179" s="16" t="str">
        <f t="shared" si="53"/>
        <v>ICHEC-EC-EARTH_historical_point34874</v>
      </c>
      <c r="AF179" s="16" t="str">
        <f t="shared" si="51"/>
        <v>wind_Events/Scaled_cl14_repl5.txt</v>
      </c>
      <c r="AG179" s="16" t="str">
        <f t="shared" si="52"/>
        <v>ICHEC-EC-EARTH_Scaled_Cluster14_repl5</v>
      </c>
      <c r="AH179" s="16" t="s">
        <v>322</v>
      </c>
      <c r="AI179" s="16" t="s">
        <v>323</v>
      </c>
    </row>
    <row r="180" spans="1:35" ht="13.8">
      <c r="A180" s="7" t="str">
        <f t="shared" si="36"/>
        <v>MPI-M-MPI-ESM-LR_Scaled_Cluster14_repl5</v>
      </c>
      <c r="B180" s="8" t="s">
        <v>16</v>
      </c>
      <c r="C180" s="8" t="s">
        <v>54</v>
      </c>
      <c r="D180" s="9" t="s">
        <v>17</v>
      </c>
      <c r="E180" s="9" t="str">
        <f t="shared" si="37"/>
        <v>historical</v>
      </c>
      <c r="F180" s="8">
        <v>350</v>
      </c>
      <c r="G180" s="8" t="s">
        <v>63</v>
      </c>
      <c r="H180" s="8">
        <v>2</v>
      </c>
      <c r="I180" s="8">
        <v>2.19455891293013E-6</v>
      </c>
      <c r="J180" s="8">
        <v>14</v>
      </c>
      <c r="K180" s="8" t="s">
        <v>173</v>
      </c>
      <c r="L180" s="8">
        <v>5</v>
      </c>
      <c r="M180" s="8"/>
      <c r="N180" s="8">
        <v>1</v>
      </c>
      <c r="O180" s="10" t="s">
        <v>21</v>
      </c>
      <c r="P180" s="17" t="s">
        <v>59</v>
      </c>
      <c r="Q180" s="10" t="str">
        <f t="shared" si="38"/>
        <v>MPI-M-MPI-ESM-LR_Scaled_Cluster14_repl5.sqlite</v>
      </c>
      <c r="R180" s="11">
        <f t="shared" si="39"/>
        <v>14</v>
      </c>
      <c r="S180" s="11">
        <v>0</v>
      </c>
      <c r="T180" s="16" t="str">
        <f t="shared" si="40"/>
        <v>climate_db_MPI-M-MPI-ESM-LR_historical_v4.sqlite</v>
      </c>
      <c r="U180" s="16" t="str">
        <f t="shared" si="41"/>
        <v>log/MPI-M-MPI-ESM-LR_Scaled_Cluster14_repl5.txt</v>
      </c>
      <c r="V180" s="16" t="str">
        <f t="shared" si="42"/>
        <v>init/env_file_CLUSTER14_REPL5_MPI-M-MPI-ESM-LR_historical.csv</v>
      </c>
      <c r="W180" s="16" t="str">
        <f t="shared" si="43"/>
        <v>init/env_grid_CLUSTER14_REPL5.asc</v>
      </c>
      <c r="X180" s="16" t="str">
        <f t="shared" si="44"/>
        <v>init/env_grid_CLUSTER14_REPL5.asc</v>
      </c>
      <c r="Y180" s="16" t="str">
        <f t="shared" si="45"/>
        <v>trees_CLUSTER14.csv</v>
      </c>
      <c r="Z180" s="16" t="str">
        <f t="shared" si="46"/>
        <v>saplings_CLUSTER14.csv</v>
      </c>
      <c r="AA180" s="16">
        <f t="shared" si="47"/>
        <v>350</v>
      </c>
      <c r="AB180" s="16" t="str">
        <f t="shared" si="48"/>
        <v>abe/no_mgmt.csv</v>
      </c>
      <c r="AC180" s="16" t="str">
        <f t="shared" si="49"/>
        <v>gis/WindModifier_cl14.asc</v>
      </c>
      <c r="AD180" s="16">
        <f t="shared" si="50"/>
        <v>2.1946589129301298E-6</v>
      </c>
      <c r="AE180" s="16" t="str">
        <f t="shared" si="53"/>
        <v>MPI-M-MPI-ESM-LR_historical_point36494</v>
      </c>
      <c r="AF180" s="16" t="str">
        <f t="shared" si="51"/>
        <v>wind_Events/Scaled_cl14_repl5.txt</v>
      </c>
      <c r="AG180" s="16" t="str">
        <f t="shared" si="52"/>
        <v>MPI-M-MPI-ESM-LR_Scaled_Cluster14_repl5</v>
      </c>
      <c r="AH180" s="16" t="s">
        <v>324</v>
      </c>
      <c r="AI180" s="16" t="s">
        <v>325</v>
      </c>
    </row>
    <row r="181" spans="1:35" ht="13.8">
      <c r="A181" s="7" t="str">
        <f t="shared" si="36"/>
        <v>NCC-NorESM1-M_Scaled_Cluster14_repl5</v>
      </c>
      <c r="B181" s="8" t="s">
        <v>16</v>
      </c>
      <c r="C181" s="8" t="s">
        <v>54</v>
      </c>
      <c r="D181" s="9" t="s">
        <v>17</v>
      </c>
      <c r="E181" s="9" t="str">
        <f t="shared" si="37"/>
        <v>historical</v>
      </c>
      <c r="F181" s="8">
        <v>350</v>
      </c>
      <c r="G181" s="8" t="s">
        <v>60</v>
      </c>
      <c r="H181" s="8">
        <v>3</v>
      </c>
      <c r="I181" s="8">
        <v>2.19455891293013E-6</v>
      </c>
      <c r="J181" s="8">
        <v>14</v>
      </c>
      <c r="K181" s="8" t="s">
        <v>180</v>
      </c>
      <c r="L181" s="8">
        <v>5</v>
      </c>
      <c r="M181" s="8"/>
      <c r="N181" s="8">
        <v>1</v>
      </c>
      <c r="O181" s="10" t="s">
        <v>21</v>
      </c>
      <c r="P181" s="17" t="s">
        <v>59</v>
      </c>
      <c r="Q181" s="10" t="str">
        <f t="shared" si="38"/>
        <v>NCC-NorESM1-M_Scaled_Cluster14_repl5.sqlite</v>
      </c>
      <c r="R181" s="11">
        <f t="shared" si="39"/>
        <v>15</v>
      </c>
      <c r="S181" s="11">
        <v>0</v>
      </c>
      <c r="T181" s="16" t="str">
        <f t="shared" si="40"/>
        <v>climate_db_NCC-NorESM1-M_historical_v4.sqlite</v>
      </c>
      <c r="U181" s="16" t="str">
        <f t="shared" si="41"/>
        <v>log/NCC-NorESM1-M_Scaled_Cluster14_repl5.txt</v>
      </c>
      <c r="V181" s="16" t="str">
        <f t="shared" si="42"/>
        <v>init/env_file_CLUSTER14_REPL5_NCC-NorESM1-M_historical.csv</v>
      </c>
      <c r="W181" s="16" t="str">
        <f t="shared" si="43"/>
        <v>init/env_grid_CLUSTER14_REPL5.asc</v>
      </c>
      <c r="X181" s="16" t="str">
        <f t="shared" si="44"/>
        <v>init/env_grid_CLUSTER14_REPL5.asc</v>
      </c>
      <c r="Y181" s="16" t="str">
        <f t="shared" si="45"/>
        <v>trees_CLUSTER14.csv</v>
      </c>
      <c r="Z181" s="16" t="str">
        <f t="shared" si="46"/>
        <v>saplings_CLUSTER14.csv</v>
      </c>
      <c r="AA181" s="16">
        <f t="shared" si="47"/>
        <v>350</v>
      </c>
      <c r="AB181" s="16" t="str">
        <f t="shared" si="48"/>
        <v>abe/no_mgmt.csv</v>
      </c>
      <c r="AC181" s="16" t="str">
        <f t="shared" si="49"/>
        <v>gis/WindModifier_cl14.asc</v>
      </c>
      <c r="AD181" s="16">
        <f t="shared" si="50"/>
        <v>2.1946589129301298E-6</v>
      </c>
      <c r="AE181" s="16" t="str">
        <f t="shared" si="53"/>
        <v>NCC-NorESM1-M_historical_point34873</v>
      </c>
      <c r="AF181" s="16" t="str">
        <f t="shared" si="51"/>
        <v>wind_Events/Scaled_cl14_repl5.txt</v>
      </c>
      <c r="AG181" s="16" t="str">
        <f t="shared" si="52"/>
        <v>NCC-NorESM1-M_Scaled_Cluster14_repl5</v>
      </c>
      <c r="AH181" s="16" t="s">
        <v>326</v>
      </c>
      <c r="AI181" s="16" t="s">
        <v>327</v>
      </c>
    </row>
    <row r="182" spans="1:35" ht="13.8">
      <c r="A182" s="7" t="str">
        <f t="shared" si="36"/>
        <v>ICHEC-EC-EARTH_Cluster2_repl1</v>
      </c>
      <c r="B182" s="8" t="s">
        <v>16</v>
      </c>
      <c r="C182" s="8"/>
      <c r="D182" s="9" t="s">
        <v>17</v>
      </c>
      <c r="E182" s="9" t="str">
        <f t="shared" si="37"/>
        <v>historical</v>
      </c>
      <c r="F182" s="8">
        <v>350</v>
      </c>
      <c r="G182" s="8" t="s">
        <v>18</v>
      </c>
      <c r="H182" s="8">
        <v>1</v>
      </c>
      <c r="I182" s="18">
        <v>6.8499999999999995E-4</v>
      </c>
      <c r="J182" s="8">
        <v>2</v>
      </c>
      <c r="K182" s="8" t="s">
        <v>157</v>
      </c>
      <c r="L182" s="8">
        <v>1</v>
      </c>
      <c r="M182" s="8"/>
      <c r="N182" s="8">
        <v>1</v>
      </c>
      <c r="O182" s="10" t="s">
        <v>21</v>
      </c>
      <c r="P182" s="17" t="s">
        <v>59</v>
      </c>
      <c r="Q182" s="10" t="str">
        <f t="shared" si="38"/>
        <v>ICHEC-EC-EARTH_Cluster2_repl1.sqlite</v>
      </c>
      <c r="R182" s="11">
        <f t="shared" si="39"/>
        <v>1</v>
      </c>
      <c r="S182" s="11">
        <v>0</v>
      </c>
      <c r="T182" s="16" t="str">
        <f t="shared" si="40"/>
        <v>climate_db_ICHEC-EC-EARTH_historical_v4.sqlite</v>
      </c>
      <c r="U182" s="16" t="str">
        <f t="shared" si="41"/>
        <v>log/ICHEC-EC-EARTH_Cluster2_repl1.txt</v>
      </c>
      <c r="V182" s="16" t="str">
        <f t="shared" si="42"/>
        <v>init/env_file_CLUSTER02_REPL1_ICHEC-EC-EARTH_historical.csv</v>
      </c>
      <c r="W182" s="16" t="str">
        <f t="shared" si="43"/>
        <v>init/env_grid_CLUSTER02_REPL1.asc</v>
      </c>
      <c r="X182" s="16" t="str">
        <f t="shared" si="44"/>
        <v>init/env_grid_CLUSTER02_REPL1.asc</v>
      </c>
      <c r="Y182" s="16" t="str">
        <f t="shared" si="45"/>
        <v>trees_CLUSTER02.csv</v>
      </c>
      <c r="Z182" s="16" t="str">
        <f t="shared" si="46"/>
        <v>saplings_CLUSTER02.csv</v>
      </c>
      <c r="AA182" s="16">
        <f t="shared" si="47"/>
        <v>350</v>
      </c>
      <c r="AB182" s="16" t="str">
        <f t="shared" si="48"/>
        <v>abe/no_mgmt.csv</v>
      </c>
      <c r="AC182" s="16" t="str">
        <f t="shared" si="49"/>
        <v>gis/WindModifier_cl2.asc</v>
      </c>
      <c r="AD182" s="16">
        <f t="shared" si="50"/>
        <v>6.8499999999999995E-4</v>
      </c>
      <c r="AE182" s="16" t="str">
        <f t="shared" si="53"/>
        <v>ICHEC-EC-EARTH_historical_point38526</v>
      </c>
      <c r="AF182" s="16" t="str">
        <f t="shared" si="51"/>
        <v>wind_Events/cl2_repl1.txt</v>
      </c>
      <c r="AG182" s="16" t="str">
        <f t="shared" si="52"/>
        <v>ICHEC-EC-EARTH_Cluster2_repl1</v>
      </c>
      <c r="AH182" s="16" t="s">
        <v>256</v>
      </c>
      <c r="AI182" s="16" t="s">
        <v>257</v>
      </c>
    </row>
    <row r="183" spans="1:35" ht="13.8">
      <c r="A183" s="7" t="str">
        <f t="shared" si="36"/>
        <v>MPI-M-MPI-ESM-LR_Cluster2_repl1</v>
      </c>
      <c r="B183" s="8" t="s">
        <v>16</v>
      </c>
      <c r="C183" s="8"/>
      <c r="D183" s="9" t="s">
        <v>17</v>
      </c>
      <c r="E183" s="9" t="str">
        <f t="shared" si="37"/>
        <v>historical</v>
      </c>
      <c r="F183" s="8">
        <v>350</v>
      </c>
      <c r="G183" s="8" t="s">
        <v>63</v>
      </c>
      <c r="H183" s="8">
        <v>2</v>
      </c>
      <c r="I183" s="18">
        <v>6.8499999999999995E-4</v>
      </c>
      <c r="J183" s="8">
        <v>2</v>
      </c>
      <c r="K183" s="8" t="s">
        <v>157</v>
      </c>
      <c r="L183" s="8">
        <v>1</v>
      </c>
      <c r="M183" s="8"/>
      <c r="N183" s="8">
        <v>1</v>
      </c>
      <c r="O183" s="10" t="s">
        <v>21</v>
      </c>
      <c r="P183" s="17" t="s">
        <v>59</v>
      </c>
      <c r="Q183" s="10" t="str">
        <f t="shared" si="38"/>
        <v>MPI-M-MPI-ESM-LR_Cluster2_repl1.sqlite</v>
      </c>
      <c r="R183" s="11">
        <f t="shared" si="39"/>
        <v>2</v>
      </c>
      <c r="S183" s="11">
        <v>0</v>
      </c>
      <c r="T183" s="16" t="str">
        <f t="shared" si="40"/>
        <v>climate_db_MPI-M-MPI-ESM-LR_historical_v4.sqlite</v>
      </c>
      <c r="U183" s="16" t="str">
        <f t="shared" si="41"/>
        <v>log/MPI-M-MPI-ESM-LR_Cluster2_repl1.txt</v>
      </c>
      <c r="V183" s="16" t="str">
        <f t="shared" si="42"/>
        <v>init/env_file_CLUSTER02_REPL1_MPI-M-MPI-ESM-LR_historical.csv</v>
      </c>
      <c r="W183" s="16" t="str">
        <f t="shared" si="43"/>
        <v>init/env_grid_CLUSTER02_REPL1.asc</v>
      </c>
      <c r="X183" s="16" t="str">
        <f t="shared" si="44"/>
        <v>init/env_grid_CLUSTER02_REPL1.asc</v>
      </c>
      <c r="Y183" s="16" t="str">
        <f t="shared" si="45"/>
        <v>trees_CLUSTER02.csv</v>
      </c>
      <c r="Z183" s="16" t="str">
        <f t="shared" si="46"/>
        <v>saplings_CLUSTER02.csv</v>
      </c>
      <c r="AA183" s="16">
        <f t="shared" si="47"/>
        <v>350</v>
      </c>
      <c r="AB183" s="16" t="str">
        <f t="shared" si="48"/>
        <v>abe/no_mgmt.csv</v>
      </c>
      <c r="AC183" s="16" t="str">
        <f t="shared" si="49"/>
        <v>gis/WindModifier_cl2.asc</v>
      </c>
      <c r="AD183" s="16">
        <f t="shared" si="50"/>
        <v>6.8499999999999995E-4</v>
      </c>
      <c r="AE183" s="16" t="str">
        <f t="shared" si="53"/>
        <v>MPI-M-MPI-ESM-LR_historical_point38526</v>
      </c>
      <c r="AF183" s="16" t="str">
        <f t="shared" si="51"/>
        <v>wind_Events/cl2_repl1.txt</v>
      </c>
      <c r="AG183" s="16" t="str">
        <f t="shared" si="52"/>
        <v>MPI-M-MPI-ESM-LR_Cluster2_repl1</v>
      </c>
      <c r="AH183" s="16" t="s">
        <v>258</v>
      </c>
      <c r="AI183" s="16" t="s">
        <v>259</v>
      </c>
    </row>
    <row r="184" spans="1:35" ht="13.8">
      <c r="A184" s="7" t="str">
        <f t="shared" si="36"/>
        <v>NCC-NorESM1-M_Cluster2_repl1</v>
      </c>
      <c r="B184" s="8" t="s">
        <v>16</v>
      </c>
      <c r="C184" s="8"/>
      <c r="D184" s="9" t="s">
        <v>17</v>
      </c>
      <c r="E184" s="9" t="str">
        <f t="shared" si="37"/>
        <v>historical</v>
      </c>
      <c r="F184" s="8">
        <v>350</v>
      </c>
      <c r="G184" s="8" t="s">
        <v>60</v>
      </c>
      <c r="H184" s="8">
        <v>3</v>
      </c>
      <c r="I184" s="18">
        <v>6.8499999999999995E-4</v>
      </c>
      <c r="J184" s="8">
        <v>2</v>
      </c>
      <c r="K184" s="8" t="s">
        <v>157</v>
      </c>
      <c r="L184" s="8">
        <v>1</v>
      </c>
      <c r="M184" s="8"/>
      <c r="N184" s="8">
        <v>1</v>
      </c>
      <c r="O184" s="10" t="s">
        <v>21</v>
      </c>
      <c r="P184" s="17" t="s">
        <v>59</v>
      </c>
      <c r="Q184" s="10" t="str">
        <f t="shared" si="38"/>
        <v>NCC-NorESM1-M_Cluster2_repl1.sqlite</v>
      </c>
      <c r="R184" s="11">
        <f t="shared" si="39"/>
        <v>3</v>
      </c>
      <c r="S184" s="11">
        <v>0</v>
      </c>
      <c r="T184" s="16" t="str">
        <f t="shared" si="40"/>
        <v>climate_db_NCC-NorESM1-M_historical_v4.sqlite</v>
      </c>
      <c r="U184" s="16" t="str">
        <f t="shared" si="41"/>
        <v>log/NCC-NorESM1-M_Cluster2_repl1.txt</v>
      </c>
      <c r="V184" s="16" t="str">
        <f t="shared" si="42"/>
        <v>init/env_file_CLUSTER02_REPL1_NCC-NorESM1-M_historical.csv</v>
      </c>
      <c r="W184" s="16" t="str">
        <f t="shared" si="43"/>
        <v>init/env_grid_CLUSTER02_REPL1.asc</v>
      </c>
      <c r="X184" s="16" t="str">
        <f t="shared" si="44"/>
        <v>init/env_grid_CLUSTER02_REPL1.asc</v>
      </c>
      <c r="Y184" s="16" t="str">
        <f t="shared" si="45"/>
        <v>trees_CLUSTER02.csv</v>
      </c>
      <c r="Z184" s="16" t="str">
        <f t="shared" si="46"/>
        <v>saplings_CLUSTER02.csv</v>
      </c>
      <c r="AA184" s="16">
        <f t="shared" si="47"/>
        <v>350</v>
      </c>
      <c r="AB184" s="16" t="str">
        <f t="shared" si="48"/>
        <v>abe/no_mgmt.csv</v>
      </c>
      <c r="AC184" s="16" t="str">
        <f t="shared" si="49"/>
        <v>gis/WindModifier_cl2.asc</v>
      </c>
      <c r="AD184" s="16">
        <f t="shared" si="50"/>
        <v>6.8499999999999995E-4</v>
      </c>
      <c r="AE184" s="16" t="str">
        <f t="shared" si="53"/>
        <v>NCC-NorESM1-M_historical_point38526</v>
      </c>
      <c r="AF184" s="16" t="str">
        <f t="shared" si="51"/>
        <v>wind_Events/cl2_repl1.txt</v>
      </c>
      <c r="AG184" s="16" t="str">
        <f t="shared" si="52"/>
        <v>NCC-NorESM1-M_Cluster2_repl1</v>
      </c>
      <c r="AH184" s="16" t="s">
        <v>260</v>
      </c>
      <c r="AI184" s="16" t="s">
        <v>261</v>
      </c>
    </row>
    <row r="185" spans="1:35" ht="13.8">
      <c r="A185" s="7" t="str">
        <f t="shared" si="36"/>
        <v>ICHEC-EC-EARTH_Cluster2_repl2</v>
      </c>
      <c r="B185" s="8" t="s">
        <v>16</v>
      </c>
      <c r="C185" s="8"/>
      <c r="D185" s="9" t="s">
        <v>17</v>
      </c>
      <c r="E185" s="9" t="str">
        <f t="shared" si="37"/>
        <v>historical</v>
      </c>
      <c r="F185" s="8">
        <v>350</v>
      </c>
      <c r="G185" s="8" t="s">
        <v>18</v>
      </c>
      <c r="H185" s="8">
        <v>1</v>
      </c>
      <c r="I185" s="18">
        <v>6.8499999999999995E-4</v>
      </c>
      <c r="J185" s="8">
        <v>2</v>
      </c>
      <c r="K185" s="8" t="s">
        <v>157</v>
      </c>
      <c r="L185" s="8">
        <v>2</v>
      </c>
      <c r="M185" s="8"/>
      <c r="N185" s="8">
        <v>1</v>
      </c>
      <c r="O185" s="10" t="s">
        <v>21</v>
      </c>
      <c r="P185" s="17" t="s">
        <v>59</v>
      </c>
      <c r="Q185" s="10" t="str">
        <f t="shared" si="38"/>
        <v>ICHEC-EC-EARTH_Cluster2_repl2.sqlite</v>
      </c>
      <c r="R185" s="11">
        <f t="shared" si="39"/>
        <v>4</v>
      </c>
      <c r="S185" s="11">
        <v>0</v>
      </c>
      <c r="T185" s="16" t="str">
        <f t="shared" si="40"/>
        <v>climate_db_ICHEC-EC-EARTH_historical_v4.sqlite</v>
      </c>
      <c r="U185" s="16" t="str">
        <f t="shared" si="41"/>
        <v>log/ICHEC-EC-EARTH_Cluster2_repl2.txt</v>
      </c>
      <c r="V185" s="16" t="str">
        <f t="shared" si="42"/>
        <v>init/env_file_CLUSTER02_REPL2_ICHEC-EC-EARTH_historical.csv</v>
      </c>
      <c r="W185" s="16" t="str">
        <f t="shared" si="43"/>
        <v>init/env_grid_CLUSTER02_REPL2.asc</v>
      </c>
      <c r="X185" s="16" t="str">
        <f t="shared" si="44"/>
        <v>init/env_grid_CLUSTER02_REPL2.asc</v>
      </c>
      <c r="Y185" s="16" t="str">
        <f t="shared" si="45"/>
        <v>trees_CLUSTER02.csv</v>
      </c>
      <c r="Z185" s="16" t="str">
        <f t="shared" si="46"/>
        <v>saplings_CLUSTER02.csv</v>
      </c>
      <c r="AA185" s="16">
        <f t="shared" si="47"/>
        <v>350</v>
      </c>
      <c r="AB185" s="16" t="str">
        <f t="shared" si="48"/>
        <v>abe/no_mgmt.csv</v>
      </c>
      <c r="AC185" s="16" t="str">
        <f t="shared" si="49"/>
        <v>gis/WindModifier_cl2.asc</v>
      </c>
      <c r="AD185" s="16">
        <f t="shared" si="50"/>
        <v>6.8499999999999995E-4</v>
      </c>
      <c r="AE185" s="16" t="str">
        <f t="shared" si="53"/>
        <v>ICHEC-EC-EARTH_historical_point38526</v>
      </c>
      <c r="AF185" s="16" t="str">
        <f t="shared" si="51"/>
        <v>wind_Events/cl2_repl2.txt</v>
      </c>
      <c r="AG185" s="16" t="str">
        <f t="shared" si="52"/>
        <v>ICHEC-EC-EARTH_Cluster2_repl2</v>
      </c>
      <c r="AH185" s="16" t="s">
        <v>262</v>
      </c>
      <c r="AI185" s="16" t="s">
        <v>263</v>
      </c>
    </row>
    <row r="186" spans="1:35" ht="13.8">
      <c r="A186" s="7" t="str">
        <f t="shared" si="36"/>
        <v>MPI-M-MPI-ESM-LR_Cluster2_repl2</v>
      </c>
      <c r="B186" s="8" t="s">
        <v>16</v>
      </c>
      <c r="C186" s="8"/>
      <c r="D186" s="9" t="s">
        <v>17</v>
      </c>
      <c r="E186" s="9" t="str">
        <f t="shared" si="37"/>
        <v>historical</v>
      </c>
      <c r="F186" s="8">
        <v>350</v>
      </c>
      <c r="G186" s="8" t="s">
        <v>63</v>
      </c>
      <c r="H186" s="8">
        <v>2</v>
      </c>
      <c r="I186" s="18">
        <v>6.8499999999999995E-4</v>
      </c>
      <c r="J186" s="8">
        <v>2</v>
      </c>
      <c r="K186" s="8" t="s">
        <v>157</v>
      </c>
      <c r="L186" s="8">
        <v>2</v>
      </c>
      <c r="M186" s="8"/>
      <c r="N186" s="8">
        <v>1</v>
      </c>
      <c r="O186" s="10" t="s">
        <v>21</v>
      </c>
      <c r="P186" s="17" t="s">
        <v>59</v>
      </c>
      <c r="Q186" s="10" t="str">
        <f t="shared" si="38"/>
        <v>MPI-M-MPI-ESM-LR_Cluster2_repl2.sqlite</v>
      </c>
      <c r="R186" s="11">
        <f t="shared" si="39"/>
        <v>5</v>
      </c>
      <c r="S186" s="11">
        <v>0</v>
      </c>
      <c r="T186" s="16" t="str">
        <f t="shared" si="40"/>
        <v>climate_db_MPI-M-MPI-ESM-LR_historical_v4.sqlite</v>
      </c>
      <c r="U186" s="16" t="str">
        <f t="shared" si="41"/>
        <v>log/MPI-M-MPI-ESM-LR_Cluster2_repl2.txt</v>
      </c>
      <c r="V186" s="16" t="str">
        <f t="shared" si="42"/>
        <v>init/env_file_CLUSTER02_REPL2_MPI-M-MPI-ESM-LR_historical.csv</v>
      </c>
      <c r="W186" s="16" t="str">
        <f t="shared" si="43"/>
        <v>init/env_grid_CLUSTER02_REPL2.asc</v>
      </c>
      <c r="X186" s="16" t="str">
        <f t="shared" si="44"/>
        <v>init/env_grid_CLUSTER02_REPL2.asc</v>
      </c>
      <c r="Y186" s="16" t="str">
        <f t="shared" si="45"/>
        <v>trees_CLUSTER02.csv</v>
      </c>
      <c r="Z186" s="16" t="str">
        <f t="shared" si="46"/>
        <v>saplings_CLUSTER02.csv</v>
      </c>
      <c r="AA186" s="16">
        <f t="shared" si="47"/>
        <v>350</v>
      </c>
      <c r="AB186" s="16" t="str">
        <f t="shared" si="48"/>
        <v>abe/no_mgmt.csv</v>
      </c>
      <c r="AC186" s="16" t="str">
        <f t="shared" si="49"/>
        <v>gis/WindModifier_cl2.asc</v>
      </c>
      <c r="AD186" s="16">
        <f t="shared" si="50"/>
        <v>6.8499999999999995E-4</v>
      </c>
      <c r="AE186" s="16" t="str">
        <f t="shared" si="53"/>
        <v>MPI-M-MPI-ESM-LR_historical_point38526</v>
      </c>
      <c r="AF186" s="16" t="str">
        <f t="shared" si="51"/>
        <v>wind_Events/cl2_repl2.txt</v>
      </c>
      <c r="AG186" s="16" t="str">
        <f t="shared" si="52"/>
        <v>MPI-M-MPI-ESM-LR_Cluster2_repl2</v>
      </c>
      <c r="AH186" s="16" t="s">
        <v>264</v>
      </c>
      <c r="AI186" s="16" t="s">
        <v>265</v>
      </c>
    </row>
    <row r="187" spans="1:35" ht="13.8">
      <c r="A187" s="7" t="str">
        <f t="shared" si="36"/>
        <v>NCC-NorESM1-M_Cluster2_repl2</v>
      </c>
      <c r="B187" s="8" t="s">
        <v>16</v>
      </c>
      <c r="C187" s="8"/>
      <c r="D187" s="9" t="s">
        <v>17</v>
      </c>
      <c r="E187" s="9" t="str">
        <f t="shared" si="37"/>
        <v>historical</v>
      </c>
      <c r="F187" s="8">
        <v>350</v>
      </c>
      <c r="G187" s="8" t="s">
        <v>60</v>
      </c>
      <c r="H187" s="8">
        <v>3</v>
      </c>
      <c r="I187" s="18">
        <v>6.8499999999999995E-4</v>
      </c>
      <c r="J187" s="8">
        <v>2</v>
      </c>
      <c r="K187" s="8" t="s">
        <v>157</v>
      </c>
      <c r="L187" s="8">
        <v>2</v>
      </c>
      <c r="M187" s="8"/>
      <c r="N187" s="8">
        <v>1</v>
      </c>
      <c r="O187" s="10" t="s">
        <v>21</v>
      </c>
      <c r="P187" s="17" t="s">
        <v>59</v>
      </c>
      <c r="Q187" s="10" t="str">
        <f t="shared" si="38"/>
        <v>NCC-NorESM1-M_Cluster2_repl2.sqlite</v>
      </c>
      <c r="R187" s="11">
        <f t="shared" si="39"/>
        <v>6</v>
      </c>
      <c r="S187" s="11">
        <v>0</v>
      </c>
      <c r="T187" s="16" t="str">
        <f t="shared" si="40"/>
        <v>climate_db_NCC-NorESM1-M_historical_v4.sqlite</v>
      </c>
      <c r="U187" s="16" t="str">
        <f t="shared" si="41"/>
        <v>log/NCC-NorESM1-M_Cluster2_repl2.txt</v>
      </c>
      <c r="V187" s="16" t="str">
        <f t="shared" si="42"/>
        <v>init/env_file_CLUSTER02_REPL2_NCC-NorESM1-M_historical.csv</v>
      </c>
      <c r="W187" s="16" t="str">
        <f t="shared" si="43"/>
        <v>init/env_grid_CLUSTER02_REPL2.asc</v>
      </c>
      <c r="X187" s="16" t="str">
        <f t="shared" si="44"/>
        <v>init/env_grid_CLUSTER02_REPL2.asc</v>
      </c>
      <c r="Y187" s="16" t="str">
        <f t="shared" si="45"/>
        <v>trees_CLUSTER02.csv</v>
      </c>
      <c r="Z187" s="16" t="str">
        <f t="shared" si="46"/>
        <v>saplings_CLUSTER02.csv</v>
      </c>
      <c r="AA187" s="16">
        <f t="shared" si="47"/>
        <v>350</v>
      </c>
      <c r="AB187" s="16" t="str">
        <f t="shared" si="48"/>
        <v>abe/no_mgmt.csv</v>
      </c>
      <c r="AC187" s="16" t="str">
        <f t="shared" si="49"/>
        <v>gis/WindModifier_cl2.asc</v>
      </c>
      <c r="AD187" s="16">
        <f t="shared" si="50"/>
        <v>6.8499999999999995E-4</v>
      </c>
      <c r="AE187" s="16" t="str">
        <f t="shared" si="53"/>
        <v>NCC-NorESM1-M_historical_point38526</v>
      </c>
      <c r="AF187" s="16" t="str">
        <f t="shared" si="51"/>
        <v>wind_Events/cl2_repl2.txt</v>
      </c>
      <c r="AG187" s="16" t="str">
        <f t="shared" si="52"/>
        <v>NCC-NorESM1-M_Cluster2_repl2</v>
      </c>
      <c r="AH187" s="16" t="s">
        <v>266</v>
      </c>
      <c r="AI187" s="16" t="s">
        <v>267</v>
      </c>
    </row>
    <row r="188" spans="1:35" ht="13.8">
      <c r="A188" s="7" t="str">
        <f t="shared" si="36"/>
        <v>ICHEC-EC-EARTH_Cluster2_repl3</v>
      </c>
      <c r="B188" s="8" t="s">
        <v>16</v>
      </c>
      <c r="C188" s="8"/>
      <c r="D188" s="9" t="s">
        <v>17</v>
      </c>
      <c r="E188" s="9" t="str">
        <f t="shared" si="37"/>
        <v>historical</v>
      </c>
      <c r="F188" s="8">
        <v>350</v>
      </c>
      <c r="G188" s="8" t="s">
        <v>18</v>
      </c>
      <c r="H188" s="8">
        <v>1</v>
      </c>
      <c r="I188" s="18">
        <v>6.8499999999999995E-4</v>
      </c>
      <c r="J188" s="8">
        <v>2</v>
      </c>
      <c r="K188" s="8" t="s">
        <v>157</v>
      </c>
      <c r="L188" s="8">
        <v>3</v>
      </c>
      <c r="M188" s="8"/>
      <c r="N188" s="8">
        <v>1</v>
      </c>
      <c r="O188" s="10" t="s">
        <v>21</v>
      </c>
      <c r="P188" s="17" t="s">
        <v>59</v>
      </c>
      <c r="Q188" s="10" t="str">
        <f t="shared" si="38"/>
        <v>ICHEC-EC-EARTH_Cluster2_repl3.sqlite</v>
      </c>
      <c r="R188" s="11">
        <f t="shared" si="39"/>
        <v>7</v>
      </c>
      <c r="S188" s="11">
        <v>0</v>
      </c>
      <c r="T188" s="16" t="str">
        <f t="shared" si="40"/>
        <v>climate_db_ICHEC-EC-EARTH_historical_v4.sqlite</v>
      </c>
      <c r="U188" s="16" t="str">
        <f t="shared" si="41"/>
        <v>log/ICHEC-EC-EARTH_Cluster2_repl3.txt</v>
      </c>
      <c r="V188" s="16" t="str">
        <f t="shared" si="42"/>
        <v>init/env_file_CLUSTER02_REPL3_ICHEC-EC-EARTH_historical.csv</v>
      </c>
      <c r="W188" s="16" t="str">
        <f t="shared" si="43"/>
        <v>init/env_grid_CLUSTER02_REPL3.asc</v>
      </c>
      <c r="X188" s="16" t="str">
        <f t="shared" si="44"/>
        <v>init/env_grid_CLUSTER02_REPL3.asc</v>
      </c>
      <c r="Y188" s="16" t="str">
        <f t="shared" si="45"/>
        <v>trees_CLUSTER02.csv</v>
      </c>
      <c r="Z188" s="16" t="str">
        <f t="shared" si="46"/>
        <v>saplings_CLUSTER02.csv</v>
      </c>
      <c r="AA188" s="16">
        <f t="shared" si="47"/>
        <v>350</v>
      </c>
      <c r="AB188" s="16" t="str">
        <f t="shared" si="48"/>
        <v>abe/no_mgmt.csv</v>
      </c>
      <c r="AC188" s="16" t="str">
        <f t="shared" si="49"/>
        <v>gis/WindModifier_cl2.asc</v>
      </c>
      <c r="AD188" s="16">
        <f t="shared" si="50"/>
        <v>6.8499999999999995E-4</v>
      </c>
      <c r="AE188" s="16" t="str">
        <f t="shared" si="53"/>
        <v>ICHEC-EC-EARTH_historical_point38526</v>
      </c>
      <c r="AF188" s="16" t="str">
        <f t="shared" si="51"/>
        <v>wind_Events/cl2_repl3.txt</v>
      </c>
      <c r="AG188" s="16" t="str">
        <f t="shared" si="52"/>
        <v>ICHEC-EC-EARTH_Cluster2_repl3</v>
      </c>
      <c r="AH188" s="16" t="s">
        <v>268</v>
      </c>
      <c r="AI188" s="16" t="s">
        <v>269</v>
      </c>
    </row>
    <row r="189" spans="1:35" ht="13.8">
      <c r="A189" s="7" t="str">
        <f t="shared" si="36"/>
        <v>MPI-M-MPI-ESM-LR_Cluster2_repl3</v>
      </c>
      <c r="B189" s="8" t="s">
        <v>16</v>
      </c>
      <c r="C189" s="8"/>
      <c r="D189" s="9" t="s">
        <v>17</v>
      </c>
      <c r="E189" s="9" t="str">
        <f t="shared" si="37"/>
        <v>historical</v>
      </c>
      <c r="F189" s="8">
        <v>350</v>
      </c>
      <c r="G189" s="8" t="s">
        <v>63</v>
      </c>
      <c r="H189" s="8">
        <v>2</v>
      </c>
      <c r="I189" s="18">
        <v>6.8499999999999995E-4</v>
      </c>
      <c r="J189" s="8">
        <v>2</v>
      </c>
      <c r="K189" s="8" t="s">
        <v>157</v>
      </c>
      <c r="L189" s="8">
        <v>3</v>
      </c>
      <c r="M189" s="8"/>
      <c r="N189" s="8">
        <v>1</v>
      </c>
      <c r="O189" s="10" t="s">
        <v>21</v>
      </c>
      <c r="P189" s="17" t="s">
        <v>59</v>
      </c>
      <c r="Q189" s="10" t="str">
        <f t="shared" si="38"/>
        <v>MPI-M-MPI-ESM-LR_Cluster2_repl3.sqlite</v>
      </c>
      <c r="R189" s="11">
        <f t="shared" si="39"/>
        <v>8</v>
      </c>
      <c r="S189" s="11">
        <v>0</v>
      </c>
      <c r="T189" s="16" t="str">
        <f t="shared" si="40"/>
        <v>climate_db_MPI-M-MPI-ESM-LR_historical_v4.sqlite</v>
      </c>
      <c r="U189" s="16" t="str">
        <f t="shared" si="41"/>
        <v>log/MPI-M-MPI-ESM-LR_Cluster2_repl3.txt</v>
      </c>
      <c r="V189" s="16" t="str">
        <f t="shared" si="42"/>
        <v>init/env_file_CLUSTER02_REPL3_MPI-M-MPI-ESM-LR_historical.csv</v>
      </c>
      <c r="W189" s="16" t="str">
        <f t="shared" si="43"/>
        <v>init/env_grid_CLUSTER02_REPL3.asc</v>
      </c>
      <c r="X189" s="16" t="str">
        <f t="shared" si="44"/>
        <v>init/env_grid_CLUSTER02_REPL3.asc</v>
      </c>
      <c r="Y189" s="16" t="str">
        <f t="shared" si="45"/>
        <v>trees_CLUSTER02.csv</v>
      </c>
      <c r="Z189" s="16" t="str">
        <f t="shared" si="46"/>
        <v>saplings_CLUSTER02.csv</v>
      </c>
      <c r="AA189" s="16">
        <f t="shared" si="47"/>
        <v>350</v>
      </c>
      <c r="AB189" s="16" t="str">
        <f t="shared" si="48"/>
        <v>abe/no_mgmt.csv</v>
      </c>
      <c r="AC189" s="16" t="str">
        <f t="shared" si="49"/>
        <v>gis/WindModifier_cl2.asc</v>
      </c>
      <c r="AD189" s="16">
        <f t="shared" si="50"/>
        <v>6.8499999999999995E-4</v>
      </c>
      <c r="AE189" s="16" t="str">
        <f t="shared" si="53"/>
        <v>MPI-M-MPI-ESM-LR_historical_point38526</v>
      </c>
      <c r="AF189" s="16" t="str">
        <f t="shared" si="51"/>
        <v>wind_Events/cl2_repl3.txt</v>
      </c>
      <c r="AG189" s="16" t="str">
        <f t="shared" si="52"/>
        <v>MPI-M-MPI-ESM-LR_Cluster2_repl3</v>
      </c>
      <c r="AH189" s="16" t="s">
        <v>270</v>
      </c>
      <c r="AI189" s="16" t="s">
        <v>271</v>
      </c>
    </row>
    <row r="190" spans="1:35" ht="13.8">
      <c r="A190" s="7" t="str">
        <f t="shared" si="36"/>
        <v>NCC-NorESM1-M_Cluster2_repl3</v>
      </c>
      <c r="B190" s="8" t="s">
        <v>16</v>
      </c>
      <c r="C190" s="8"/>
      <c r="D190" s="9" t="s">
        <v>17</v>
      </c>
      <c r="E190" s="9" t="str">
        <f t="shared" si="37"/>
        <v>historical</v>
      </c>
      <c r="F190" s="8">
        <v>350</v>
      </c>
      <c r="G190" s="8" t="s">
        <v>60</v>
      </c>
      <c r="H190" s="8">
        <v>3</v>
      </c>
      <c r="I190" s="18">
        <v>6.8499999999999995E-4</v>
      </c>
      <c r="J190" s="8">
        <v>2</v>
      </c>
      <c r="K190" s="8" t="s">
        <v>157</v>
      </c>
      <c r="L190" s="8">
        <v>3</v>
      </c>
      <c r="M190" s="8"/>
      <c r="N190" s="8">
        <v>1</v>
      </c>
      <c r="O190" s="10" t="s">
        <v>21</v>
      </c>
      <c r="P190" s="17" t="s">
        <v>59</v>
      </c>
      <c r="Q190" s="10" t="str">
        <f t="shared" si="38"/>
        <v>NCC-NorESM1-M_Cluster2_repl3.sqlite</v>
      </c>
      <c r="R190" s="11">
        <f t="shared" si="39"/>
        <v>9</v>
      </c>
      <c r="S190" s="11">
        <v>0</v>
      </c>
      <c r="T190" s="16" t="str">
        <f t="shared" si="40"/>
        <v>climate_db_NCC-NorESM1-M_historical_v4.sqlite</v>
      </c>
      <c r="U190" s="16" t="str">
        <f t="shared" si="41"/>
        <v>log/NCC-NorESM1-M_Cluster2_repl3.txt</v>
      </c>
      <c r="V190" s="16" t="str">
        <f t="shared" si="42"/>
        <v>init/env_file_CLUSTER02_REPL3_NCC-NorESM1-M_historical.csv</v>
      </c>
      <c r="W190" s="16" t="str">
        <f t="shared" si="43"/>
        <v>init/env_grid_CLUSTER02_REPL3.asc</v>
      </c>
      <c r="X190" s="16" t="str">
        <f t="shared" si="44"/>
        <v>init/env_grid_CLUSTER02_REPL3.asc</v>
      </c>
      <c r="Y190" s="16" t="str">
        <f t="shared" si="45"/>
        <v>trees_CLUSTER02.csv</v>
      </c>
      <c r="Z190" s="16" t="str">
        <f t="shared" si="46"/>
        <v>saplings_CLUSTER02.csv</v>
      </c>
      <c r="AA190" s="16">
        <f t="shared" si="47"/>
        <v>350</v>
      </c>
      <c r="AB190" s="16" t="str">
        <f t="shared" si="48"/>
        <v>abe/no_mgmt.csv</v>
      </c>
      <c r="AC190" s="16" t="str">
        <f t="shared" si="49"/>
        <v>gis/WindModifier_cl2.asc</v>
      </c>
      <c r="AD190" s="16">
        <f t="shared" si="50"/>
        <v>6.8499999999999995E-4</v>
      </c>
      <c r="AE190" s="16" t="str">
        <f t="shared" si="53"/>
        <v>NCC-NorESM1-M_historical_point38526</v>
      </c>
      <c r="AF190" s="16" t="str">
        <f t="shared" si="51"/>
        <v>wind_Events/cl2_repl3.txt</v>
      </c>
      <c r="AG190" s="16" t="str">
        <f t="shared" si="52"/>
        <v>NCC-NorESM1-M_Cluster2_repl3</v>
      </c>
      <c r="AH190" s="16" t="s">
        <v>272</v>
      </c>
      <c r="AI190" s="16" t="s">
        <v>273</v>
      </c>
    </row>
    <row r="191" spans="1:35" ht="13.8">
      <c r="A191" s="7" t="str">
        <f t="shared" si="36"/>
        <v>ICHEC-EC-EARTH_Cluster2_repl4</v>
      </c>
      <c r="B191" s="8" t="s">
        <v>16</v>
      </c>
      <c r="C191" s="8"/>
      <c r="D191" s="9" t="s">
        <v>17</v>
      </c>
      <c r="E191" s="9" t="str">
        <f t="shared" si="37"/>
        <v>historical</v>
      </c>
      <c r="F191" s="8">
        <v>350</v>
      </c>
      <c r="G191" s="8" t="s">
        <v>18</v>
      </c>
      <c r="H191" s="8">
        <v>1</v>
      </c>
      <c r="I191" s="18">
        <v>6.8499999999999995E-4</v>
      </c>
      <c r="J191" s="8">
        <v>2</v>
      </c>
      <c r="K191" s="8" t="s">
        <v>157</v>
      </c>
      <c r="L191" s="8">
        <v>4</v>
      </c>
      <c r="M191" s="8"/>
      <c r="N191" s="8">
        <v>1</v>
      </c>
      <c r="O191" s="10" t="s">
        <v>21</v>
      </c>
      <c r="P191" s="17" t="s">
        <v>59</v>
      </c>
      <c r="Q191" s="10" t="str">
        <f t="shared" si="38"/>
        <v>ICHEC-EC-EARTH_Cluster2_repl4.sqlite</v>
      </c>
      <c r="R191" s="11">
        <f t="shared" si="39"/>
        <v>10</v>
      </c>
      <c r="S191" s="11">
        <v>0</v>
      </c>
      <c r="T191" s="16" t="str">
        <f t="shared" si="40"/>
        <v>climate_db_ICHEC-EC-EARTH_historical_v4.sqlite</v>
      </c>
      <c r="U191" s="16" t="str">
        <f t="shared" si="41"/>
        <v>log/ICHEC-EC-EARTH_Cluster2_repl4.txt</v>
      </c>
      <c r="V191" s="16" t="str">
        <f t="shared" si="42"/>
        <v>init/env_file_CLUSTER02_REPL4_ICHEC-EC-EARTH_historical.csv</v>
      </c>
      <c r="W191" s="16" t="str">
        <f t="shared" si="43"/>
        <v>init/env_grid_CLUSTER02_REPL4.asc</v>
      </c>
      <c r="X191" s="16" t="str">
        <f t="shared" si="44"/>
        <v>init/env_grid_CLUSTER02_REPL4.asc</v>
      </c>
      <c r="Y191" s="16" t="str">
        <f t="shared" si="45"/>
        <v>trees_CLUSTER02.csv</v>
      </c>
      <c r="Z191" s="16" t="str">
        <f t="shared" si="46"/>
        <v>saplings_CLUSTER02.csv</v>
      </c>
      <c r="AA191" s="16">
        <f t="shared" si="47"/>
        <v>350</v>
      </c>
      <c r="AB191" s="16" t="str">
        <f t="shared" si="48"/>
        <v>abe/no_mgmt.csv</v>
      </c>
      <c r="AC191" s="16" t="str">
        <f t="shared" si="49"/>
        <v>gis/WindModifier_cl2.asc</v>
      </c>
      <c r="AD191" s="16">
        <f t="shared" si="50"/>
        <v>6.8499999999999995E-4</v>
      </c>
      <c r="AE191" s="16" t="str">
        <f t="shared" si="53"/>
        <v>ICHEC-EC-EARTH_historical_point38526</v>
      </c>
      <c r="AF191" s="16" t="str">
        <f t="shared" si="51"/>
        <v>wind_Events/cl2_repl4.txt</v>
      </c>
      <c r="AG191" s="16" t="str">
        <f t="shared" si="52"/>
        <v>ICHEC-EC-EARTH_Cluster2_repl4</v>
      </c>
      <c r="AH191" s="16" t="s">
        <v>274</v>
      </c>
      <c r="AI191" s="16" t="s">
        <v>275</v>
      </c>
    </row>
    <row r="192" spans="1:35" ht="13.8">
      <c r="A192" s="7" t="str">
        <f t="shared" si="36"/>
        <v>MPI-M-MPI-ESM-LR_Cluster2_repl4</v>
      </c>
      <c r="B192" s="8" t="s">
        <v>16</v>
      </c>
      <c r="C192" s="8"/>
      <c r="D192" s="9" t="s">
        <v>17</v>
      </c>
      <c r="E192" s="9" t="str">
        <f t="shared" si="37"/>
        <v>historical</v>
      </c>
      <c r="F192" s="8">
        <v>350</v>
      </c>
      <c r="G192" s="8" t="s">
        <v>63</v>
      </c>
      <c r="H192" s="8">
        <v>2</v>
      </c>
      <c r="I192" s="18">
        <v>6.8499999999999995E-4</v>
      </c>
      <c r="J192" s="8">
        <v>2</v>
      </c>
      <c r="K192" s="8" t="s">
        <v>157</v>
      </c>
      <c r="L192" s="8">
        <v>4</v>
      </c>
      <c r="M192" s="8"/>
      <c r="N192" s="8">
        <v>1</v>
      </c>
      <c r="O192" s="10" t="s">
        <v>21</v>
      </c>
      <c r="P192" s="17" t="s">
        <v>59</v>
      </c>
      <c r="Q192" s="10" t="str">
        <f t="shared" si="38"/>
        <v>MPI-M-MPI-ESM-LR_Cluster2_repl4.sqlite</v>
      </c>
      <c r="R192" s="11">
        <f t="shared" si="39"/>
        <v>11</v>
      </c>
      <c r="S192" s="11">
        <v>0</v>
      </c>
      <c r="T192" s="16" t="str">
        <f t="shared" si="40"/>
        <v>climate_db_MPI-M-MPI-ESM-LR_historical_v4.sqlite</v>
      </c>
      <c r="U192" s="16" t="str">
        <f t="shared" si="41"/>
        <v>log/MPI-M-MPI-ESM-LR_Cluster2_repl4.txt</v>
      </c>
      <c r="V192" s="16" t="str">
        <f t="shared" si="42"/>
        <v>init/env_file_CLUSTER02_REPL4_MPI-M-MPI-ESM-LR_historical.csv</v>
      </c>
      <c r="W192" s="16" t="str">
        <f t="shared" si="43"/>
        <v>init/env_grid_CLUSTER02_REPL4.asc</v>
      </c>
      <c r="X192" s="16" t="str">
        <f t="shared" si="44"/>
        <v>init/env_grid_CLUSTER02_REPL4.asc</v>
      </c>
      <c r="Y192" s="16" t="str">
        <f t="shared" si="45"/>
        <v>trees_CLUSTER02.csv</v>
      </c>
      <c r="Z192" s="16" t="str">
        <f t="shared" si="46"/>
        <v>saplings_CLUSTER02.csv</v>
      </c>
      <c r="AA192" s="16">
        <f t="shared" si="47"/>
        <v>350</v>
      </c>
      <c r="AB192" s="16" t="str">
        <f t="shared" si="48"/>
        <v>abe/no_mgmt.csv</v>
      </c>
      <c r="AC192" s="16" t="str">
        <f t="shared" si="49"/>
        <v>gis/WindModifier_cl2.asc</v>
      </c>
      <c r="AD192" s="16">
        <f t="shared" si="50"/>
        <v>6.8499999999999995E-4</v>
      </c>
      <c r="AE192" s="16" t="str">
        <f t="shared" si="53"/>
        <v>MPI-M-MPI-ESM-LR_historical_point38526</v>
      </c>
      <c r="AF192" s="16" t="str">
        <f t="shared" si="51"/>
        <v>wind_Events/cl2_repl4.txt</v>
      </c>
      <c r="AG192" s="16" t="str">
        <f t="shared" si="52"/>
        <v>MPI-M-MPI-ESM-LR_Cluster2_repl4</v>
      </c>
      <c r="AH192" s="16" t="s">
        <v>276</v>
      </c>
      <c r="AI192" s="16" t="s">
        <v>277</v>
      </c>
    </row>
    <row r="193" spans="1:35" ht="13.8">
      <c r="A193" s="7" t="str">
        <f t="shared" si="36"/>
        <v>NCC-NorESM1-M_Cluster2_repl4</v>
      </c>
      <c r="B193" s="8" t="s">
        <v>16</v>
      </c>
      <c r="C193" s="8"/>
      <c r="D193" s="9" t="s">
        <v>17</v>
      </c>
      <c r="E193" s="9" t="str">
        <f t="shared" si="37"/>
        <v>historical</v>
      </c>
      <c r="F193" s="8">
        <v>350</v>
      </c>
      <c r="G193" s="8" t="s">
        <v>60</v>
      </c>
      <c r="H193" s="8">
        <v>3</v>
      </c>
      <c r="I193" s="18">
        <v>6.8499999999999995E-4</v>
      </c>
      <c r="J193" s="8">
        <v>2</v>
      </c>
      <c r="K193" s="8" t="s">
        <v>157</v>
      </c>
      <c r="L193" s="8">
        <v>4</v>
      </c>
      <c r="M193" s="8"/>
      <c r="N193" s="8">
        <v>1</v>
      </c>
      <c r="O193" s="10" t="s">
        <v>21</v>
      </c>
      <c r="P193" s="17" t="s">
        <v>59</v>
      </c>
      <c r="Q193" s="10" t="str">
        <f t="shared" si="38"/>
        <v>NCC-NorESM1-M_Cluster2_repl4.sqlite</v>
      </c>
      <c r="R193" s="11">
        <f t="shared" si="39"/>
        <v>12</v>
      </c>
      <c r="S193" s="11">
        <v>0</v>
      </c>
      <c r="T193" s="16" t="str">
        <f t="shared" si="40"/>
        <v>climate_db_NCC-NorESM1-M_historical_v4.sqlite</v>
      </c>
      <c r="U193" s="16" t="str">
        <f t="shared" si="41"/>
        <v>log/NCC-NorESM1-M_Cluster2_repl4.txt</v>
      </c>
      <c r="V193" s="16" t="str">
        <f t="shared" si="42"/>
        <v>init/env_file_CLUSTER02_REPL4_NCC-NorESM1-M_historical.csv</v>
      </c>
      <c r="W193" s="16" t="str">
        <f t="shared" si="43"/>
        <v>init/env_grid_CLUSTER02_REPL4.asc</v>
      </c>
      <c r="X193" s="16" t="str">
        <f t="shared" si="44"/>
        <v>init/env_grid_CLUSTER02_REPL4.asc</v>
      </c>
      <c r="Y193" s="16" t="str">
        <f t="shared" si="45"/>
        <v>trees_CLUSTER02.csv</v>
      </c>
      <c r="Z193" s="16" t="str">
        <f t="shared" si="46"/>
        <v>saplings_CLUSTER02.csv</v>
      </c>
      <c r="AA193" s="16">
        <f t="shared" si="47"/>
        <v>350</v>
      </c>
      <c r="AB193" s="16" t="str">
        <f t="shared" si="48"/>
        <v>abe/no_mgmt.csv</v>
      </c>
      <c r="AC193" s="16" t="str">
        <f t="shared" si="49"/>
        <v>gis/WindModifier_cl2.asc</v>
      </c>
      <c r="AD193" s="16">
        <f t="shared" si="50"/>
        <v>6.8499999999999995E-4</v>
      </c>
      <c r="AE193" s="16" t="str">
        <f t="shared" si="53"/>
        <v>NCC-NorESM1-M_historical_point38526</v>
      </c>
      <c r="AF193" s="16" t="str">
        <f t="shared" si="51"/>
        <v>wind_Events/cl2_repl4.txt</v>
      </c>
      <c r="AG193" s="16" t="str">
        <f t="shared" si="52"/>
        <v>NCC-NorESM1-M_Cluster2_repl4</v>
      </c>
      <c r="AH193" s="16" t="s">
        <v>278</v>
      </c>
      <c r="AI193" s="16" t="s">
        <v>279</v>
      </c>
    </row>
    <row r="194" spans="1:35" ht="13.8">
      <c r="A194" s="7" t="str">
        <f t="shared" ref="A194:A257" si="54" xml:space="preserve"> G194 &amp; "_" &amp; C194 &amp;"Cluster" &amp; J194 &amp; "_repl" &amp; L194</f>
        <v>ICHEC-EC-EARTH_Cluster2_repl5</v>
      </c>
      <c r="B194" s="8" t="s">
        <v>16</v>
      </c>
      <c r="C194" s="8"/>
      <c r="D194" s="9" t="s">
        <v>17</v>
      </c>
      <c r="E194" s="9" t="str">
        <f t="shared" ref="E194:E257" si="55">IF(D194="historical", "historical", IF(D194="RCP26", "rcp_2_6", IF(D194="RCP45", "rcp_4_5", "rcp_8_5")))</f>
        <v>historical</v>
      </c>
      <c r="F194" s="8">
        <v>350</v>
      </c>
      <c r="G194" s="8" t="s">
        <v>18</v>
      </c>
      <c r="H194" s="8">
        <v>1</v>
      </c>
      <c r="I194" s="18">
        <v>6.8499999999999995E-4</v>
      </c>
      <c r="J194" s="8">
        <v>2</v>
      </c>
      <c r="K194" s="8" t="s">
        <v>157</v>
      </c>
      <c r="L194" s="8">
        <v>5</v>
      </c>
      <c r="M194" s="8"/>
      <c r="N194" s="8">
        <v>1</v>
      </c>
      <c r="O194" s="10" t="s">
        <v>21</v>
      </c>
      <c r="P194" s="17" t="s">
        <v>59</v>
      </c>
      <c r="Q194" s="10" t="str">
        <f t="shared" ref="Q194:Q257" si="56">A194  &amp; ".sqlite"</f>
        <v>ICHEC-EC-EARTH_Cluster2_repl5.sqlite</v>
      </c>
      <c r="R194" s="11">
        <f t="shared" ref="R194:R257" si="57">(L194-1)*3+H194</f>
        <v>13</v>
      </c>
      <c r="S194" s="11">
        <v>0</v>
      </c>
      <c r="T194" s="16" t="str">
        <f t="shared" ref="T194:T257" si="58">"climate_db_" &amp; G194&amp; "_" &amp;  E194&amp; "_v4.sqlite"</f>
        <v>climate_db_ICHEC-EC-EARTH_historical_v4.sqlite</v>
      </c>
      <c r="U194" s="16" t="str">
        <f t="shared" ref="U194:U257" si="59">"log/" &amp;A194  &amp; ".txt"</f>
        <v>log/ICHEC-EC-EARTH_Cluster2_repl5.txt</v>
      </c>
      <c r="V194" s="16" t="str">
        <f t="shared" ref="V194:V257" si="60">"init/env_file_CLUSTER" &amp; TEXT(J194, "00") &amp; "_REPL" &amp; L194 &amp; "_" &amp; G194 &amp; "_" &amp; E194 &amp; ".csv"</f>
        <v>init/env_file_CLUSTER02_REPL5_ICHEC-EC-EARTH_historical.csv</v>
      </c>
      <c r="W194" s="16" t="str">
        <f t="shared" ref="W194:W257" si="61">"init/env_grid_CLUSTER" &amp; TEXT(J194, "00") &amp; "_REPL" &amp; L194 &amp; ".asc"</f>
        <v>init/env_grid_CLUSTER02_REPL5.asc</v>
      </c>
      <c r="X194" s="16" t="str">
        <f t="shared" ref="X194:X257" si="62">W194</f>
        <v>init/env_grid_CLUSTER02_REPL5.asc</v>
      </c>
      <c r="Y194" s="16" t="str">
        <f t="shared" ref="Y194:Y257" si="63">"trees_CLUSTER" &amp; TEXT(J194, "00")  &amp; ".csv"</f>
        <v>trees_CLUSTER02.csv</v>
      </c>
      <c r="Z194" s="16" t="str">
        <f t="shared" ref="Z194:Z257" si="64">"saplings_CLUSTER" &amp; TEXT(J194, "00")  &amp; ".csv"</f>
        <v>saplings_CLUSTER02.csv</v>
      </c>
      <c r="AA194" s="16">
        <f t="shared" ref="AA194:AA257" si="65">F194</f>
        <v>350</v>
      </c>
      <c r="AB194" s="16" t="str">
        <f t="shared" ref="AB194:AB257" si="66">"abe/no_mgmt.csv"</f>
        <v>abe/no_mgmt.csv</v>
      </c>
      <c r="AC194" s="16" t="str">
        <f t="shared" ref="AC194:AC257" si="67">"gis/WindModifier_cl" &amp; J194 &amp; ".asc"</f>
        <v>gis/WindModifier_cl2.asc</v>
      </c>
      <c r="AD194" s="16">
        <f t="shared" ref="AD194:AD257" si="68">IF(C194="Scaled_", I194+0.0000000001,  0.000685)</f>
        <v>6.8499999999999995E-4</v>
      </c>
      <c r="AE194" s="16" t="str">
        <f t="shared" si="53"/>
        <v>ICHEC-EC-EARTH_historical_point38526</v>
      </c>
      <c r="AF194" s="16" t="str">
        <f t="shared" ref="AF194:AF257" si="69">"wind_Events/" &amp; C194 &amp; "cl" &amp; J194 &amp; "_repl" &amp; L194 &amp; ".txt"</f>
        <v>wind_Events/cl2_repl5.txt</v>
      </c>
      <c r="AG194" s="16" t="str">
        <f t="shared" ref="AG194:AG257" si="70">A194</f>
        <v>ICHEC-EC-EARTH_Cluster2_repl5</v>
      </c>
      <c r="AH194" s="16" t="s">
        <v>280</v>
      </c>
      <c r="AI194" s="16" t="s">
        <v>281</v>
      </c>
    </row>
    <row r="195" spans="1:35" ht="13.8">
      <c r="A195" s="7" t="str">
        <f t="shared" si="54"/>
        <v>MPI-M-MPI-ESM-LR_Cluster2_repl5</v>
      </c>
      <c r="B195" s="8" t="s">
        <v>16</v>
      </c>
      <c r="C195" s="8"/>
      <c r="D195" s="9" t="s">
        <v>17</v>
      </c>
      <c r="E195" s="9" t="str">
        <f t="shared" si="55"/>
        <v>historical</v>
      </c>
      <c r="F195" s="8">
        <v>350</v>
      </c>
      <c r="G195" s="8" t="s">
        <v>63</v>
      </c>
      <c r="H195" s="8">
        <v>2</v>
      </c>
      <c r="I195" s="18">
        <v>6.8499999999999995E-4</v>
      </c>
      <c r="J195" s="8">
        <v>2</v>
      </c>
      <c r="K195" s="8" t="s">
        <v>157</v>
      </c>
      <c r="L195" s="8">
        <v>5</v>
      </c>
      <c r="M195" s="8"/>
      <c r="N195" s="8">
        <v>1</v>
      </c>
      <c r="O195" s="10" t="s">
        <v>21</v>
      </c>
      <c r="P195" s="17" t="s">
        <v>59</v>
      </c>
      <c r="Q195" s="10" t="str">
        <f t="shared" si="56"/>
        <v>MPI-M-MPI-ESM-LR_Cluster2_repl5.sqlite</v>
      </c>
      <c r="R195" s="11">
        <f t="shared" si="57"/>
        <v>14</v>
      </c>
      <c r="S195" s="11">
        <v>0</v>
      </c>
      <c r="T195" s="16" t="str">
        <f t="shared" si="58"/>
        <v>climate_db_MPI-M-MPI-ESM-LR_historical_v4.sqlite</v>
      </c>
      <c r="U195" s="16" t="str">
        <f t="shared" si="59"/>
        <v>log/MPI-M-MPI-ESM-LR_Cluster2_repl5.txt</v>
      </c>
      <c r="V195" s="16" t="str">
        <f t="shared" si="60"/>
        <v>init/env_file_CLUSTER02_REPL5_MPI-M-MPI-ESM-LR_historical.csv</v>
      </c>
      <c r="W195" s="16" t="str">
        <f t="shared" si="61"/>
        <v>init/env_grid_CLUSTER02_REPL5.asc</v>
      </c>
      <c r="X195" s="16" t="str">
        <f t="shared" si="62"/>
        <v>init/env_grid_CLUSTER02_REPL5.asc</v>
      </c>
      <c r="Y195" s="16" t="str">
        <f t="shared" si="63"/>
        <v>trees_CLUSTER02.csv</v>
      </c>
      <c r="Z195" s="16" t="str">
        <f t="shared" si="64"/>
        <v>saplings_CLUSTER02.csv</v>
      </c>
      <c r="AA195" s="16">
        <f t="shared" si="65"/>
        <v>350</v>
      </c>
      <c r="AB195" s="16" t="str">
        <f t="shared" si="66"/>
        <v>abe/no_mgmt.csv</v>
      </c>
      <c r="AC195" s="16" t="str">
        <f t="shared" si="67"/>
        <v>gis/WindModifier_cl2.asc</v>
      </c>
      <c r="AD195" s="16">
        <f t="shared" si="68"/>
        <v>6.8499999999999995E-4</v>
      </c>
      <c r="AE195" s="16" t="str">
        <f t="shared" ref="AE195:AE258" si="71">G195 &amp; "_" &amp; E195 &amp; "_point" &amp; K195</f>
        <v>MPI-M-MPI-ESM-LR_historical_point38526</v>
      </c>
      <c r="AF195" s="16" t="str">
        <f t="shared" si="69"/>
        <v>wind_Events/cl2_repl5.txt</v>
      </c>
      <c r="AG195" s="16" t="str">
        <f t="shared" si="70"/>
        <v>MPI-M-MPI-ESM-LR_Cluster2_repl5</v>
      </c>
      <c r="AH195" s="16" t="s">
        <v>282</v>
      </c>
      <c r="AI195" s="16" t="s">
        <v>283</v>
      </c>
    </row>
    <row r="196" spans="1:35" ht="13.8">
      <c r="A196" s="7" t="str">
        <f t="shared" si="54"/>
        <v>NCC-NorESM1-M_Cluster2_repl5</v>
      </c>
      <c r="B196" s="8" t="s">
        <v>16</v>
      </c>
      <c r="C196" s="8"/>
      <c r="D196" s="9" t="s">
        <v>17</v>
      </c>
      <c r="E196" s="9" t="str">
        <f t="shared" si="55"/>
        <v>historical</v>
      </c>
      <c r="F196" s="8">
        <v>350</v>
      </c>
      <c r="G196" s="8" t="s">
        <v>60</v>
      </c>
      <c r="H196" s="8">
        <v>3</v>
      </c>
      <c r="I196" s="18">
        <v>6.8499999999999995E-4</v>
      </c>
      <c r="J196" s="8">
        <v>2</v>
      </c>
      <c r="K196" s="8" t="s">
        <v>157</v>
      </c>
      <c r="L196" s="8">
        <v>5</v>
      </c>
      <c r="M196" s="8"/>
      <c r="N196" s="8">
        <v>1</v>
      </c>
      <c r="O196" s="10" t="s">
        <v>21</v>
      </c>
      <c r="P196" s="17" t="s">
        <v>59</v>
      </c>
      <c r="Q196" s="10" t="str">
        <f t="shared" si="56"/>
        <v>NCC-NorESM1-M_Cluster2_repl5.sqlite</v>
      </c>
      <c r="R196" s="11">
        <f t="shared" si="57"/>
        <v>15</v>
      </c>
      <c r="S196" s="11">
        <v>0</v>
      </c>
      <c r="T196" s="16" t="str">
        <f t="shared" si="58"/>
        <v>climate_db_NCC-NorESM1-M_historical_v4.sqlite</v>
      </c>
      <c r="U196" s="16" t="str">
        <f t="shared" si="59"/>
        <v>log/NCC-NorESM1-M_Cluster2_repl5.txt</v>
      </c>
      <c r="V196" s="16" t="str">
        <f t="shared" si="60"/>
        <v>init/env_file_CLUSTER02_REPL5_NCC-NorESM1-M_historical.csv</v>
      </c>
      <c r="W196" s="16" t="str">
        <f t="shared" si="61"/>
        <v>init/env_grid_CLUSTER02_REPL5.asc</v>
      </c>
      <c r="X196" s="16" t="str">
        <f t="shared" si="62"/>
        <v>init/env_grid_CLUSTER02_REPL5.asc</v>
      </c>
      <c r="Y196" s="16" t="str">
        <f t="shared" si="63"/>
        <v>trees_CLUSTER02.csv</v>
      </c>
      <c r="Z196" s="16" t="str">
        <f t="shared" si="64"/>
        <v>saplings_CLUSTER02.csv</v>
      </c>
      <c r="AA196" s="16">
        <f t="shared" si="65"/>
        <v>350</v>
      </c>
      <c r="AB196" s="16" t="str">
        <f t="shared" si="66"/>
        <v>abe/no_mgmt.csv</v>
      </c>
      <c r="AC196" s="16" t="str">
        <f t="shared" si="67"/>
        <v>gis/WindModifier_cl2.asc</v>
      </c>
      <c r="AD196" s="16">
        <f t="shared" si="68"/>
        <v>6.8499999999999995E-4</v>
      </c>
      <c r="AE196" s="16" t="str">
        <f t="shared" si="71"/>
        <v>NCC-NorESM1-M_historical_point38526</v>
      </c>
      <c r="AF196" s="16" t="str">
        <f t="shared" si="69"/>
        <v>wind_Events/cl2_repl5.txt</v>
      </c>
      <c r="AG196" s="16" t="str">
        <f t="shared" si="70"/>
        <v>NCC-NorESM1-M_Cluster2_repl5</v>
      </c>
      <c r="AH196" s="16" t="s">
        <v>284</v>
      </c>
      <c r="AI196" s="16" t="s">
        <v>285</v>
      </c>
    </row>
    <row r="197" spans="1:35" ht="13.8">
      <c r="A197" s="7" t="str">
        <f t="shared" si="54"/>
        <v>ICHEC-EC-EARTH_Cluster3_repl1</v>
      </c>
      <c r="B197" s="8" t="s">
        <v>16</v>
      </c>
      <c r="C197" s="8"/>
      <c r="D197" s="9" t="s">
        <v>17</v>
      </c>
      <c r="E197" s="9" t="str">
        <f t="shared" si="55"/>
        <v>historical</v>
      </c>
      <c r="F197" s="8">
        <v>350</v>
      </c>
      <c r="G197" s="8" t="s">
        <v>18</v>
      </c>
      <c r="H197" s="8">
        <v>1</v>
      </c>
      <c r="I197" s="18">
        <v>6.8499999999999995E-4</v>
      </c>
      <c r="J197" s="8">
        <v>3</v>
      </c>
      <c r="K197" s="8" t="s">
        <v>158</v>
      </c>
      <c r="L197" s="8">
        <v>1</v>
      </c>
      <c r="M197" s="8"/>
      <c r="N197" s="8">
        <v>1</v>
      </c>
      <c r="O197" s="10" t="s">
        <v>21</v>
      </c>
      <c r="P197" s="17" t="s">
        <v>59</v>
      </c>
      <c r="Q197" s="10" t="str">
        <f t="shared" si="56"/>
        <v>ICHEC-EC-EARTH_Cluster3_repl1.sqlite</v>
      </c>
      <c r="R197" s="11">
        <f t="shared" si="57"/>
        <v>1</v>
      </c>
      <c r="S197" s="11">
        <v>0</v>
      </c>
      <c r="T197" s="16" t="str">
        <f t="shared" si="58"/>
        <v>climate_db_ICHEC-EC-EARTH_historical_v4.sqlite</v>
      </c>
      <c r="U197" s="16" t="str">
        <f t="shared" si="59"/>
        <v>log/ICHEC-EC-EARTH_Cluster3_repl1.txt</v>
      </c>
      <c r="V197" s="16" t="str">
        <f t="shared" si="60"/>
        <v>init/env_file_CLUSTER03_REPL1_ICHEC-EC-EARTH_historical.csv</v>
      </c>
      <c r="W197" s="16" t="str">
        <f t="shared" si="61"/>
        <v>init/env_grid_CLUSTER03_REPL1.asc</v>
      </c>
      <c r="X197" s="16" t="str">
        <f t="shared" si="62"/>
        <v>init/env_grid_CLUSTER03_REPL1.asc</v>
      </c>
      <c r="Y197" s="16" t="str">
        <f t="shared" si="63"/>
        <v>trees_CLUSTER03.csv</v>
      </c>
      <c r="Z197" s="16" t="str">
        <f t="shared" si="64"/>
        <v>saplings_CLUSTER03.csv</v>
      </c>
      <c r="AA197" s="16">
        <f t="shared" si="65"/>
        <v>350</v>
      </c>
      <c r="AB197" s="16" t="str">
        <f t="shared" si="66"/>
        <v>abe/no_mgmt.csv</v>
      </c>
      <c r="AC197" s="16" t="str">
        <f t="shared" si="67"/>
        <v>gis/WindModifier_cl3.asc</v>
      </c>
      <c r="AD197" s="16">
        <f t="shared" si="68"/>
        <v>6.8499999999999995E-4</v>
      </c>
      <c r="AE197" s="16" t="str">
        <f t="shared" si="71"/>
        <v>ICHEC-EC-EARTH_historical_point31016</v>
      </c>
      <c r="AF197" s="16" t="str">
        <f t="shared" si="69"/>
        <v>wind_Events/cl3_repl1.txt</v>
      </c>
      <c r="AG197" s="16" t="str">
        <f t="shared" si="70"/>
        <v>ICHEC-EC-EARTH_Cluster3_repl1</v>
      </c>
      <c r="AH197" s="16" t="s">
        <v>286</v>
      </c>
      <c r="AI197" s="16" t="s">
        <v>287</v>
      </c>
    </row>
    <row r="198" spans="1:35" ht="13.8">
      <c r="A198" s="7" t="str">
        <f t="shared" si="54"/>
        <v>MPI-M-MPI-ESM-LR_Cluster3_repl1</v>
      </c>
      <c r="B198" s="8" t="s">
        <v>16</v>
      </c>
      <c r="C198" s="8"/>
      <c r="D198" s="9" t="s">
        <v>17</v>
      </c>
      <c r="E198" s="9" t="str">
        <f t="shared" si="55"/>
        <v>historical</v>
      </c>
      <c r="F198" s="8">
        <v>350</v>
      </c>
      <c r="G198" s="8" t="s">
        <v>63</v>
      </c>
      <c r="H198" s="8">
        <v>2</v>
      </c>
      <c r="I198" s="18">
        <v>6.8499999999999995E-4</v>
      </c>
      <c r="J198" s="8">
        <v>3</v>
      </c>
      <c r="K198" s="8" t="s">
        <v>158</v>
      </c>
      <c r="L198" s="8">
        <v>1</v>
      </c>
      <c r="M198" s="8"/>
      <c r="N198" s="8">
        <v>1</v>
      </c>
      <c r="O198" s="10" t="s">
        <v>21</v>
      </c>
      <c r="P198" s="17" t="s">
        <v>59</v>
      </c>
      <c r="Q198" s="10" t="str">
        <f t="shared" si="56"/>
        <v>MPI-M-MPI-ESM-LR_Cluster3_repl1.sqlite</v>
      </c>
      <c r="R198" s="11">
        <f t="shared" si="57"/>
        <v>2</v>
      </c>
      <c r="S198" s="11">
        <v>0</v>
      </c>
      <c r="T198" s="16" t="str">
        <f t="shared" si="58"/>
        <v>climate_db_MPI-M-MPI-ESM-LR_historical_v4.sqlite</v>
      </c>
      <c r="U198" s="16" t="str">
        <f t="shared" si="59"/>
        <v>log/MPI-M-MPI-ESM-LR_Cluster3_repl1.txt</v>
      </c>
      <c r="V198" s="16" t="str">
        <f t="shared" si="60"/>
        <v>init/env_file_CLUSTER03_REPL1_MPI-M-MPI-ESM-LR_historical.csv</v>
      </c>
      <c r="W198" s="16" t="str">
        <f t="shared" si="61"/>
        <v>init/env_grid_CLUSTER03_REPL1.asc</v>
      </c>
      <c r="X198" s="16" t="str">
        <f t="shared" si="62"/>
        <v>init/env_grid_CLUSTER03_REPL1.asc</v>
      </c>
      <c r="Y198" s="16" t="str">
        <f t="shared" si="63"/>
        <v>trees_CLUSTER03.csv</v>
      </c>
      <c r="Z198" s="16" t="str">
        <f t="shared" si="64"/>
        <v>saplings_CLUSTER03.csv</v>
      </c>
      <c r="AA198" s="16">
        <f t="shared" si="65"/>
        <v>350</v>
      </c>
      <c r="AB198" s="16" t="str">
        <f t="shared" si="66"/>
        <v>abe/no_mgmt.csv</v>
      </c>
      <c r="AC198" s="16" t="str">
        <f t="shared" si="67"/>
        <v>gis/WindModifier_cl3.asc</v>
      </c>
      <c r="AD198" s="16">
        <f t="shared" si="68"/>
        <v>6.8499999999999995E-4</v>
      </c>
      <c r="AE198" s="16" t="str">
        <f t="shared" si="71"/>
        <v>MPI-M-MPI-ESM-LR_historical_point31016</v>
      </c>
      <c r="AF198" s="16" t="str">
        <f t="shared" si="69"/>
        <v>wind_Events/cl3_repl1.txt</v>
      </c>
      <c r="AG198" s="16" t="str">
        <f t="shared" si="70"/>
        <v>MPI-M-MPI-ESM-LR_Cluster3_repl1</v>
      </c>
      <c r="AH198" s="16" t="s">
        <v>288</v>
      </c>
      <c r="AI198" s="16" t="s">
        <v>289</v>
      </c>
    </row>
    <row r="199" spans="1:35" ht="13.8">
      <c r="A199" s="7" t="str">
        <f t="shared" si="54"/>
        <v>NCC-NorESM1-M_Cluster3_repl1</v>
      </c>
      <c r="B199" s="8" t="s">
        <v>16</v>
      </c>
      <c r="C199" s="8"/>
      <c r="D199" s="9" t="s">
        <v>17</v>
      </c>
      <c r="E199" s="9" t="str">
        <f t="shared" si="55"/>
        <v>historical</v>
      </c>
      <c r="F199" s="8">
        <v>350</v>
      </c>
      <c r="G199" s="8" t="s">
        <v>60</v>
      </c>
      <c r="H199" s="8">
        <v>3</v>
      </c>
      <c r="I199" s="18">
        <v>6.8499999999999995E-4</v>
      </c>
      <c r="J199" s="8">
        <v>3</v>
      </c>
      <c r="K199" s="8" t="s">
        <v>174</v>
      </c>
      <c r="L199" s="8">
        <v>1</v>
      </c>
      <c r="M199" s="8"/>
      <c r="N199" s="8">
        <v>1</v>
      </c>
      <c r="O199" s="10" t="s">
        <v>21</v>
      </c>
      <c r="P199" s="17" t="s">
        <v>59</v>
      </c>
      <c r="Q199" s="10" t="str">
        <f t="shared" si="56"/>
        <v>NCC-NorESM1-M_Cluster3_repl1.sqlite</v>
      </c>
      <c r="R199" s="11">
        <f t="shared" si="57"/>
        <v>3</v>
      </c>
      <c r="S199" s="11">
        <v>0</v>
      </c>
      <c r="T199" s="16" t="str">
        <f t="shared" si="58"/>
        <v>climate_db_NCC-NorESM1-M_historical_v4.sqlite</v>
      </c>
      <c r="U199" s="16" t="str">
        <f t="shared" si="59"/>
        <v>log/NCC-NorESM1-M_Cluster3_repl1.txt</v>
      </c>
      <c r="V199" s="16" t="str">
        <f t="shared" si="60"/>
        <v>init/env_file_CLUSTER03_REPL1_NCC-NorESM1-M_historical.csv</v>
      </c>
      <c r="W199" s="16" t="str">
        <f t="shared" si="61"/>
        <v>init/env_grid_CLUSTER03_REPL1.asc</v>
      </c>
      <c r="X199" s="16" t="str">
        <f t="shared" si="62"/>
        <v>init/env_grid_CLUSTER03_REPL1.asc</v>
      </c>
      <c r="Y199" s="16" t="str">
        <f t="shared" si="63"/>
        <v>trees_CLUSTER03.csv</v>
      </c>
      <c r="Z199" s="16" t="str">
        <f t="shared" si="64"/>
        <v>saplings_CLUSTER03.csv</v>
      </c>
      <c r="AA199" s="16">
        <f t="shared" si="65"/>
        <v>350</v>
      </c>
      <c r="AB199" s="16" t="str">
        <f t="shared" si="66"/>
        <v>abe/no_mgmt.csv</v>
      </c>
      <c r="AC199" s="16" t="str">
        <f t="shared" si="67"/>
        <v>gis/WindModifier_cl3.asc</v>
      </c>
      <c r="AD199" s="16">
        <f t="shared" si="68"/>
        <v>6.8499999999999995E-4</v>
      </c>
      <c r="AE199" s="16" t="str">
        <f t="shared" si="71"/>
        <v>NCC-NorESM1-M_historical_point31354</v>
      </c>
      <c r="AF199" s="16" t="str">
        <f t="shared" si="69"/>
        <v>wind_Events/cl3_repl1.txt</v>
      </c>
      <c r="AG199" s="16" t="str">
        <f t="shared" si="70"/>
        <v>NCC-NorESM1-M_Cluster3_repl1</v>
      </c>
      <c r="AH199" s="16" t="s">
        <v>290</v>
      </c>
      <c r="AI199" s="16" t="s">
        <v>291</v>
      </c>
    </row>
    <row r="200" spans="1:35" ht="13.8">
      <c r="A200" s="7" t="str">
        <f t="shared" si="54"/>
        <v>ICHEC-EC-EARTH_Cluster3_repl2</v>
      </c>
      <c r="B200" s="8" t="s">
        <v>16</v>
      </c>
      <c r="C200" s="8"/>
      <c r="D200" s="9" t="s">
        <v>17</v>
      </c>
      <c r="E200" s="9" t="str">
        <f t="shared" si="55"/>
        <v>historical</v>
      </c>
      <c r="F200" s="8">
        <v>350</v>
      </c>
      <c r="G200" s="8" t="s">
        <v>18</v>
      </c>
      <c r="H200" s="8">
        <v>1</v>
      </c>
      <c r="I200" s="18">
        <v>6.8499999999999995E-4</v>
      </c>
      <c r="J200" s="8">
        <v>3</v>
      </c>
      <c r="K200" s="8" t="s">
        <v>158</v>
      </c>
      <c r="L200" s="8">
        <v>2</v>
      </c>
      <c r="M200" s="8"/>
      <c r="N200" s="8">
        <v>1</v>
      </c>
      <c r="O200" s="10" t="s">
        <v>21</v>
      </c>
      <c r="P200" s="17" t="s">
        <v>59</v>
      </c>
      <c r="Q200" s="10" t="str">
        <f t="shared" si="56"/>
        <v>ICHEC-EC-EARTH_Cluster3_repl2.sqlite</v>
      </c>
      <c r="R200" s="11">
        <f t="shared" si="57"/>
        <v>4</v>
      </c>
      <c r="S200" s="11">
        <v>0</v>
      </c>
      <c r="T200" s="16" t="str">
        <f t="shared" si="58"/>
        <v>climate_db_ICHEC-EC-EARTH_historical_v4.sqlite</v>
      </c>
      <c r="U200" s="16" t="str">
        <f t="shared" si="59"/>
        <v>log/ICHEC-EC-EARTH_Cluster3_repl2.txt</v>
      </c>
      <c r="V200" s="16" t="str">
        <f t="shared" si="60"/>
        <v>init/env_file_CLUSTER03_REPL2_ICHEC-EC-EARTH_historical.csv</v>
      </c>
      <c r="W200" s="16" t="str">
        <f t="shared" si="61"/>
        <v>init/env_grid_CLUSTER03_REPL2.asc</v>
      </c>
      <c r="X200" s="16" t="str">
        <f t="shared" si="62"/>
        <v>init/env_grid_CLUSTER03_REPL2.asc</v>
      </c>
      <c r="Y200" s="16" t="str">
        <f t="shared" si="63"/>
        <v>trees_CLUSTER03.csv</v>
      </c>
      <c r="Z200" s="16" t="str">
        <f t="shared" si="64"/>
        <v>saplings_CLUSTER03.csv</v>
      </c>
      <c r="AA200" s="16">
        <f t="shared" si="65"/>
        <v>350</v>
      </c>
      <c r="AB200" s="16" t="str">
        <f t="shared" si="66"/>
        <v>abe/no_mgmt.csv</v>
      </c>
      <c r="AC200" s="16" t="str">
        <f t="shared" si="67"/>
        <v>gis/WindModifier_cl3.asc</v>
      </c>
      <c r="AD200" s="16">
        <f t="shared" si="68"/>
        <v>6.8499999999999995E-4</v>
      </c>
      <c r="AE200" s="16" t="str">
        <f t="shared" si="71"/>
        <v>ICHEC-EC-EARTH_historical_point31016</v>
      </c>
      <c r="AF200" s="16" t="str">
        <f t="shared" si="69"/>
        <v>wind_Events/cl3_repl2.txt</v>
      </c>
      <c r="AG200" s="16" t="str">
        <f t="shared" si="70"/>
        <v>ICHEC-EC-EARTH_Cluster3_repl2</v>
      </c>
      <c r="AH200" s="16" t="s">
        <v>292</v>
      </c>
      <c r="AI200" s="16" t="s">
        <v>293</v>
      </c>
    </row>
    <row r="201" spans="1:35" ht="13.8">
      <c r="A201" s="7" t="str">
        <f t="shared" si="54"/>
        <v>MPI-M-MPI-ESM-LR_Cluster3_repl2</v>
      </c>
      <c r="B201" s="8" t="s">
        <v>16</v>
      </c>
      <c r="C201" s="8"/>
      <c r="D201" s="9" t="s">
        <v>17</v>
      </c>
      <c r="E201" s="9" t="str">
        <f t="shared" si="55"/>
        <v>historical</v>
      </c>
      <c r="F201" s="8">
        <v>350</v>
      </c>
      <c r="G201" s="8" t="s">
        <v>63</v>
      </c>
      <c r="H201" s="8">
        <v>2</v>
      </c>
      <c r="I201" s="18">
        <v>6.8499999999999995E-4</v>
      </c>
      <c r="J201" s="8">
        <v>3</v>
      </c>
      <c r="K201" s="8" t="s">
        <v>158</v>
      </c>
      <c r="L201" s="8">
        <v>2</v>
      </c>
      <c r="M201" s="8"/>
      <c r="N201" s="8">
        <v>1</v>
      </c>
      <c r="O201" s="10" t="s">
        <v>21</v>
      </c>
      <c r="P201" s="17" t="s">
        <v>59</v>
      </c>
      <c r="Q201" s="10" t="str">
        <f t="shared" si="56"/>
        <v>MPI-M-MPI-ESM-LR_Cluster3_repl2.sqlite</v>
      </c>
      <c r="R201" s="11">
        <f t="shared" si="57"/>
        <v>5</v>
      </c>
      <c r="S201" s="11">
        <v>0</v>
      </c>
      <c r="T201" s="16" t="str">
        <f t="shared" si="58"/>
        <v>climate_db_MPI-M-MPI-ESM-LR_historical_v4.sqlite</v>
      </c>
      <c r="U201" s="16" t="str">
        <f t="shared" si="59"/>
        <v>log/MPI-M-MPI-ESM-LR_Cluster3_repl2.txt</v>
      </c>
      <c r="V201" s="16" t="str">
        <f t="shared" si="60"/>
        <v>init/env_file_CLUSTER03_REPL2_MPI-M-MPI-ESM-LR_historical.csv</v>
      </c>
      <c r="W201" s="16" t="str">
        <f t="shared" si="61"/>
        <v>init/env_grid_CLUSTER03_REPL2.asc</v>
      </c>
      <c r="X201" s="16" t="str">
        <f t="shared" si="62"/>
        <v>init/env_grid_CLUSTER03_REPL2.asc</v>
      </c>
      <c r="Y201" s="16" t="str">
        <f t="shared" si="63"/>
        <v>trees_CLUSTER03.csv</v>
      </c>
      <c r="Z201" s="16" t="str">
        <f t="shared" si="64"/>
        <v>saplings_CLUSTER03.csv</v>
      </c>
      <c r="AA201" s="16">
        <f t="shared" si="65"/>
        <v>350</v>
      </c>
      <c r="AB201" s="16" t="str">
        <f t="shared" si="66"/>
        <v>abe/no_mgmt.csv</v>
      </c>
      <c r="AC201" s="16" t="str">
        <f t="shared" si="67"/>
        <v>gis/WindModifier_cl3.asc</v>
      </c>
      <c r="AD201" s="16">
        <f t="shared" si="68"/>
        <v>6.8499999999999995E-4</v>
      </c>
      <c r="AE201" s="16" t="str">
        <f t="shared" si="71"/>
        <v>MPI-M-MPI-ESM-LR_historical_point31016</v>
      </c>
      <c r="AF201" s="16" t="str">
        <f t="shared" si="69"/>
        <v>wind_Events/cl3_repl2.txt</v>
      </c>
      <c r="AG201" s="16" t="str">
        <f t="shared" si="70"/>
        <v>MPI-M-MPI-ESM-LR_Cluster3_repl2</v>
      </c>
      <c r="AH201" s="16" t="s">
        <v>294</v>
      </c>
      <c r="AI201" s="16" t="s">
        <v>295</v>
      </c>
    </row>
    <row r="202" spans="1:35" ht="13.8">
      <c r="A202" s="7" t="str">
        <f t="shared" si="54"/>
        <v>NCC-NorESM1-M_Cluster3_repl2</v>
      </c>
      <c r="B202" s="8" t="s">
        <v>16</v>
      </c>
      <c r="C202" s="8"/>
      <c r="D202" s="9" t="s">
        <v>17</v>
      </c>
      <c r="E202" s="9" t="str">
        <f t="shared" si="55"/>
        <v>historical</v>
      </c>
      <c r="F202" s="8">
        <v>350</v>
      </c>
      <c r="G202" s="8" t="s">
        <v>60</v>
      </c>
      <c r="H202" s="8">
        <v>3</v>
      </c>
      <c r="I202" s="18">
        <v>6.8499999999999995E-4</v>
      </c>
      <c r="J202" s="8">
        <v>3</v>
      </c>
      <c r="K202" s="8" t="s">
        <v>174</v>
      </c>
      <c r="L202" s="8">
        <v>2</v>
      </c>
      <c r="M202" s="8"/>
      <c r="N202" s="8">
        <v>1</v>
      </c>
      <c r="O202" s="10" t="s">
        <v>21</v>
      </c>
      <c r="P202" s="17" t="s">
        <v>59</v>
      </c>
      <c r="Q202" s="10" t="str">
        <f t="shared" si="56"/>
        <v>NCC-NorESM1-M_Cluster3_repl2.sqlite</v>
      </c>
      <c r="R202" s="11">
        <f t="shared" si="57"/>
        <v>6</v>
      </c>
      <c r="S202" s="11">
        <v>0</v>
      </c>
      <c r="T202" s="16" t="str">
        <f t="shared" si="58"/>
        <v>climate_db_NCC-NorESM1-M_historical_v4.sqlite</v>
      </c>
      <c r="U202" s="16" t="str">
        <f t="shared" si="59"/>
        <v>log/NCC-NorESM1-M_Cluster3_repl2.txt</v>
      </c>
      <c r="V202" s="16" t="str">
        <f t="shared" si="60"/>
        <v>init/env_file_CLUSTER03_REPL2_NCC-NorESM1-M_historical.csv</v>
      </c>
      <c r="W202" s="16" t="str">
        <f t="shared" si="61"/>
        <v>init/env_grid_CLUSTER03_REPL2.asc</v>
      </c>
      <c r="X202" s="16" t="str">
        <f t="shared" si="62"/>
        <v>init/env_grid_CLUSTER03_REPL2.asc</v>
      </c>
      <c r="Y202" s="16" t="str">
        <f t="shared" si="63"/>
        <v>trees_CLUSTER03.csv</v>
      </c>
      <c r="Z202" s="16" t="str">
        <f t="shared" si="64"/>
        <v>saplings_CLUSTER03.csv</v>
      </c>
      <c r="AA202" s="16">
        <f t="shared" si="65"/>
        <v>350</v>
      </c>
      <c r="AB202" s="16" t="str">
        <f t="shared" si="66"/>
        <v>abe/no_mgmt.csv</v>
      </c>
      <c r="AC202" s="16" t="str">
        <f t="shared" si="67"/>
        <v>gis/WindModifier_cl3.asc</v>
      </c>
      <c r="AD202" s="16">
        <f t="shared" si="68"/>
        <v>6.8499999999999995E-4</v>
      </c>
      <c r="AE202" s="16" t="str">
        <f t="shared" si="71"/>
        <v>NCC-NorESM1-M_historical_point31354</v>
      </c>
      <c r="AF202" s="16" t="str">
        <f t="shared" si="69"/>
        <v>wind_Events/cl3_repl2.txt</v>
      </c>
      <c r="AG202" s="16" t="str">
        <f t="shared" si="70"/>
        <v>NCC-NorESM1-M_Cluster3_repl2</v>
      </c>
      <c r="AH202" s="16" t="s">
        <v>296</v>
      </c>
      <c r="AI202" s="16" t="s">
        <v>297</v>
      </c>
    </row>
    <row r="203" spans="1:35" ht="13.8">
      <c r="A203" s="7" t="str">
        <f t="shared" si="54"/>
        <v>ICHEC-EC-EARTH_Cluster3_repl3</v>
      </c>
      <c r="B203" s="8" t="s">
        <v>16</v>
      </c>
      <c r="C203" s="8"/>
      <c r="D203" s="9" t="s">
        <v>17</v>
      </c>
      <c r="E203" s="9" t="str">
        <f t="shared" si="55"/>
        <v>historical</v>
      </c>
      <c r="F203" s="8">
        <v>350</v>
      </c>
      <c r="G203" s="8" t="s">
        <v>18</v>
      </c>
      <c r="H203" s="8">
        <v>1</v>
      </c>
      <c r="I203" s="18">
        <v>6.8499999999999995E-4</v>
      </c>
      <c r="J203" s="8">
        <v>3</v>
      </c>
      <c r="K203" s="8" t="s">
        <v>158</v>
      </c>
      <c r="L203" s="8">
        <v>3</v>
      </c>
      <c r="M203" s="8"/>
      <c r="N203" s="8">
        <v>1</v>
      </c>
      <c r="O203" s="10" t="s">
        <v>21</v>
      </c>
      <c r="P203" s="17" t="s">
        <v>59</v>
      </c>
      <c r="Q203" s="10" t="str">
        <f t="shared" si="56"/>
        <v>ICHEC-EC-EARTH_Cluster3_repl3.sqlite</v>
      </c>
      <c r="R203" s="11">
        <f t="shared" si="57"/>
        <v>7</v>
      </c>
      <c r="S203" s="11">
        <v>0</v>
      </c>
      <c r="T203" s="16" t="str">
        <f t="shared" si="58"/>
        <v>climate_db_ICHEC-EC-EARTH_historical_v4.sqlite</v>
      </c>
      <c r="U203" s="16" t="str">
        <f t="shared" si="59"/>
        <v>log/ICHEC-EC-EARTH_Cluster3_repl3.txt</v>
      </c>
      <c r="V203" s="16" t="str">
        <f t="shared" si="60"/>
        <v>init/env_file_CLUSTER03_REPL3_ICHEC-EC-EARTH_historical.csv</v>
      </c>
      <c r="W203" s="16" t="str">
        <f t="shared" si="61"/>
        <v>init/env_grid_CLUSTER03_REPL3.asc</v>
      </c>
      <c r="X203" s="16" t="str">
        <f t="shared" si="62"/>
        <v>init/env_grid_CLUSTER03_REPL3.asc</v>
      </c>
      <c r="Y203" s="16" t="str">
        <f t="shared" si="63"/>
        <v>trees_CLUSTER03.csv</v>
      </c>
      <c r="Z203" s="16" t="str">
        <f t="shared" si="64"/>
        <v>saplings_CLUSTER03.csv</v>
      </c>
      <c r="AA203" s="16">
        <f t="shared" si="65"/>
        <v>350</v>
      </c>
      <c r="AB203" s="16" t="str">
        <f t="shared" si="66"/>
        <v>abe/no_mgmt.csv</v>
      </c>
      <c r="AC203" s="16" t="str">
        <f t="shared" si="67"/>
        <v>gis/WindModifier_cl3.asc</v>
      </c>
      <c r="AD203" s="16">
        <f t="shared" si="68"/>
        <v>6.8499999999999995E-4</v>
      </c>
      <c r="AE203" s="16" t="str">
        <f t="shared" si="71"/>
        <v>ICHEC-EC-EARTH_historical_point31016</v>
      </c>
      <c r="AF203" s="16" t="str">
        <f t="shared" si="69"/>
        <v>wind_Events/cl3_repl3.txt</v>
      </c>
      <c r="AG203" s="16" t="str">
        <f t="shared" si="70"/>
        <v>ICHEC-EC-EARTH_Cluster3_repl3</v>
      </c>
      <c r="AH203" s="16" t="s">
        <v>298</v>
      </c>
      <c r="AI203" s="16" t="s">
        <v>299</v>
      </c>
    </row>
    <row r="204" spans="1:35" ht="13.8">
      <c r="A204" s="7" t="str">
        <f t="shared" si="54"/>
        <v>MPI-M-MPI-ESM-LR_Cluster3_repl3</v>
      </c>
      <c r="B204" s="8" t="s">
        <v>16</v>
      </c>
      <c r="C204" s="8"/>
      <c r="D204" s="9" t="s">
        <v>17</v>
      </c>
      <c r="E204" s="9" t="str">
        <f t="shared" si="55"/>
        <v>historical</v>
      </c>
      <c r="F204" s="8">
        <v>350</v>
      </c>
      <c r="G204" s="8" t="s">
        <v>63</v>
      </c>
      <c r="H204" s="8">
        <v>2</v>
      </c>
      <c r="I204" s="18">
        <v>6.8499999999999995E-4</v>
      </c>
      <c r="J204" s="8">
        <v>3</v>
      </c>
      <c r="K204" s="8" t="s">
        <v>158</v>
      </c>
      <c r="L204" s="8">
        <v>3</v>
      </c>
      <c r="M204" s="8"/>
      <c r="N204" s="8">
        <v>1</v>
      </c>
      <c r="O204" s="10" t="s">
        <v>21</v>
      </c>
      <c r="P204" s="17" t="s">
        <v>59</v>
      </c>
      <c r="Q204" s="10" t="str">
        <f t="shared" si="56"/>
        <v>MPI-M-MPI-ESM-LR_Cluster3_repl3.sqlite</v>
      </c>
      <c r="R204" s="11">
        <f t="shared" si="57"/>
        <v>8</v>
      </c>
      <c r="S204" s="11">
        <v>0</v>
      </c>
      <c r="T204" s="16" t="str">
        <f t="shared" si="58"/>
        <v>climate_db_MPI-M-MPI-ESM-LR_historical_v4.sqlite</v>
      </c>
      <c r="U204" s="16" t="str">
        <f t="shared" si="59"/>
        <v>log/MPI-M-MPI-ESM-LR_Cluster3_repl3.txt</v>
      </c>
      <c r="V204" s="16" t="str">
        <f t="shared" si="60"/>
        <v>init/env_file_CLUSTER03_REPL3_MPI-M-MPI-ESM-LR_historical.csv</v>
      </c>
      <c r="W204" s="16" t="str">
        <f t="shared" si="61"/>
        <v>init/env_grid_CLUSTER03_REPL3.asc</v>
      </c>
      <c r="X204" s="16" t="str">
        <f t="shared" si="62"/>
        <v>init/env_grid_CLUSTER03_REPL3.asc</v>
      </c>
      <c r="Y204" s="16" t="str">
        <f t="shared" si="63"/>
        <v>trees_CLUSTER03.csv</v>
      </c>
      <c r="Z204" s="16" t="str">
        <f t="shared" si="64"/>
        <v>saplings_CLUSTER03.csv</v>
      </c>
      <c r="AA204" s="16">
        <f t="shared" si="65"/>
        <v>350</v>
      </c>
      <c r="AB204" s="16" t="str">
        <f t="shared" si="66"/>
        <v>abe/no_mgmt.csv</v>
      </c>
      <c r="AC204" s="16" t="str">
        <f t="shared" si="67"/>
        <v>gis/WindModifier_cl3.asc</v>
      </c>
      <c r="AD204" s="16">
        <f t="shared" si="68"/>
        <v>6.8499999999999995E-4</v>
      </c>
      <c r="AE204" s="16" t="str">
        <f t="shared" si="71"/>
        <v>MPI-M-MPI-ESM-LR_historical_point31016</v>
      </c>
      <c r="AF204" s="16" t="str">
        <f t="shared" si="69"/>
        <v>wind_Events/cl3_repl3.txt</v>
      </c>
      <c r="AG204" s="16" t="str">
        <f t="shared" si="70"/>
        <v>MPI-M-MPI-ESM-LR_Cluster3_repl3</v>
      </c>
      <c r="AH204" s="16" t="s">
        <v>300</v>
      </c>
      <c r="AI204" s="16" t="s">
        <v>301</v>
      </c>
    </row>
    <row r="205" spans="1:35" ht="13.8">
      <c r="A205" s="7" t="str">
        <f t="shared" si="54"/>
        <v>NCC-NorESM1-M_Cluster3_repl3</v>
      </c>
      <c r="B205" s="8" t="s">
        <v>16</v>
      </c>
      <c r="C205" s="8"/>
      <c r="D205" s="9" t="s">
        <v>17</v>
      </c>
      <c r="E205" s="9" t="str">
        <f t="shared" si="55"/>
        <v>historical</v>
      </c>
      <c r="F205" s="8">
        <v>350</v>
      </c>
      <c r="G205" s="8" t="s">
        <v>60</v>
      </c>
      <c r="H205" s="8">
        <v>3</v>
      </c>
      <c r="I205" s="18">
        <v>6.8499999999999995E-4</v>
      </c>
      <c r="J205" s="8">
        <v>3</v>
      </c>
      <c r="K205" s="8" t="s">
        <v>174</v>
      </c>
      <c r="L205" s="8">
        <v>3</v>
      </c>
      <c r="M205" s="8"/>
      <c r="N205" s="8">
        <v>1</v>
      </c>
      <c r="O205" s="10" t="s">
        <v>21</v>
      </c>
      <c r="P205" s="17" t="s">
        <v>59</v>
      </c>
      <c r="Q205" s="10" t="str">
        <f t="shared" si="56"/>
        <v>NCC-NorESM1-M_Cluster3_repl3.sqlite</v>
      </c>
      <c r="R205" s="11">
        <f t="shared" si="57"/>
        <v>9</v>
      </c>
      <c r="S205" s="11">
        <v>0</v>
      </c>
      <c r="T205" s="16" t="str">
        <f t="shared" si="58"/>
        <v>climate_db_NCC-NorESM1-M_historical_v4.sqlite</v>
      </c>
      <c r="U205" s="16" t="str">
        <f t="shared" si="59"/>
        <v>log/NCC-NorESM1-M_Cluster3_repl3.txt</v>
      </c>
      <c r="V205" s="16" t="str">
        <f t="shared" si="60"/>
        <v>init/env_file_CLUSTER03_REPL3_NCC-NorESM1-M_historical.csv</v>
      </c>
      <c r="W205" s="16" t="str">
        <f t="shared" si="61"/>
        <v>init/env_grid_CLUSTER03_REPL3.asc</v>
      </c>
      <c r="X205" s="16" t="str">
        <f t="shared" si="62"/>
        <v>init/env_grid_CLUSTER03_REPL3.asc</v>
      </c>
      <c r="Y205" s="16" t="str">
        <f t="shared" si="63"/>
        <v>trees_CLUSTER03.csv</v>
      </c>
      <c r="Z205" s="16" t="str">
        <f t="shared" si="64"/>
        <v>saplings_CLUSTER03.csv</v>
      </c>
      <c r="AA205" s="16">
        <f t="shared" si="65"/>
        <v>350</v>
      </c>
      <c r="AB205" s="16" t="str">
        <f t="shared" si="66"/>
        <v>abe/no_mgmt.csv</v>
      </c>
      <c r="AC205" s="16" t="str">
        <f t="shared" si="67"/>
        <v>gis/WindModifier_cl3.asc</v>
      </c>
      <c r="AD205" s="16">
        <f t="shared" si="68"/>
        <v>6.8499999999999995E-4</v>
      </c>
      <c r="AE205" s="16" t="str">
        <f t="shared" si="71"/>
        <v>NCC-NorESM1-M_historical_point31354</v>
      </c>
      <c r="AF205" s="16" t="str">
        <f t="shared" si="69"/>
        <v>wind_Events/cl3_repl3.txt</v>
      </c>
      <c r="AG205" s="16" t="str">
        <f t="shared" si="70"/>
        <v>NCC-NorESM1-M_Cluster3_repl3</v>
      </c>
      <c r="AH205" s="16" t="s">
        <v>302</v>
      </c>
      <c r="AI205" s="16" t="s">
        <v>303</v>
      </c>
    </row>
    <row r="206" spans="1:35" ht="13.8">
      <c r="A206" s="7" t="str">
        <f t="shared" si="54"/>
        <v>ICHEC-EC-EARTH_Cluster3_repl4</v>
      </c>
      <c r="B206" s="8" t="s">
        <v>16</v>
      </c>
      <c r="C206" s="8"/>
      <c r="D206" s="9" t="s">
        <v>17</v>
      </c>
      <c r="E206" s="9" t="str">
        <f t="shared" si="55"/>
        <v>historical</v>
      </c>
      <c r="F206" s="8">
        <v>350</v>
      </c>
      <c r="G206" s="8" t="s">
        <v>18</v>
      </c>
      <c r="H206" s="8">
        <v>1</v>
      </c>
      <c r="I206" s="18">
        <v>6.8499999999999995E-4</v>
      </c>
      <c r="J206" s="8">
        <v>3</v>
      </c>
      <c r="K206" s="8" t="s">
        <v>158</v>
      </c>
      <c r="L206" s="8">
        <v>4</v>
      </c>
      <c r="M206" s="8"/>
      <c r="N206" s="8">
        <v>1</v>
      </c>
      <c r="O206" s="10" t="s">
        <v>21</v>
      </c>
      <c r="P206" s="17" t="s">
        <v>59</v>
      </c>
      <c r="Q206" s="10" t="str">
        <f t="shared" si="56"/>
        <v>ICHEC-EC-EARTH_Cluster3_repl4.sqlite</v>
      </c>
      <c r="R206" s="11">
        <f t="shared" si="57"/>
        <v>10</v>
      </c>
      <c r="S206" s="11">
        <v>0</v>
      </c>
      <c r="T206" s="16" t="str">
        <f t="shared" si="58"/>
        <v>climate_db_ICHEC-EC-EARTH_historical_v4.sqlite</v>
      </c>
      <c r="U206" s="16" t="str">
        <f t="shared" si="59"/>
        <v>log/ICHEC-EC-EARTH_Cluster3_repl4.txt</v>
      </c>
      <c r="V206" s="16" t="str">
        <f t="shared" si="60"/>
        <v>init/env_file_CLUSTER03_REPL4_ICHEC-EC-EARTH_historical.csv</v>
      </c>
      <c r="W206" s="16" t="str">
        <f t="shared" si="61"/>
        <v>init/env_grid_CLUSTER03_REPL4.asc</v>
      </c>
      <c r="X206" s="16" t="str">
        <f t="shared" si="62"/>
        <v>init/env_grid_CLUSTER03_REPL4.asc</v>
      </c>
      <c r="Y206" s="16" t="str">
        <f t="shared" si="63"/>
        <v>trees_CLUSTER03.csv</v>
      </c>
      <c r="Z206" s="16" t="str">
        <f t="shared" si="64"/>
        <v>saplings_CLUSTER03.csv</v>
      </c>
      <c r="AA206" s="16">
        <f t="shared" si="65"/>
        <v>350</v>
      </c>
      <c r="AB206" s="16" t="str">
        <f t="shared" si="66"/>
        <v>abe/no_mgmt.csv</v>
      </c>
      <c r="AC206" s="16" t="str">
        <f t="shared" si="67"/>
        <v>gis/WindModifier_cl3.asc</v>
      </c>
      <c r="AD206" s="16">
        <f t="shared" si="68"/>
        <v>6.8499999999999995E-4</v>
      </c>
      <c r="AE206" s="16" t="str">
        <f t="shared" si="71"/>
        <v>ICHEC-EC-EARTH_historical_point31016</v>
      </c>
      <c r="AF206" s="16" t="str">
        <f t="shared" si="69"/>
        <v>wind_Events/cl3_repl4.txt</v>
      </c>
      <c r="AG206" s="16" t="str">
        <f t="shared" si="70"/>
        <v>ICHEC-EC-EARTH_Cluster3_repl4</v>
      </c>
      <c r="AH206" s="16" t="s">
        <v>304</v>
      </c>
      <c r="AI206" s="16" t="s">
        <v>305</v>
      </c>
    </row>
    <row r="207" spans="1:35" ht="13.8">
      <c r="A207" s="7" t="str">
        <f t="shared" si="54"/>
        <v>MPI-M-MPI-ESM-LR_Cluster3_repl4</v>
      </c>
      <c r="B207" s="8" t="s">
        <v>16</v>
      </c>
      <c r="C207" s="8"/>
      <c r="D207" s="9" t="s">
        <v>17</v>
      </c>
      <c r="E207" s="9" t="str">
        <f t="shared" si="55"/>
        <v>historical</v>
      </c>
      <c r="F207" s="8">
        <v>350</v>
      </c>
      <c r="G207" s="8" t="s">
        <v>63</v>
      </c>
      <c r="H207" s="8">
        <v>2</v>
      </c>
      <c r="I207" s="18">
        <v>6.8499999999999995E-4</v>
      </c>
      <c r="J207" s="8">
        <v>3</v>
      </c>
      <c r="K207" s="8" t="s">
        <v>158</v>
      </c>
      <c r="L207" s="8">
        <v>4</v>
      </c>
      <c r="M207" s="8"/>
      <c r="N207" s="8">
        <v>1</v>
      </c>
      <c r="O207" s="10" t="s">
        <v>21</v>
      </c>
      <c r="P207" s="17" t="s">
        <v>59</v>
      </c>
      <c r="Q207" s="10" t="str">
        <f t="shared" si="56"/>
        <v>MPI-M-MPI-ESM-LR_Cluster3_repl4.sqlite</v>
      </c>
      <c r="R207" s="11">
        <f t="shared" si="57"/>
        <v>11</v>
      </c>
      <c r="S207" s="11">
        <v>0</v>
      </c>
      <c r="T207" s="16" t="str">
        <f t="shared" si="58"/>
        <v>climate_db_MPI-M-MPI-ESM-LR_historical_v4.sqlite</v>
      </c>
      <c r="U207" s="16" t="str">
        <f t="shared" si="59"/>
        <v>log/MPI-M-MPI-ESM-LR_Cluster3_repl4.txt</v>
      </c>
      <c r="V207" s="16" t="str">
        <f t="shared" si="60"/>
        <v>init/env_file_CLUSTER03_REPL4_MPI-M-MPI-ESM-LR_historical.csv</v>
      </c>
      <c r="W207" s="16" t="str">
        <f t="shared" si="61"/>
        <v>init/env_grid_CLUSTER03_REPL4.asc</v>
      </c>
      <c r="X207" s="16" t="str">
        <f t="shared" si="62"/>
        <v>init/env_grid_CLUSTER03_REPL4.asc</v>
      </c>
      <c r="Y207" s="16" t="str">
        <f t="shared" si="63"/>
        <v>trees_CLUSTER03.csv</v>
      </c>
      <c r="Z207" s="16" t="str">
        <f t="shared" si="64"/>
        <v>saplings_CLUSTER03.csv</v>
      </c>
      <c r="AA207" s="16">
        <f t="shared" si="65"/>
        <v>350</v>
      </c>
      <c r="AB207" s="16" t="str">
        <f t="shared" si="66"/>
        <v>abe/no_mgmt.csv</v>
      </c>
      <c r="AC207" s="16" t="str">
        <f t="shared" si="67"/>
        <v>gis/WindModifier_cl3.asc</v>
      </c>
      <c r="AD207" s="16">
        <f t="shared" si="68"/>
        <v>6.8499999999999995E-4</v>
      </c>
      <c r="AE207" s="16" t="str">
        <f t="shared" si="71"/>
        <v>MPI-M-MPI-ESM-LR_historical_point31016</v>
      </c>
      <c r="AF207" s="16" t="str">
        <f t="shared" si="69"/>
        <v>wind_Events/cl3_repl4.txt</v>
      </c>
      <c r="AG207" s="16" t="str">
        <f t="shared" si="70"/>
        <v>MPI-M-MPI-ESM-LR_Cluster3_repl4</v>
      </c>
      <c r="AH207" s="16" t="s">
        <v>306</v>
      </c>
      <c r="AI207" s="16" t="s">
        <v>307</v>
      </c>
    </row>
    <row r="208" spans="1:35" ht="13.8">
      <c r="A208" s="7" t="str">
        <f t="shared" si="54"/>
        <v>NCC-NorESM1-M_Cluster3_repl4</v>
      </c>
      <c r="B208" s="8" t="s">
        <v>16</v>
      </c>
      <c r="C208" s="8"/>
      <c r="D208" s="9" t="s">
        <v>17</v>
      </c>
      <c r="E208" s="9" t="str">
        <f t="shared" si="55"/>
        <v>historical</v>
      </c>
      <c r="F208" s="8">
        <v>350</v>
      </c>
      <c r="G208" s="8" t="s">
        <v>60</v>
      </c>
      <c r="H208" s="8">
        <v>3</v>
      </c>
      <c r="I208" s="18">
        <v>6.8499999999999995E-4</v>
      </c>
      <c r="J208" s="8">
        <v>3</v>
      </c>
      <c r="K208" s="8" t="s">
        <v>174</v>
      </c>
      <c r="L208" s="8">
        <v>4</v>
      </c>
      <c r="M208" s="8"/>
      <c r="N208" s="8">
        <v>1</v>
      </c>
      <c r="O208" s="10" t="s">
        <v>21</v>
      </c>
      <c r="P208" s="17" t="s">
        <v>59</v>
      </c>
      <c r="Q208" s="10" t="str">
        <f t="shared" si="56"/>
        <v>NCC-NorESM1-M_Cluster3_repl4.sqlite</v>
      </c>
      <c r="R208" s="11">
        <f t="shared" si="57"/>
        <v>12</v>
      </c>
      <c r="S208" s="11">
        <v>0</v>
      </c>
      <c r="T208" s="16" t="str">
        <f t="shared" si="58"/>
        <v>climate_db_NCC-NorESM1-M_historical_v4.sqlite</v>
      </c>
      <c r="U208" s="16" t="str">
        <f t="shared" si="59"/>
        <v>log/NCC-NorESM1-M_Cluster3_repl4.txt</v>
      </c>
      <c r="V208" s="16" t="str">
        <f t="shared" si="60"/>
        <v>init/env_file_CLUSTER03_REPL4_NCC-NorESM1-M_historical.csv</v>
      </c>
      <c r="W208" s="16" t="str">
        <f t="shared" si="61"/>
        <v>init/env_grid_CLUSTER03_REPL4.asc</v>
      </c>
      <c r="X208" s="16" t="str">
        <f t="shared" si="62"/>
        <v>init/env_grid_CLUSTER03_REPL4.asc</v>
      </c>
      <c r="Y208" s="16" t="str">
        <f t="shared" si="63"/>
        <v>trees_CLUSTER03.csv</v>
      </c>
      <c r="Z208" s="16" t="str">
        <f t="shared" si="64"/>
        <v>saplings_CLUSTER03.csv</v>
      </c>
      <c r="AA208" s="16">
        <f t="shared" si="65"/>
        <v>350</v>
      </c>
      <c r="AB208" s="16" t="str">
        <f t="shared" si="66"/>
        <v>abe/no_mgmt.csv</v>
      </c>
      <c r="AC208" s="16" t="str">
        <f t="shared" si="67"/>
        <v>gis/WindModifier_cl3.asc</v>
      </c>
      <c r="AD208" s="16">
        <f t="shared" si="68"/>
        <v>6.8499999999999995E-4</v>
      </c>
      <c r="AE208" s="16" t="str">
        <f t="shared" si="71"/>
        <v>NCC-NorESM1-M_historical_point31354</v>
      </c>
      <c r="AF208" s="16" t="str">
        <f t="shared" si="69"/>
        <v>wind_Events/cl3_repl4.txt</v>
      </c>
      <c r="AG208" s="16" t="str">
        <f t="shared" si="70"/>
        <v>NCC-NorESM1-M_Cluster3_repl4</v>
      </c>
      <c r="AH208" s="16" t="s">
        <v>308</v>
      </c>
      <c r="AI208" s="16" t="s">
        <v>309</v>
      </c>
    </row>
    <row r="209" spans="1:35" ht="13.8">
      <c r="A209" s="7" t="str">
        <f t="shared" si="54"/>
        <v>ICHEC-EC-EARTH_Cluster3_repl5</v>
      </c>
      <c r="B209" s="8" t="s">
        <v>16</v>
      </c>
      <c r="C209" s="8"/>
      <c r="D209" s="9" t="s">
        <v>17</v>
      </c>
      <c r="E209" s="9" t="str">
        <f t="shared" si="55"/>
        <v>historical</v>
      </c>
      <c r="F209" s="8">
        <v>350</v>
      </c>
      <c r="G209" s="8" t="s">
        <v>18</v>
      </c>
      <c r="H209" s="8">
        <v>1</v>
      </c>
      <c r="I209" s="18">
        <v>6.8499999999999995E-4</v>
      </c>
      <c r="J209" s="8">
        <v>3</v>
      </c>
      <c r="K209" s="8" t="s">
        <v>158</v>
      </c>
      <c r="L209" s="8">
        <v>5</v>
      </c>
      <c r="M209" s="8"/>
      <c r="N209" s="8">
        <v>1</v>
      </c>
      <c r="O209" s="10" t="s">
        <v>21</v>
      </c>
      <c r="P209" s="17" t="s">
        <v>59</v>
      </c>
      <c r="Q209" s="10" t="str">
        <f t="shared" si="56"/>
        <v>ICHEC-EC-EARTH_Cluster3_repl5.sqlite</v>
      </c>
      <c r="R209" s="11">
        <f t="shared" si="57"/>
        <v>13</v>
      </c>
      <c r="S209" s="11">
        <v>0</v>
      </c>
      <c r="T209" s="16" t="str">
        <f t="shared" si="58"/>
        <v>climate_db_ICHEC-EC-EARTH_historical_v4.sqlite</v>
      </c>
      <c r="U209" s="16" t="str">
        <f t="shared" si="59"/>
        <v>log/ICHEC-EC-EARTH_Cluster3_repl5.txt</v>
      </c>
      <c r="V209" s="16" t="str">
        <f t="shared" si="60"/>
        <v>init/env_file_CLUSTER03_REPL5_ICHEC-EC-EARTH_historical.csv</v>
      </c>
      <c r="W209" s="16" t="str">
        <f t="shared" si="61"/>
        <v>init/env_grid_CLUSTER03_REPL5.asc</v>
      </c>
      <c r="X209" s="16" t="str">
        <f t="shared" si="62"/>
        <v>init/env_grid_CLUSTER03_REPL5.asc</v>
      </c>
      <c r="Y209" s="16" t="str">
        <f t="shared" si="63"/>
        <v>trees_CLUSTER03.csv</v>
      </c>
      <c r="Z209" s="16" t="str">
        <f t="shared" si="64"/>
        <v>saplings_CLUSTER03.csv</v>
      </c>
      <c r="AA209" s="16">
        <f t="shared" si="65"/>
        <v>350</v>
      </c>
      <c r="AB209" s="16" t="str">
        <f t="shared" si="66"/>
        <v>abe/no_mgmt.csv</v>
      </c>
      <c r="AC209" s="16" t="str">
        <f t="shared" si="67"/>
        <v>gis/WindModifier_cl3.asc</v>
      </c>
      <c r="AD209" s="16">
        <f t="shared" si="68"/>
        <v>6.8499999999999995E-4</v>
      </c>
      <c r="AE209" s="16" t="str">
        <f t="shared" si="71"/>
        <v>ICHEC-EC-EARTH_historical_point31016</v>
      </c>
      <c r="AF209" s="16" t="str">
        <f t="shared" si="69"/>
        <v>wind_Events/cl3_repl5.txt</v>
      </c>
      <c r="AG209" s="16" t="str">
        <f t="shared" si="70"/>
        <v>ICHEC-EC-EARTH_Cluster3_repl5</v>
      </c>
      <c r="AH209" s="16" t="s">
        <v>310</v>
      </c>
      <c r="AI209" s="16" t="s">
        <v>311</v>
      </c>
    </row>
    <row r="210" spans="1:35" ht="13.8">
      <c r="A210" s="7" t="str">
        <f t="shared" si="54"/>
        <v>MPI-M-MPI-ESM-LR_Cluster3_repl5</v>
      </c>
      <c r="B210" s="8" t="s">
        <v>16</v>
      </c>
      <c r="C210" s="8"/>
      <c r="D210" s="9" t="s">
        <v>17</v>
      </c>
      <c r="E210" s="9" t="str">
        <f t="shared" si="55"/>
        <v>historical</v>
      </c>
      <c r="F210" s="8">
        <v>350</v>
      </c>
      <c r="G210" s="8" t="s">
        <v>63</v>
      </c>
      <c r="H210" s="8">
        <v>2</v>
      </c>
      <c r="I210" s="18">
        <v>6.8499999999999995E-4</v>
      </c>
      <c r="J210" s="8">
        <v>3</v>
      </c>
      <c r="K210" s="8" t="s">
        <v>158</v>
      </c>
      <c r="L210" s="8">
        <v>5</v>
      </c>
      <c r="M210" s="8"/>
      <c r="N210" s="8">
        <v>1</v>
      </c>
      <c r="O210" s="10" t="s">
        <v>21</v>
      </c>
      <c r="P210" s="17" t="s">
        <v>59</v>
      </c>
      <c r="Q210" s="10" t="str">
        <f t="shared" si="56"/>
        <v>MPI-M-MPI-ESM-LR_Cluster3_repl5.sqlite</v>
      </c>
      <c r="R210" s="11">
        <f t="shared" si="57"/>
        <v>14</v>
      </c>
      <c r="S210" s="11">
        <v>0</v>
      </c>
      <c r="T210" s="16" t="str">
        <f t="shared" si="58"/>
        <v>climate_db_MPI-M-MPI-ESM-LR_historical_v4.sqlite</v>
      </c>
      <c r="U210" s="16" t="str">
        <f t="shared" si="59"/>
        <v>log/MPI-M-MPI-ESM-LR_Cluster3_repl5.txt</v>
      </c>
      <c r="V210" s="16" t="str">
        <f t="shared" si="60"/>
        <v>init/env_file_CLUSTER03_REPL5_MPI-M-MPI-ESM-LR_historical.csv</v>
      </c>
      <c r="W210" s="16" t="str">
        <f t="shared" si="61"/>
        <v>init/env_grid_CLUSTER03_REPL5.asc</v>
      </c>
      <c r="X210" s="16" t="str">
        <f t="shared" si="62"/>
        <v>init/env_grid_CLUSTER03_REPL5.asc</v>
      </c>
      <c r="Y210" s="16" t="str">
        <f t="shared" si="63"/>
        <v>trees_CLUSTER03.csv</v>
      </c>
      <c r="Z210" s="16" t="str">
        <f t="shared" si="64"/>
        <v>saplings_CLUSTER03.csv</v>
      </c>
      <c r="AA210" s="16">
        <f t="shared" si="65"/>
        <v>350</v>
      </c>
      <c r="AB210" s="16" t="str">
        <f t="shared" si="66"/>
        <v>abe/no_mgmt.csv</v>
      </c>
      <c r="AC210" s="16" t="str">
        <f t="shared" si="67"/>
        <v>gis/WindModifier_cl3.asc</v>
      </c>
      <c r="AD210" s="16">
        <f t="shared" si="68"/>
        <v>6.8499999999999995E-4</v>
      </c>
      <c r="AE210" s="16" t="str">
        <f t="shared" si="71"/>
        <v>MPI-M-MPI-ESM-LR_historical_point31016</v>
      </c>
      <c r="AF210" s="16" t="str">
        <f t="shared" si="69"/>
        <v>wind_Events/cl3_repl5.txt</v>
      </c>
      <c r="AG210" s="16" t="str">
        <f t="shared" si="70"/>
        <v>MPI-M-MPI-ESM-LR_Cluster3_repl5</v>
      </c>
      <c r="AH210" s="16" t="s">
        <v>312</v>
      </c>
      <c r="AI210" s="16" t="s">
        <v>313</v>
      </c>
    </row>
    <row r="211" spans="1:35" ht="13.8">
      <c r="A211" s="7" t="str">
        <f t="shared" si="54"/>
        <v>NCC-NorESM1-M_Cluster3_repl5</v>
      </c>
      <c r="B211" s="8" t="s">
        <v>16</v>
      </c>
      <c r="C211" s="8"/>
      <c r="D211" s="9" t="s">
        <v>17</v>
      </c>
      <c r="E211" s="9" t="str">
        <f t="shared" si="55"/>
        <v>historical</v>
      </c>
      <c r="F211" s="8">
        <v>350</v>
      </c>
      <c r="G211" s="8" t="s">
        <v>60</v>
      </c>
      <c r="H211" s="8">
        <v>3</v>
      </c>
      <c r="I211" s="18">
        <v>6.8499999999999995E-4</v>
      </c>
      <c r="J211" s="8">
        <v>3</v>
      </c>
      <c r="K211" s="8" t="s">
        <v>174</v>
      </c>
      <c r="L211" s="8">
        <v>5</v>
      </c>
      <c r="M211" s="8"/>
      <c r="N211" s="8">
        <v>1</v>
      </c>
      <c r="O211" s="10" t="s">
        <v>21</v>
      </c>
      <c r="P211" s="17" t="s">
        <v>59</v>
      </c>
      <c r="Q211" s="10" t="str">
        <f t="shared" si="56"/>
        <v>NCC-NorESM1-M_Cluster3_repl5.sqlite</v>
      </c>
      <c r="R211" s="11">
        <f t="shared" si="57"/>
        <v>15</v>
      </c>
      <c r="S211" s="11">
        <v>0</v>
      </c>
      <c r="T211" s="16" t="str">
        <f t="shared" si="58"/>
        <v>climate_db_NCC-NorESM1-M_historical_v4.sqlite</v>
      </c>
      <c r="U211" s="16" t="str">
        <f t="shared" si="59"/>
        <v>log/NCC-NorESM1-M_Cluster3_repl5.txt</v>
      </c>
      <c r="V211" s="16" t="str">
        <f t="shared" si="60"/>
        <v>init/env_file_CLUSTER03_REPL5_NCC-NorESM1-M_historical.csv</v>
      </c>
      <c r="W211" s="16" t="str">
        <f t="shared" si="61"/>
        <v>init/env_grid_CLUSTER03_REPL5.asc</v>
      </c>
      <c r="X211" s="16" t="str">
        <f t="shared" si="62"/>
        <v>init/env_grid_CLUSTER03_REPL5.asc</v>
      </c>
      <c r="Y211" s="16" t="str">
        <f t="shared" si="63"/>
        <v>trees_CLUSTER03.csv</v>
      </c>
      <c r="Z211" s="16" t="str">
        <f t="shared" si="64"/>
        <v>saplings_CLUSTER03.csv</v>
      </c>
      <c r="AA211" s="16">
        <f t="shared" si="65"/>
        <v>350</v>
      </c>
      <c r="AB211" s="16" t="str">
        <f t="shared" si="66"/>
        <v>abe/no_mgmt.csv</v>
      </c>
      <c r="AC211" s="16" t="str">
        <f t="shared" si="67"/>
        <v>gis/WindModifier_cl3.asc</v>
      </c>
      <c r="AD211" s="16">
        <f t="shared" si="68"/>
        <v>6.8499999999999995E-4</v>
      </c>
      <c r="AE211" s="16" t="str">
        <f t="shared" si="71"/>
        <v>NCC-NorESM1-M_historical_point31354</v>
      </c>
      <c r="AF211" s="16" t="str">
        <f t="shared" si="69"/>
        <v>wind_Events/cl3_repl5.txt</v>
      </c>
      <c r="AG211" s="16" t="str">
        <f t="shared" si="70"/>
        <v>NCC-NorESM1-M_Cluster3_repl5</v>
      </c>
      <c r="AH211" s="16" t="s">
        <v>314</v>
      </c>
      <c r="AI211" s="16" t="s">
        <v>315</v>
      </c>
    </row>
    <row r="212" spans="1:35" ht="13.8">
      <c r="A212" s="7" t="str">
        <f t="shared" si="54"/>
        <v>ICHEC-EC-EARTH_Cluster4_repl1</v>
      </c>
      <c r="B212" s="8" t="s">
        <v>16</v>
      </c>
      <c r="C212" s="8"/>
      <c r="D212" s="9" t="s">
        <v>17</v>
      </c>
      <c r="E212" s="9" t="str">
        <f t="shared" si="55"/>
        <v>historical</v>
      </c>
      <c r="F212" s="8">
        <v>350</v>
      </c>
      <c r="G212" s="8" t="s">
        <v>18</v>
      </c>
      <c r="H212" s="8">
        <v>1</v>
      </c>
      <c r="I212" s="18">
        <v>6.8499999999999995E-4</v>
      </c>
      <c r="J212" s="8">
        <v>4</v>
      </c>
      <c r="K212" s="8" t="s">
        <v>159</v>
      </c>
      <c r="L212" s="8">
        <v>1</v>
      </c>
      <c r="M212" s="8"/>
      <c r="N212" s="8">
        <v>1</v>
      </c>
      <c r="O212" s="10" t="s">
        <v>21</v>
      </c>
      <c r="P212" s="17" t="s">
        <v>59</v>
      </c>
      <c r="Q212" s="10" t="str">
        <f t="shared" si="56"/>
        <v>ICHEC-EC-EARTH_Cluster4_repl1.sqlite</v>
      </c>
      <c r="R212" s="11">
        <f t="shared" si="57"/>
        <v>1</v>
      </c>
      <c r="S212" s="11">
        <v>0</v>
      </c>
      <c r="T212" s="16" t="str">
        <f t="shared" si="58"/>
        <v>climate_db_ICHEC-EC-EARTH_historical_v4.sqlite</v>
      </c>
      <c r="U212" s="16" t="str">
        <f t="shared" si="59"/>
        <v>log/ICHEC-EC-EARTH_Cluster4_repl1.txt</v>
      </c>
      <c r="V212" s="16" t="str">
        <f t="shared" si="60"/>
        <v>init/env_file_CLUSTER04_REPL1_ICHEC-EC-EARTH_historical.csv</v>
      </c>
      <c r="W212" s="16" t="str">
        <f t="shared" si="61"/>
        <v>init/env_grid_CLUSTER04_REPL1.asc</v>
      </c>
      <c r="X212" s="16" t="str">
        <f t="shared" si="62"/>
        <v>init/env_grid_CLUSTER04_REPL1.asc</v>
      </c>
      <c r="Y212" s="16" t="str">
        <f t="shared" si="63"/>
        <v>trees_CLUSTER04.csv</v>
      </c>
      <c r="Z212" s="16" t="str">
        <f t="shared" si="64"/>
        <v>saplings_CLUSTER04.csv</v>
      </c>
      <c r="AA212" s="16">
        <f t="shared" si="65"/>
        <v>350</v>
      </c>
      <c r="AB212" s="16" t="str">
        <f t="shared" si="66"/>
        <v>abe/no_mgmt.csv</v>
      </c>
      <c r="AC212" s="16" t="str">
        <f t="shared" si="67"/>
        <v>gis/WindModifier_cl4.asc</v>
      </c>
      <c r="AD212" s="16">
        <f t="shared" si="68"/>
        <v>6.8499999999999995E-4</v>
      </c>
      <c r="AE212" s="16" t="str">
        <f t="shared" si="71"/>
        <v>ICHEC-EC-EARTH_historical_point26511</v>
      </c>
      <c r="AF212" s="16" t="str">
        <f t="shared" si="69"/>
        <v>wind_Events/cl4_repl1.txt</v>
      </c>
      <c r="AG212" s="16" t="str">
        <f t="shared" si="70"/>
        <v>ICHEC-EC-EARTH_Cluster4_repl1</v>
      </c>
      <c r="AH212" s="16" t="s">
        <v>316</v>
      </c>
      <c r="AI212" s="16" t="s">
        <v>317</v>
      </c>
    </row>
    <row r="213" spans="1:35" ht="13.8">
      <c r="A213" s="7" t="str">
        <f t="shared" si="54"/>
        <v>MPI-M-MPI-ESM-LR_Cluster4_repl1</v>
      </c>
      <c r="B213" s="8" t="s">
        <v>16</v>
      </c>
      <c r="C213" s="8"/>
      <c r="D213" s="9" t="s">
        <v>17</v>
      </c>
      <c r="E213" s="9" t="str">
        <f t="shared" si="55"/>
        <v>historical</v>
      </c>
      <c r="F213" s="8">
        <v>350</v>
      </c>
      <c r="G213" s="8" t="s">
        <v>63</v>
      </c>
      <c r="H213" s="8">
        <v>2</v>
      </c>
      <c r="I213" s="18">
        <v>6.8499999999999995E-4</v>
      </c>
      <c r="J213" s="8">
        <v>4</v>
      </c>
      <c r="K213" s="8" t="s">
        <v>159</v>
      </c>
      <c r="L213" s="8">
        <v>1</v>
      </c>
      <c r="M213" s="8"/>
      <c r="N213" s="8">
        <v>1</v>
      </c>
      <c r="O213" s="10" t="s">
        <v>21</v>
      </c>
      <c r="P213" s="17" t="s">
        <v>59</v>
      </c>
      <c r="Q213" s="10" t="str">
        <f t="shared" si="56"/>
        <v>MPI-M-MPI-ESM-LR_Cluster4_repl1.sqlite</v>
      </c>
      <c r="R213" s="11">
        <f t="shared" si="57"/>
        <v>2</v>
      </c>
      <c r="S213" s="11">
        <v>0</v>
      </c>
      <c r="T213" s="16" t="str">
        <f t="shared" si="58"/>
        <v>climate_db_MPI-M-MPI-ESM-LR_historical_v4.sqlite</v>
      </c>
      <c r="U213" s="16" t="str">
        <f t="shared" si="59"/>
        <v>log/MPI-M-MPI-ESM-LR_Cluster4_repl1.txt</v>
      </c>
      <c r="V213" s="16" t="str">
        <f t="shared" si="60"/>
        <v>init/env_file_CLUSTER04_REPL1_MPI-M-MPI-ESM-LR_historical.csv</v>
      </c>
      <c r="W213" s="16" t="str">
        <f t="shared" si="61"/>
        <v>init/env_grid_CLUSTER04_REPL1.asc</v>
      </c>
      <c r="X213" s="16" t="str">
        <f t="shared" si="62"/>
        <v>init/env_grid_CLUSTER04_REPL1.asc</v>
      </c>
      <c r="Y213" s="16" t="str">
        <f t="shared" si="63"/>
        <v>trees_CLUSTER04.csv</v>
      </c>
      <c r="Z213" s="16" t="str">
        <f t="shared" si="64"/>
        <v>saplings_CLUSTER04.csv</v>
      </c>
      <c r="AA213" s="16">
        <f t="shared" si="65"/>
        <v>350</v>
      </c>
      <c r="AB213" s="16" t="str">
        <f t="shared" si="66"/>
        <v>abe/no_mgmt.csv</v>
      </c>
      <c r="AC213" s="16" t="str">
        <f t="shared" si="67"/>
        <v>gis/WindModifier_cl4.asc</v>
      </c>
      <c r="AD213" s="16">
        <f t="shared" si="68"/>
        <v>6.8499999999999995E-4</v>
      </c>
      <c r="AE213" s="16" t="str">
        <f t="shared" si="71"/>
        <v>MPI-M-MPI-ESM-LR_historical_point26511</v>
      </c>
      <c r="AF213" s="16" t="str">
        <f t="shared" si="69"/>
        <v>wind_Events/cl4_repl1.txt</v>
      </c>
      <c r="AG213" s="16" t="str">
        <f t="shared" si="70"/>
        <v>MPI-M-MPI-ESM-LR_Cluster4_repl1</v>
      </c>
      <c r="AH213" s="16" t="s">
        <v>318</v>
      </c>
      <c r="AI213" s="16" t="s">
        <v>319</v>
      </c>
    </row>
    <row r="214" spans="1:35" ht="13.8">
      <c r="A214" s="7" t="str">
        <f t="shared" si="54"/>
        <v>NCC-NorESM1-M_Cluster4_repl1</v>
      </c>
      <c r="B214" s="8" t="s">
        <v>16</v>
      </c>
      <c r="C214" s="8"/>
      <c r="D214" s="9" t="s">
        <v>17</v>
      </c>
      <c r="E214" s="9" t="str">
        <f t="shared" si="55"/>
        <v>historical</v>
      </c>
      <c r="F214" s="8">
        <v>350</v>
      </c>
      <c r="G214" s="8" t="s">
        <v>60</v>
      </c>
      <c r="H214" s="8">
        <v>3</v>
      </c>
      <c r="I214" s="18">
        <v>6.8499999999999995E-4</v>
      </c>
      <c r="J214" s="8">
        <v>4</v>
      </c>
      <c r="K214" s="8" t="s">
        <v>159</v>
      </c>
      <c r="L214" s="8">
        <v>1</v>
      </c>
      <c r="M214" s="8"/>
      <c r="N214" s="8">
        <v>1</v>
      </c>
      <c r="O214" s="10" t="s">
        <v>21</v>
      </c>
      <c r="P214" s="17" t="s">
        <v>59</v>
      </c>
      <c r="Q214" s="10" t="str">
        <f t="shared" si="56"/>
        <v>NCC-NorESM1-M_Cluster4_repl1.sqlite</v>
      </c>
      <c r="R214" s="11">
        <f t="shared" si="57"/>
        <v>3</v>
      </c>
      <c r="S214" s="11">
        <v>0</v>
      </c>
      <c r="T214" s="16" t="str">
        <f t="shared" si="58"/>
        <v>climate_db_NCC-NorESM1-M_historical_v4.sqlite</v>
      </c>
      <c r="U214" s="16" t="str">
        <f t="shared" si="59"/>
        <v>log/NCC-NorESM1-M_Cluster4_repl1.txt</v>
      </c>
      <c r="V214" s="16" t="str">
        <f t="shared" si="60"/>
        <v>init/env_file_CLUSTER04_REPL1_NCC-NorESM1-M_historical.csv</v>
      </c>
      <c r="W214" s="16" t="str">
        <f t="shared" si="61"/>
        <v>init/env_grid_CLUSTER04_REPL1.asc</v>
      </c>
      <c r="X214" s="16" t="str">
        <f t="shared" si="62"/>
        <v>init/env_grid_CLUSTER04_REPL1.asc</v>
      </c>
      <c r="Y214" s="16" t="str">
        <f t="shared" si="63"/>
        <v>trees_CLUSTER04.csv</v>
      </c>
      <c r="Z214" s="16" t="str">
        <f t="shared" si="64"/>
        <v>saplings_CLUSTER04.csv</v>
      </c>
      <c r="AA214" s="16">
        <f t="shared" si="65"/>
        <v>350</v>
      </c>
      <c r="AB214" s="16" t="str">
        <f t="shared" si="66"/>
        <v>abe/no_mgmt.csv</v>
      </c>
      <c r="AC214" s="16" t="str">
        <f t="shared" si="67"/>
        <v>gis/WindModifier_cl4.asc</v>
      </c>
      <c r="AD214" s="16">
        <f t="shared" si="68"/>
        <v>6.8499999999999995E-4</v>
      </c>
      <c r="AE214" s="16" t="str">
        <f t="shared" si="71"/>
        <v>NCC-NorESM1-M_historical_point26511</v>
      </c>
      <c r="AF214" s="16" t="str">
        <f t="shared" si="69"/>
        <v>wind_Events/cl4_repl1.txt</v>
      </c>
      <c r="AG214" s="16" t="str">
        <f t="shared" si="70"/>
        <v>NCC-NorESM1-M_Cluster4_repl1</v>
      </c>
      <c r="AH214" s="16" t="s">
        <v>320</v>
      </c>
      <c r="AI214" s="16" t="s">
        <v>321</v>
      </c>
    </row>
    <row r="215" spans="1:35" ht="13.8">
      <c r="A215" s="7" t="str">
        <f t="shared" si="54"/>
        <v>ICHEC-EC-EARTH_Cluster4_repl2</v>
      </c>
      <c r="B215" s="8" t="s">
        <v>16</v>
      </c>
      <c r="C215" s="8"/>
      <c r="D215" s="9" t="s">
        <v>17</v>
      </c>
      <c r="E215" s="9" t="str">
        <f t="shared" si="55"/>
        <v>historical</v>
      </c>
      <c r="F215" s="8">
        <v>350</v>
      </c>
      <c r="G215" s="8" t="s">
        <v>18</v>
      </c>
      <c r="H215" s="8">
        <v>1</v>
      </c>
      <c r="I215" s="18">
        <v>6.8499999999999995E-4</v>
      </c>
      <c r="J215" s="8">
        <v>4</v>
      </c>
      <c r="K215" s="8" t="s">
        <v>159</v>
      </c>
      <c r="L215" s="8">
        <v>2</v>
      </c>
      <c r="M215" s="8"/>
      <c r="N215" s="8">
        <v>1</v>
      </c>
      <c r="O215" s="10" t="s">
        <v>21</v>
      </c>
      <c r="P215" s="17" t="s">
        <v>59</v>
      </c>
      <c r="Q215" s="10" t="str">
        <f t="shared" si="56"/>
        <v>ICHEC-EC-EARTH_Cluster4_repl2.sqlite</v>
      </c>
      <c r="R215" s="11">
        <f t="shared" si="57"/>
        <v>4</v>
      </c>
      <c r="S215" s="11">
        <v>0</v>
      </c>
      <c r="T215" s="16" t="str">
        <f t="shared" si="58"/>
        <v>climate_db_ICHEC-EC-EARTH_historical_v4.sqlite</v>
      </c>
      <c r="U215" s="16" t="str">
        <f t="shared" si="59"/>
        <v>log/ICHEC-EC-EARTH_Cluster4_repl2.txt</v>
      </c>
      <c r="V215" s="16" t="str">
        <f t="shared" si="60"/>
        <v>init/env_file_CLUSTER04_REPL2_ICHEC-EC-EARTH_historical.csv</v>
      </c>
      <c r="W215" s="16" t="str">
        <f t="shared" si="61"/>
        <v>init/env_grid_CLUSTER04_REPL2.asc</v>
      </c>
      <c r="X215" s="16" t="str">
        <f t="shared" si="62"/>
        <v>init/env_grid_CLUSTER04_REPL2.asc</v>
      </c>
      <c r="Y215" s="16" t="str">
        <f t="shared" si="63"/>
        <v>trees_CLUSTER04.csv</v>
      </c>
      <c r="Z215" s="16" t="str">
        <f t="shared" si="64"/>
        <v>saplings_CLUSTER04.csv</v>
      </c>
      <c r="AA215" s="16">
        <f t="shared" si="65"/>
        <v>350</v>
      </c>
      <c r="AB215" s="16" t="str">
        <f t="shared" si="66"/>
        <v>abe/no_mgmt.csv</v>
      </c>
      <c r="AC215" s="16" t="str">
        <f t="shared" si="67"/>
        <v>gis/WindModifier_cl4.asc</v>
      </c>
      <c r="AD215" s="16">
        <f t="shared" si="68"/>
        <v>6.8499999999999995E-4</v>
      </c>
      <c r="AE215" s="16" t="str">
        <f t="shared" si="71"/>
        <v>ICHEC-EC-EARTH_historical_point26511</v>
      </c>
      <c r="AF215" s="16" t="str">
        <f t="shared" si="69"/>
        <v>wind_Events/cl4_repl2.txt</v>
      </c>
      <c r="AG215" s="16" t="str">
        <f t="shared" si="70"/>
        <v>ICHEC-EC-EARTH_Cluster4_repl2</v>
      </c>
      <c r="AH215" s="16" t="s">
        <v>322</v>
      </c>
      <c r="AI215" s="16" t="s">
        <v>323</v>
      </c>
    </row>
    <row r="216" spans="1:35" ht="13.8">
      <c r="A216" s="7" t="str">
        <f t="shared" si="54"/>
        <v>MPI-M-MPI-ESM-LR_Cluster4_repl2</v>
      </c>
      <c r="B216" s="8" t="s">
        <v>16</v>
      </c>
      <c r="C216" s="8"/>
      <c r="D216" s="9" t="s">
        <v>17</v>
      </c>
      <c r="E216" s="9" t="str">
        <f t="shared" si="55"/>
        <v>historical</v>
      </c>
      <c r="F216" s="8">
        <v>350</v>
      </c>
      <c r="G216" s="8" t="s">
        <v>63</v>
      </c>
      <c r="H216" s="8">
        <v>2</v>
      </c>
      <c r="I216" s="18">
        <v>6.8499999999999995E-4</v>
      </c>
      <c r="J216" s="8">
        <v>4</v>
      </c>
      <c r="K216" s="8" t="s">
        <v>159</v>
      </c>
      <c r="L216" s="8">
        <v>2</v>
      </c>
      <c r="M216" s="8"/>
      <c r="N216" s="8">
        <v>1</v>
      </c>
      <c r="O216" s="10" t="s">
        <v>21</v>
      </c>
      <c r="P216" s="17" t="s">
        <v>59</v>
      </c>
      <c r="Q216" s="10" t="str">
        <f t="shared" si="56"/>
        <v>MPI-M-MPI-ESM-LR_Cluster4_repl2.sqlite</v>
      </c>
      <c r="R216" s="11">
        <f t="shared" si="57"/>
        <v>5</v>
      </c>
      <c r="S216" s="11">
        <v>0</v>
      </c>
      <c r="T216" s="16" t="str">
        <f t="shared" si="58"/>
        <v>climate_db_MPI-M-MPI-ESM-LR_historical_v4.sqlite</v>
      </c>
      <c r="U216" s="16" t="str">
        <f t="shared" si="59"/>
        <v>log/MPI-M-MPI-ESM-LR_Cluster4_repl2.txt</v>
      </c>
      <c r="V216" s="16" t="str">
        <f t="shared" si="60"/>
        <v>init/env_file_CLUSTER04_REPL2_MPI-M-MPI-ESM-LR_historical.csv</v>
      </c>
      <c r="W216" s="16" t="str">
        <f t="shared" si="61"/>
        <v>init/env_grid_CLUSTER04_REPL2.asc</v>
      </c>
      <c r="X216" s="16" t="str">
        <f t="shared" si="62"/>
        <v>init/env_grid_CLUSTER04_REPL2.asc</v>
      </c>
      <c r="Y216" s="16" t="str">
        <f t="shared" si="63"/>
        <v>trees_CLUSTER04.csv</v>
      </c>
      <c r="Z216" s="16" t="str">
        <f t="shared" si="64"/>
        <v>saplings_CLUSTER04.csv</v>
      </c>
      <c r="AA216" s="16">
        <f t="shared" si="65"/>
        <v>350</v>
      </c>
      <c r="AB216" s="16" t="str">
        <f t="shared" si="66"/>
        <v>abe/no_mgmt.csv</v>
      </c>
      <c r="AC216" s="16" t="str">
        <f t="shared" si="67"/>
        <v>gis/WindModifier_cl4.asc</v>
      </c>
      <c r="AD216" s="16">
        <f t="shared" si="68"/>
        <v>6.8499999999999995E-4</v>
      </c>
      <c r="AE216" s="16" t="str">
        <f t="shared" si="71"/>
        <v>MPI-M-MPI-ESM-LR_historical_point26511</v>
      </c>
      <c r="AF216" s="16" t="str">
        <f t="shared" si="69"/>
        <v>wind_Events/cl4_repl2.txt</v>
      </c>
      <c r="AG216" s="16" t="str">
        <f t="shared" si="70"/>
        <v>MPI-M-MPI-ESM-LR_Cluster4_repl2</v>
      </c>
      <c r="AH216" s="16" t="s">
        <v>324</v>
      </c>
      <c r="AI216" s="16" t="s">
        <v>325</v>
      </c>
    </row>
    <row r="217" spans="1:35" ht="13.8">
      <c r="A217" s="7" t="str">
        <f t="shared" si="54"/>
        <v>NCC-NorESM1-M_Cluster4_repl2</v>
      </c>
      <c r="B217" s="8" t="s">
        <v>16</v>
      </c>
      <c r="C217" s="8"/>
      <c r="D217" s="9" t="s">
        <v>17</v>
      </c>
      <c r="E217" s="9" t="str">
        <f t="shared" si="55"/>
        <v>historical</v>
      </c>
      <c r="F217" s="8">
        <v>350</v>
      </c>
      <c r="G217" s="8" t="s">
        <v>60</v>
      </c>
      <c r="H217" s="8">
        <v>3</v>
      </c>
      <c r="I217" s="18">
        <v>6.8499999999999995E-4</v>
      </c>
      <c r="J217" s="8">
        <v>4</v>
      </c>
      <c r="K217" s="8" t="s">
        <v>159</v>
      </c>
      <c r="L217" s="8">
        <v>2</v>
      </c>
      <c r="M217" s="8"/>
      <c r="N217" s="8">
        <v>1</v>
      </c>
      <c r="O217" s="10" t="s">
        <v>21</v>
      </c>
      <c r="P217" s="17" t="s">
        <v>59</v>
      </c>
      <c r="Q217" s="10" t="str">
        <f t="shared" si="56"/>
        <v>NCC-NorESM1-M_Cluster4_repl2.sqlite</v>
      </c>
      <c r="R217" s="11">
        <f t="shared" si="57"/>
        <v>6</v>
      </c>
      <c r="S217" s="11">
        <v>0</v>
      </c>
      <c r="T217" s="16" t="str">
        <f t="shared" si="58"/>
        <v>climate_db_NCC-NorESM1-M_historical_v4.sqlite</v>
      </c>
      <c r="U217" s="16" t="str">
        <f t="shared" si="59"/>
        <v>log/NCC-NorESM1-M_Cluster4_repl2.txt</v>
      </c>
      <c r="V217" s="16" t="str">
        <f t="shared" si="60"/>
        <v>init/env_file_CLUSTER04_REPL2_NCC-NorESM1-M_historical.csv</v>
      </c>
      <c r="W217" s="16" t="str">
        <f t="shared" si="61"/>
        <v>init/env_grid_CLUSTER04_REPL2.asc</v>
      </c>
      <c r="X217" s="16" t="str">
        <f t="shared" si="62"/>
        <v>init/env_grid_CLUSTER04_REPL2.asc</v>
      </c>
      <c r="Y217" s="16" t="str">
        <f t="shared" si="63"/>
        <v>trees_CLUSTER04.csv</v>
      </c>
      <c r="Z217" s="16" t="str">
        <f t="shared" si="64"/>
        <v>saplings_CLUSTER04.csv</v>
      </c>
      <c r="AA217" s="16">
        <f t="shared" si="65"/>
        <v>350</v>
      </c>
      <c r="AB217" s="16" t="str">
        <f t="shared" si="66"/>
        <v>abe/no_mgmt.csv</v>
      </c>
      <c r="AC217" s="16" t="str">
        <f t="shared" si="67"/>
        <v>gis/WindModifier_cl4.asc</v>
      </c>
      <c r="AD217" s="16">
        <f t="shared" si="68"/>
        <v>6.8499999999999995E-4</v>
      </c>
      <c r="AE217" s="16" t="str">
        <f t="shared" si="71"/>
        <v>NCC-NorESM1-M_historical_point26511</v>
      </c>
      <c r="AF217" s="16" t="str">
        <f t="shared" si="69"/>
        <v>wind_Events/cl4_repl2.txt</v>
      </c>
      <c r="AG217" s="16" t="str">
        <f t="shared" si="70"/>
        <v>NCC-NorESM1-M_Cluster4_repl2</v>
      </c>
      <c r="AH217" s="16" t="s">
        <v>326</v>
      </c>
      <c r="AI217" s="16" t="s">
        <v>327</v>
      </c>
    </row>
    <row r="218" spans="1:35" ht="13.8">
      <c r="A218" s="7" t="str">
        <f t="shared" si="54"/>
        <v>ICHEC-EC-EARTH_Cluster4_repl3</v>
      </c>
      <c r="B218" s="8" t="s">
        <v>16</v>
      </c>
      <c r="C218" s="8"/>
      <c r="D218" s="9" t="s">
        <v>17</v>
      </c>
      <c r="E218" s="9" t="str">
        <f t="shared" si="55"/>
        <v>historical</v>
      </c>
      <c r="F218" s="8">
        <v>350</v>
      </c>
      <c r="G218" s="8" t="s">
        <v>18</v>
      </c>
      <c r="H218" s="8">
        <v>1</v>
      </c>
      <c r="I218" s="18">
        <v>6.8499999999999995E-4</v>
      </c>
      <c r="J218" s="8">
        <v>4</v>
      </c>
      <c r="K218" s="8" t="s">
        <v>159</v>
      </c>
      <c r="L218" s="8">
        <v>3</v>
      </c>
      <c r="M218" s="8"/>
      <c r="N218" s="8">
        <v>1</v>
      </c>
      <c r="O218" s="10" t="s">
        <v>21</v>
      </c>
      <c r="P218" s="17" t="s">
        <v>59</v>
      </c>
      <c r="Q218" s="10" t="str">
        <f t="shared" si="56"/>
        <v>ICHEC-EC-EARTH_Cluster4_repl3.sqlite</v>
      </c>
      <c r="R218" s="11">
        <f t="shared" si="57"/>
        <v>7</v>
      </c>
      <c r="S218" s="11">
        <v>0</v>
      </c>
      <c r="T218" s="16" t="str">
        <f t="shared" si="58"/>
        <v>climate_db_ICHEC-EC-EARTH_historical_v4.sqlite</v>
      </c>
      <c r="U218" s="16" t="str">
        <f t="shared" si="59"/>
        <v>log/ICHEC-EC-EARTH_Cluster4_repl3.txt</v>
      </c>
      <c r="V218" s="16" t="str">
        <f t="shared" si="60"/>
        <v>init/env_file_CLUSTER04_REPL3_ICHEC-EC-EARTH_historical.csv</v>
      </c>
      <c r="W218" s="16" t="str">
        <f t="shared" si="61"/>
        <v>init/env_grid_CLUSTER04_REPL3.asc</v>
      </c>
      <c r="X218" s="16" t="str">
        <f t="shared" si="62"/>
        <v>init/env_grid_CLUSTER04_REPL3.asc</v>
      </c>
      <c r="Y218" s="16" t="str">
        <f t="shared" si="63"/>
        <v>trees_CLUSTER04.csv</v>
      </c>
      <c r="Z218" s="16" t="str">
        <f t="shared" si="64"/>
        <v>saplings_CLUSTER04.csv</v>
      </c>
      <c r="AA218" s="16">
        <f t="shared" si="65"/>
        <v>350</v>
      </c>
      <c r="AB218" s="16" t="str">
        <f t="shared" si="66"/>
        <v>abe/no_mgmt.csv</v>
      </c>
      <c r="AC218" s="16" t="str">
        <f t="shared" si="67"/>
        <v>gis/WindModifier_cl4.asc</v>
      </c>
      <c r="AD218" s="16">
        <f t="shared" si="68"/>
        <v>6.8499999999999995E-4</v>
      </c>
      <c r="AE218" s="16" t="str">
        <f t="shared" si="71"/>
        <v>ICHEC-EC-EARTH_historical_point26511</v>
      </c>
      <c r="AF218" s="16" t="str">
        <f t="shared" si="69"/>
        <v>wind_Events/cl4_repl3.txt</v>
      </c>
      <c r="AG218" s="16" t="str">
        <f t="shared" si="70"/>
        <v>ICHEC-EC-EARTH_Cluster4_repl3</v>
      </c>
      <c r="AH218" s="16" t="s">
        <v>256</v>
      </c>
      <c r="AI218" s="16" t="s">
        <v>257</v>
      </c>
    </row>
    <row r="219" spans="1:35" ht="13.8">
      <c r="A219" s="7" t="str">
        <f t="shared" si="54"/>
        <v>MPI-M-MPI-ESM-LR_Cluster4_repl3</v>
      </c>
      <c r="B219" s="8" t="s">
        <v>16</v>
      </c>
      <c r="C219" s="8"/>
      <c r="D219" s="9" t="s">
        <v>17</v>
      </c>
      <c r="E219" s="9" t="str">
        <f t="shared" si="55"/>
        <v>historical</v>
      </c>
      <c r="F219" s="8">
        <v>350</v>
      </c>
      <c r="G219" s="8" t="s">
        <v>63</v>
      </c>
      <c r="H219" s="8">
        <v>2</v>
      </c>
      <c r="I219" s="18">
        <v>6.8499999999999995E-4</v>
      </c>
      <c r="J219" s="8">
        <v>4</v>
      </c>
      <c r="K219" s="8" t="s">
        <v>159</v>
      </c>
      <c r="L219" s="8">
        <v>3</v>
      </c>
      <c r="M219" s="8"/>
      <c r="N219" s="8">
        <v>1</v>
      </c>
      <c r="O219" s="10" t="s">
        <v>21</v>
      </c>
      <c r="P219" s="17" t="s">
        <v>59</v>
      </c>
      <c r="Q219" s="10" t="str">
        <f t="shared" si="56"/>
        <v>MPI-M-MPI-ESM-LR_Cluster4_repl3.sqlite</v>
      </c>
      <c r="R219" s="11">
        <f t="shared" si="57"/>
        <v>8</v>
      </c>
      <c r="S219" s="11">
        <v>0</v>
      </c>
      <c r="T219" s="16" t="str">
        <f t="shared" si="58"/>
        <v>climate_db_MPI-M-MPI-ESM-LR_historical_v4.sqlite</v>
      </c>
      <c r="U219" s="16" t="str">
        <f t="shared" si="59"/>
        <v>log/MPI-M-MPI-ESM-LR_Cluster4_repl3.txt</v>
      </c>
      <c r="V219" s="16" t="str">
        <f t="shared" si="60"/>
        <v>init/env_file_CLUSTER04_REPL3_MPI-M-MPI-ESM-LR_historical.csv</v>
      </c>
      <c r="W219" s="16" t="str">
        <f t="shared" si="61"/>
        <v>init/env_grid_CLUSTER04_REPL3.asc</v>
      </c>
      <c r="X219" s="16" t="str">
        <f t="shared" si="62"/>
        <v>init/env_grid_CLUSTER04_REPL3.asc</v>
      </c>
      <c r="Y219" s="16" t="str">
        <f t="shared" si="63"/>
        <v>trees_CLUSTER04.csv</v>
      </c>
      <c r="Z219" s="16" t="str">
        <f t="shared" si="64"/>
        <v>saplings_CLUSTER04.csv</v>
      </c>
      <c r="AA219" s="16">
        <f t="shared" si="65"/>
        <v>350</v>
      </c>
      <c r="AB219" s="16" t="str">
        <f t="shared" si="66"/>
        <v>abe/no_mgmt.csv</v>
      </c>
      <c r="AC219" s="16" t="str">
        <f t="shared" si="67"/>
        <v>gis/WindModifier_cl4.asc</v>
      </c>
      <c r="AD219" s="16">
        <f t="shared" si="68"/>
        <v>6.8499999999999995E-4</v>
      </c>
      <c r="AE219" s="16" t="str">
        <f t="shared" si="71"/>
        <v>MPI-M-MPI-ESM-LR_historical_point26511</v>
      </c>
      <c r="AF219" s="16" t="str">
        <f t="shared" si="69"/>
        <v>wind_Events/cl4_repl3.txt</v>
      </c>
      <c r="AG219" s="16" t="str">
        <f t="shared" si="70"/>
        <v>MPI-M-MPI-ESM-LR_Cluster4_repl3</v>
      </c>
      <c r="AH219" s="16" t="s">
        <v>258</v>
      </c>
      <c r="AI219" s="16" t="s">
        <v>259</v>
      </c>
    </row>
    <row r="220" spans="1:35" ht="13.8">
      <c r="A220" s="7" t="str">
        <f t="shared" si="54"/>
        <v>NCC-NorESM1-M_Cluster4_repl3</v>
      </c>
      <c r="B220" s="8" t="s">
        <v>16</v>
      </c>
      <c r="C220" s="8"/>
      <c r="D220" s="9" t="s">
        <v>17</v>
      </c>
      <c r="E220" s="9" t="str">
        <f t="shared" si="55"/>
        <v>historical</v>
      </c>
      <c r="F220" s="8">
        <v>350</v>
      </c>
      <c r="G220" s="8" t="s">
        <v>60</v>
      </c>
      <c r="H220" s="8">
        <v>3</v>
      </c>
      <c r="I220" s="18">
        <v>6.8499999999999995E-4</v>
      </c>
      <c r="J220" s="8">
        <v>4</v>
      </c>
      <c r="K220" s="8" t="s">
        <v>159</v>
      </c>
      <c r="L220" s="8">
        <v>3</v>
      </c>
      <c r="M220" s="8"/>
      <c r="N220" s="8">
        <v>1</v>
      </c>
      <c r="O220" s="10" t="s">
        <v>21</v>
      </c>
      <c r="P220" s="17" t="s">
        <v>59</v>
      </c>
      <c r="Q220" s="10" t="str">
        <f t="shared" si="56"/>
        <v>NCC-NorESM1-M_Cluster4_repl3.sqlite</v>
      </c>
      <c r="R220" s="11">
        <f t="shared" si="57"/>
        <v>9</v>
      </c>
      <c r="S220" s="11">
        <v>0</v>
      </c>
      <c r="T220" s="16" t="str">
        <f t="shared" si="58"/>
        <v>climate_db_NCC-NorESM1-M_historical_v4.sqlite</v>
      </c>
      <c r="U220" s="16" t="str">
        <f t="shared" si="59"/>
        <v>log/NCC-NorESM1-M_Cluster4_repl3.txt</v>
      </c>
      <c r="V220" s="16" t="str">
        <f t="shared" si="60"/>
        <v>init/env_file_CLUSTER04_REPL3_NCC-NorESM1-M_historical.csv</v>
      </c>
      <c r="W220" s="16" t="str">
        <f t="shared" si="61"/>
        <v>init/env_grid_CLUSTER04_REPL3.asc</v>
      </c>
      <c r="X220" s="16" t="str">
        <f t="shared" si="62"/>
        <v>init/env_grid_CLUSTER04_REPL3.asc</v>
      </c>
      <c r="Y220" s="16" t="str">
        <f t="shared" si="63"/>
        <v>trees_CLUSTER04.csv</v>
      </c>
      <c r="Z220" s="16" t="str">
        <f t="shared" si="64"/>
        <v>saplings_CLUSTER04.csv</v>
      </c>
      <c r="AA220" s="16">
        <f t="shared" si="65"/>
        <v>350</v>
      </c>
      <c r="AB220" s="16" t="str">
        <f t="shared" si="66"/>
        <v>abe/no_mgmt.csv</v>
      </c>
      <c r="AC220" s="16" t="str">
        <f t="shared" si="67"/>
        <v>gis/WindModifier_cl4.asc</v>
      </c>
      <c r="AD220" s="16">
        <f t="shared" si="68"/>
        <v>6.8499999999999995E-4</v>
      </c>
      <c r="AE220" s="16" t="str">
        <f t="shared" si="71"/>
        <v>NCC-NorESM1-M_historical_point26511</v>
      </c>
      <c r="AF220" s="16" t="str">
        <f t="shared" si="69"/>
        <v>wind_Events/cl4_repl3.txt</v>
      </c>
      <c r="AG220" s="16" t="str">
        <f t="shared" si="70"/>
        <v>NCC-NorESM1-M_Cluster4_repl3</v>
      </c>
      <c r="AH220" s="16" t="s">
        <v>260</v>
      </c>
      <c r="AI220" s="16" t="s">
        <v>261</v>
      </c>
    </row>
    <row r="221" spans="1:35" ht="13.8">
      <c r="A221" s="7" t="str">
        <f t="shared" si="54"/>
        <v>ICHEC-EC-EARTH_Cluster4_repl4</v>
      </c>
      <c r="B221" s="8" t="s">
        <v>16</v>
      </c>
      <c r="C221" s="8"/>
      <c r="D221" s="9" t="s">
        <v>17</v>
      </c>
      <c r="E221" s="9" t="str">
        <f t="shared" si="55"/>
        <v>historical</v>
      </c>
      <c r="F221" s="8">
        <v>350</v>
      </c>
      <c r="G221" s="8" t="s">
        <v>18</v>
      </c>
      <c r="H221" s="8">
        <v>1</v>
      </c>
      <c r="I221" s="18">
        <v>6.8499999999999995E-4</v>
      </c>
      <c r="J221" s="8">
        <v>4</v>
      </c>
      <c r="K221" s="8" t="s">
        <v>159</v>
      </c>
      <c r="L221" s="8">
        <v>4</v>
      </c>
      <c r="M221" s="8"/>
      <c r="N221" s="8">
        <v>1</v>
      </c>
      <c r="O221" s="10" t="s">
        <v>21</v>
      </c>
      <c r="P221" s="17" t="s">
        <v>59</v>
      </c>
      <c r="Q221" s="10" t="str">
        <f t="shared" si="56"/>
        <v>ICHEC-EC-EARTH_Cluster4_repl4.sqlite</v>
      </c>
      <c r="R221" s="11">
        <f t="shared" si="57"/>
        <v>10</v>
      </c>
      <c r="S221" s="11">
        <v>0</v>
      </c>
      <c r="T221" s="16" t="str">
        <f t="shared" si="58"/>
        <v>climate_db_ICHEC-EC-EARTH_historical_v4.sqlite</v>
      </c>
      <c r="U221" s="16" t="str">
        <f t="shared" si="59"/>
        <v>log/ICHEC-EC-EARTH_Cluster4_repl4.txt</v>
      </c>
      <c r="V221" s="16" t="str">
        <f t="shared" si="60"/>
        <v>init/env_file_CLUSTER04_REPL4_ICHEC-EC-EARTH_historical.csv</v>
      </c>
      <c r="W221" s="16" t="str">
        <f t="shared" si="61"/>
        <v>init/env_grid_CLUSTER04_REPL4.asc</v>
      </c>
      <c r="X221" s="16" t="str">
        <f t="shared" si="62"/>
        <v>init/env_grid_CLUSTER04_REPL4.asc</v>
      </c>
      <c r="Y221" s="16" t="str">
        <f t="shared" si="63"/>
        <v>trees_CLUSTER04.csv</v>
      </c>
      <c r="Z221" s="16" t="str">
        <f t="shared" si="64"/>
        <v>saplings_CLUSTER04.csv</v>
      </c>
      <c r="AA221" s="16">
        <f t="shared" si="65"/>
        <v>350</v>
      </c>
      <c r="AB221" s="16" t="str">
        <f t="shared" si="66"/>
        <v>abe/no_mgmt.csv</v>
      </c>
      <c r="AC221" s="16" t="str">
        <f t="shared" si="67"/>
        <v>gis/WindModifier_cl4.asc</v>
      </c>
      <c r="AD221" s="16">
        <f t="shared" si="68"/>
        <v>6.8499999999999995E-4</v>
      </c>
      <c r="AE221" s="16" t="str">
        <f t="shared" si="71"/>
        <v>ICHEC-EC-EARTH_historical_point26511</v>
      </c>
      <c r="AF221" s="16" t="str">
        <f t="shared" si="69"/>
        <v>wind_Events/cl4_repl4.txt</v>
      </c>
      <c r="AG221" s="16" t="str">
        <f t="shared" si="70"/>
        <v>ICHEC-EC-EARTH_Cluster4_repl4</v>
      </c>
      <c r="AH221" s="16" t="s">
        <v>262</v>
      </c>
      <c r="AI221" s="16" t="s">
        <v>263</v>
      </c>
    </row>
    <row r="222" spans="1:35" ht="13.8">
      <c r="A222" s="7" t="str">
        <f t="shared" si="54"/>
        <v>MPI-M-MPI-ESM-LR_Cluster4_repl4</v>
      </c>
      <c r="B222" s="8" t="s">
        <v>16</v>
      </c>
      <c r="C222" s="8"/>
      <c r="D222" s="9" t="s">
        <v>17</v>
      </c>
      <c r="E222" s="9" t="str">
        <f t="shared" si="55"/>
        <v>historical</v>
      </c>
      <c r="F222" s="8">
        <v>350</v>
      </c>
      <c r="G222" s="8" t="s">
        <v>63</v>
      </c>
      <c r="H222" s="8">
        <v>2</v>
      </c>
      <c r="I222" s="18">
        <v>6.8499999999999995E-4</v>
      </c>
      <c r="J222" s="8">
        <v>4</v>
      </c>
      <c r="K222" s="8" t="s">
        <v>159</v>
      </c>
      <c r="L222" s="8">
        <v>4</v>
      </c>
      <c r="M222" s="8"/>
      <c r="N222" s="8">
        <v>1</v>
      </c>
      <c r="O222" s="10" t="s">
        <v>21</v>
      </c>
      <c r="P222" s="17" t="s">
        <v>59</v>
      </c>
      <c r="Q222" s="10" t="str">
        <f t="shared" si="56"/>
        <v>MPI-M-MPI-ESM-LR_Cluster4_repl4.sqlite</v>
      </c>
      <c r="R222" s="11">
        <f t="shared" si="57"/>
        <v>11</v>
      </c>
      <c r="S222" s="11">
        <v>0</v>
      </c>
      <c r="T222" s="16" t="str">
        <f t="shared" si="58"/>
        <v>climate_db_MPI-M-MPI-ESM-LR_historical_v4.sqlite</v>
      </c>
      <c r="U222" s="16" t="str">
        <f t="shared" si="59"/>
        <v>log/MPI-M-MPI-ESM-LR_Cluster4_repl4.txt</v>
      </c>
      <c r="V222" s="16" t="str">
        <f t="shared" si="60"/>
        <v>init/env_file_CLUSTER04_REPL4_MPI-M-MPI-ESM-LR_historical.csv</v>
      </c>
      <c r="W222" s="16" t="str">
        <f t="shared" si="61"/>
        <v>init/env_grid_CLUSTER04_REPL4.asc</v>
      </c>
      <c r="X222" s="16" t="str">
        <f t="shared" si="62"/>
        <v>init/env_grid_CLUSTER04_REPL4.asc</v>
      </c>
      <c r="Y222" s="16" t="str">
        <f t="shared" si="63"/>
        <v>trees_CLUSTER04.csv</v>
      </c>
      <c r="Z222" s="16" t="str">
        <f t="shared" si="64"/>
        <v>saplings_CLUSTER04.csv</v>
      </c>
      <c r="AA222" s="16">
        <f t="shared" si="65"/>
        <v>350</v>
      </c>
      <c r="AB222" s="16" t="str">
        <f t="shared" si="66"/>
        <v>abe/no_mgmt.csv</v>
      </c>
      <c r="AC222" s="16" t="str">
        <f t="shared" si="67"/>
        <v>gis/WindModifier_cl4.asc</v>
      </c>
      <c r="AD222" s="16">
        <f t="shared" si="68"/>
        <v>6.8499999999999995E-4</v>
      </c>
      <c r="AE222" s="16" t="str">
        <f t="shared" si="71"/>
        <v>MPI-M-MPI-ESM-LR_historical_point26511</v>
      </c>
      <c r="AF222" s="16" t="str">
        <f t="shared" si="69"/>
        <v>wind_Events/cl4_repl4.txt</v>
      </c>
      <c r="AG222" s="16" t="str">
        <f t="shared" si="70"/>
        <v>MPI-M-MPI-ESM-LR_Cluster4_repl4</v>
      </c>
      <c r="AH222" s="16" t="s">
        <v>264</v>
      </c>
      <c r="AI222" s="16" t="s">
        <v>265</v>
      </c>
    </row>
    <row r="223" spans="1:35" ht="13.8">
      <c r="A223" s="7" t="str">
        <f t="shared" si="54"/>
        <v>NCC-NorESM1-M_Cluster4_repl4</v>
      </c>
      <c r="B223" s="8" t="s">
        <v>16</v>
      </c>
      <c r="C223" s="8"/>
      <c r="D223" s="9" t="s">
        <v>17</v>
      </c>
      <c r="E223" s="9" t="str">
        <f t="shared" si="55"/>
        <v>historical</v>
      </c>
      <c r="F223" s="8">
        <v>350</v>
      </c>
      <c r="G223" s="8" t="s">
        <v>60</v>
      </c>
      <c r="H223" s="8">
        <v>3</v>
      </c>
      <c r="I223" s="18">
        <v>6.8499999999999995E-4</v>
      </c>
      <c r="J223" s="8">
        <v>4</v>
      </c>
      <c r="K223" s="8" t="s">
        <v>159</v>
      </c>
      <c r="L223" s="8">
        <v>4</v>
      </c>
      <c r="M223" s="8"/>
      <c r="N223" s="8">
        <v>1</v>
      </c>
      <c r="O223" s="10" t="s">
        <v>21</v>
      </c>
      <c r="P223" s="17" t="s">
        <v>59</v>
      </c>
      <c r="Q223" s="10" t="str">
        <f t="shared" si="56"/>
        <v>NCC-NorESM1-M_Cluster4_repl4.sqlite</v>
      </c>
      <c r="R223" s="11">
        <f t="shared" si="57"/>
        <v>12</v>
      </c>
      <c r="S223" s="11">
        <v>0</v>
      </c>
      <c r="T223" s="16" t="str">
        <f t="shared" si="58"/>
        <v>climate_db_NCC-NorESM1-M_historical_v4.sqlite</v>
      </c>
      <c r="U223" s="16" t="str">
        <f t="shared" si="59"/>
        <v>log/NCC-NorESM1-M_Cluster4_repl4.txt</v>
      </c>
      <c r="V223" s="16" t="str">
        <f t="shared" si="60"/>
        <v>init/env_file_CLUSTER04_REPL4_NCC-NorESM1-M_historical.csv</v>
      </c>
      <c r="W223" s="16" t="str">
        <f t="shared" si="61"/>
        <v>init/env_grid_CLUSTER04_REPL4.asc</v>
      </c>
      <c r="X223" s="16" t="str">
        <f t="shared" si="62"/>
        <v>init/env_grid_CLUSTER04_REPL4.asc</v>
      </c>
      <c r="Y223" s="16" t="str">
        <f t="shared" si="63"/>
        <v>trees_CLUSTER04.csv</v>
      </c>
      <c r="Z223" s="16" t="str">
        <f t="shared" si="64"/>
        <v>saplings_CLUSTER04.csv</v>
      </c>
      <c r="AA223" s="16">
        <f t="shared" si="65"/>
        <v>350</v>
      </c>
      <c r="AB223" s="16" t="str">
        <f t="shared" si="66"/>
        <v>abe/no_mgmt.csv</v>
      </c>
      <c r="AC223" s="16" t="str">
        <f t="shared" si="67"/>
        <v>gis/WindModifier_cl4.asc</v>
      </c>
      <c r="AD223" s="16">
        <f t="shared" si="68"/>
        <v>6.8499999999999995E-4</v>
      </c>
      <c r="AE223" s="16" t="str">
        <f t="shared" si="71"/>
        <v>NCC-NorESM1-M_historical_point26511</v>
      </c>
      <c r="AF223" s="16" t="str">
        <f t="shared" si="69"/>
        <v>wind_Events/cl4_repl4.txt</v>
      </c>
      <c r="AG223" s="16" t="str">
        <f t="shared" si="70"/>
        <v>NCC-NorESM1-M_Cluster4_repl4</v>
      </c>
      <c r="AH223" s="16" t="s">
        <v>266</v>
      </c>
      <c r="AI223" s="16" t="s">
        <v>267</v>
      </c>
    </row>
    <row r="224" spans="1:35" ht="13.8">
      <c r="A224" s="7" t="str">
        <f t="shared" si="54"/>
        <v>ICHEC-EC-EARTH_Cluster4_repl5</v>
      </c>
      <c r="B224" s="8" t="s">
        <v>16</v>
      </c>
      <c r="C224" s="8"/>
      <c r="D224" s="9" t="s">
        <v>17</v>
      </c>
      <c r="E224" s="9" t="str">
        <f t="shared" si="55"/>
        <v>historical</v>
      </c>
      <c r="F224" s="8">
        <v>350</v>
      </c>
      <c r="G224" s="8" t="s">
        <v>18</v>
      </c>
      <c r="H224" s="8">
        <v>1</v>
      </c>
      <c r="I224" s="18">
        <v>6.8499999999999995E-4</v>
      </c>
      <c r="J224" s="8">
        <v>4</v>
      </c>
      <c r="K224" s="8" t="s">
        <v>159</v>
      </c>
      <c r="L224" s="8">
        <v>5</v>
      </c>
      <c r="M224" s="8"/>
      <c r="N224" s="8">
        <v>1</v>
      </c>
      <c r="O224" s="10" t="s">
        <v>21</v>
      </c>
      <c r="P224" s="17" t="s">
        <v>59</v>
      </c>
      <c r="Q224" s="10" t="str">
        <f t="shared" si="56"/>
        <v>ICHEC-EC-EARTH_Cluster4_repl5.sqlite</v>
      </c>
      <c r="R224" s="11">
        <f t="shared" si="57"/>
        <v>13</v>
      </c>
      <c r="S224" s="11">
        <v>0</v>
      </c>
      <c r="T224" s="16" t="str">
        <f t="shared" si="58"/>
        <v>climate_db_ICHEC-EC-EARTH_historical_v4.sqlite</v>
      </c>
      <c r="U224" s="16" t="str">
        <f t="shared" si="59"/>
        <v>log/ICHEC-EC-EARTH_Cluster4_repl5.txt</v>
      </c>
      <c r="V224" s="16" t="str">
        <f t="shared" si="60"/>
        <v>init/env_file_CLUSTER04_REPL5_ICHEC-EC-EARTH_historical.csv</v>
      </c>
      <c r="W224" s="16" t="str">
        <f t="shared" si="61"/>
        <v>init/env_grid_CLUSTER04_REPL5.asc</v>
      </c>
      <c r="X224" s="16" t="str">
        <f t="shared" si="62"/>
        <v>init/env_grid_CLUSTER04_REPL5.asc</v>
      </c>
      <c r="Y224" s="16" t="str">
        <f t="shared" si="63"/>
        <v>trees_CLUSTER04.csv</v>
      </c>
      <c r="Z224" s="16" t="str">
        <f t="shared" si="64"/>
        <v>saplings_CLUSTER04.csv</v>
      </c>
      <c r="AA224" s="16">
        <f t="shared" si="65"/>
        <v>350</v>
      </c>
      <c r="AB224" s="16" t="str">
        <f t="shared" si="66"/>
        <v>abe/no_mgmt.csv</v>
      </c>
      <c r="AC224" s="16" t="str">
        <f t="shared" si="67"/>
        <v>gis/WindModifier_cl4.asc</v>
      </c>
      <c r="AD224" s="16">
        <f t="shared" si="68"/>
        <v>6.8499999999999995E-4</v>
      </c>
      <c r="AE224" s="16" t="str">
        <f t="shared" si="71"/>
        <v>ICHEC-EC-EARTH_historical_point26511</v>
      </c>
      <c r="AF224" s="16" t="str">
        <f t="shared" si="69"/>
        <v>wind_Events/cl4_repl5.txt</v>
      </c>
      <c r="AG224" s="16" t="str">
        <f t="shared" si="70"/>
        <v>ICHEC-EC-EARTH_Cluster4_repl5</v>
      </c>
      <c r="AH224" s="16" t="s">
        <v>268</v>
      </c>
      <c r="AI224" s="16" t="s">
        <v>269</v>
      </c>
    </row>
    <row r="225" spans="1:35" ht="13.8">
      <c r="A225" s="7" t="str">
        <f t="shared" si="54"/>
        <v>MPI-M-MPI-ESM-LR_Cluster4_repl5</v>
      </c>
      <c r="B225" s="8" t="s">
        <v>16</v>
      </c>
      <c r="C225" s="8"/>
      <c r="D225" s="9" t="s">
        <v>17</v>
      </c>
      <c r="E225" s="9" t="str">
        <f t="shared" si="55"/>
        <v>historical</v>
      </c>
      <c r="F225" s="8">
        <v>350</v>
      </c>
      <c r="G225" s="8" t="s">
        <v>63</v>
      </c>
      <c r="H225" s="8">
        <v>2</v>
      </c>
      <c r="I225" s="18">
        <v>6.8499999999999995E-4</v>
      </c>
      <c r="J225" s="8">
        <v>4</v>
      </c>
      <c r="K225" s="8" t="s">
        <v>159</v>
      </c>
      <c r="L225" s="8">
        <v>5</v>
      </c>
      <c r="M225" s="8"/>
      <c r="N225" s="8">
        <v>1</v>
      </c>
      <c r="O225" s="10" t="s">
        <v>21</v>
      </c>
      <c r="P225" s="17" t="s">
        <v>59</v>
      </c>
      <c r="Q225" s="10" t="str">
        <f t="shared" si="56"/>
        <v>MPI-M-MPI-ESM-LR_Cluster4_repl5.sqlite</v>
      </c>
      <c r="R225" s="11">
        <f t="shared" si="57"/>
        <v>14</v>
      </c>
      <c r="S225" s="11">
        <v>0</v>
      </c>
      <c r="T225" s="16" t="str">
        <f t="shared" si="58"/>
        <v>climate_db_MPI-M-MPI-ESM-LR_historical_v4.sqlite</v>
      </c>
      <c r="U225" s="16" t="str">
        <f t="shared" si="59"/>
        <v>log/MPI-M-MPI-ESM-LR_Cluster4_repl5.txt</v>
      </c>
      <c r="V225" s="16" t="str">
        <f t="shared" si="60"/>
        <v>init/env_file_CLUSTER04_REPL5_MPI-M-MPI-ESM-LR_historical.csv</v>
      </c>
      <c r="W225" s="16" t="str">
        <f t="shared" si="61"/>
        <v>init/env_grid_CLUSTER04_REPL5.asc</v>
      </c>
      <c r="X225" s="16" t="str">
        <f t="shared" si="62"/>
        <v>init/env_grid_CLUSTER04_REPL5.asc</v>
      </c>
      <c r="Y225" s="16" t="str">
        <f t="shared" si="63"/>
        <v>trees_CLUSTER04.csv</v>
      </c>
      <c r="Z225" s="16" t="str">
        <f t="shared" si="64"/>
        <v>saplings_CLUSTER04.csv</v>
      </c>
      <c r="AA225" s="16">
        <f t="shared" si="65"/>
        <v>350</v>
      </c>
      <c r="AB225" s="16" t="str">
        <f t="shared" si="66"/>
        <v>abe/no_mgmt.csv</v>
      </c>
      <c r="AC225" s="16" t="str">
        <f t="shared" si="67"/>
        <v>gis/WindModifier_cl4.asc</v>
      </c>
      <c r="AD225" s="16">
        <f t="shared" si="68"/>
        <v>6.8499999999999995E-4</v>
      </c>
      <c r="AE225" s="16" t="str">
        <f t="shared" si="71"/>
        <v>MPI-M-MPI-ESM-LR_historical_point26511</v>
      </c>
      <c r="AF225" s="16" t="str">
        <f t="shared" si="69"/>
        <v>wind_Events/cl4_repl5.txt</v>
      </c>
      <c r="AG225" s="16" t="str">
        <f t="shared" si="70"/>
        <v>MPI-M-MPI-ESM-LR_Cluster4_repl5</v>
      </c>
      <c r="AH225" s="16" t="s">
        <v>270</v>
      </c>
      <c r="AI225" s="16" t="s">
        <v>271</v>
      </c>
    </row>
    <row r="226" spans="1:35" ht="13.8">
      <c r="A226" s="7" t="str">
        <f t="shared" si="54"/>
        <v>NCC-NorESM1-M_Cluster4_repl5</v>
      </c>
      <c r="B226" s="8" t="s">
        <v>16</v>
      </c>
      <c r="C226" s="8"/>
      <c r="D226" s="9" t="s">
        <v>17</v>
      </c>
      <c r="E226" s="9" t="str">
        <f t="shared" si="55"/>
        <v>historical</v>
      </c>
      <c r="F226" s="8">
        <v>350</v>
      </c>
      <c r="G226" s="8" t="s">
        <v>60</v>
      </c>
      <c r="H226" s="8">
        <v>3</v>
      </c>
      <c r="I226" s="18">
        <v>6.8499999999999995E-4</v>
      </c>
      <c r="J226" s="8">
        <v>4</v>
      </c>
      <c r="K226" s="8" t="s">
        <v>159</v>
      </c>
      <c r="L226" s="8">
        <v>5</v>
      </c>
      <c r="M226" s="8"/>
      <c r="N226" s="8">
        <v>1</v>
      </c>
      <c r="O226" s="10" t="s">
        <v>21</v>
      </c>
      <c r="P226" s="17" t="s">
        <v>59</v>
      </c>
      <c r="Q226" s="10" t="str">
        <f t="shared" si="56"/>
        <v>NCC-NorESM1-M_Cluster4_repl5.sqlite</v>
      </c>
      <c r="R226" s="11">
        <f t="shared" si="57"/>
        <v>15</v>
      </c>
      <c r="S226" s="11">
        <v>0</v>
      </c>
      <c r="T226" s="16" t="str">
        <f t="shared" si="58"/>
        <v>climate_db_NCC-NorESM1-M_historical_v4.sqlite</v>
      </c>
      <c r="U226" s="16" t="str">
        <f t="shared" si="59"/>
        <v>log/NCC-NorESM1-M_Cluster4_repl5.txt</v>
      </c>
      <c r="V226" s="16" t="str">
        <f t="shared" si="60"/>
        <v>init/env_file_CLUSTER04_REPL5_NCC-NorESM1-M_historical.csv</v>
      </c>
      <c r="W226" s="16" t="str">
        <f t="shared" si="61"/>
        <v>init/env_grid_CLUSTER04_REPL5.asc</v>
      </c>
      <c r="X226" s="16" t="str">
        <f t="shared" si="62"/>
        <v>init/env_grid_CLUSTER04_REPL5.asc</v>
      </c>
      <c r="Y226" s="16" t="str">
        <f t="shared" si="63"/>
        <v>trees_CLUSTER04.csv</v>
      </c>
      <c r="Z226" s="16" t="str">
        <f t="shared" si="64"/>
        <v>saplings_CLUSTER04.csv</v>
      </c>
      <c r="AA226" s="16">
        <f t="shared" si="65"/>
        <v>350</v>
      </c>
      <c r="AB226" s="16" t="str">
        <f t="shared" si="66"/>
        <v>abe/no_mgmt.csv</v>
      </c>
      <c r="AC226" s="16" t="str">
        <f t="shared" si="67"/>
        <v>gis/WindModifier_cl4.asc</v>
      </c>
      <c r="AD226" s="16">
        <f t="shared" si="68"/>
        <v>6.8499999999999995E-4</v>
      </c>
      <c r="AE226" s="16" t="str">
        <f t="shared" si="71"/>
        <v>NCC-NorESM1-M_historical_point26511</v>
      </c>
      <c r="AF226" s="16" t="str">
        <f t="shared" si="69"/>
        <v>wind_Events/cl4_repl5.txt</v>
      </c>
      <c r="AG226" s="16" t="str">
        <f t="shared" si="70"/>
        <v>NCC-NorESM1-M_Cluster4_repl5</v>
      </c>
      <c r="AH226" s="16" t="s">
        <v>272</v>
      </c>
      <c r="AI226" s="16" t="s">
        <v>273</v>
      </c>
    </row>
    <row r="227" spans="1:35" ht="13.8">
      <c r="A227" s="7" t="str">
        <f t="shared" si="54"/>
        <v>ICHEC-EC-EARTH_Cluster5_repl1</v>
      </c>
      <c r="B227" s="8" t="s">
        <v>16</v>
      </c>
      <c r="C227" s="8"/>
      <c r="D227" s="9" t="s">
        <v>17</v>
      </c>
      <c r="E227" s="9" t="str">
        <f t="shared" si="55"/>
        <v>historical</v>
      </c>
      <c r="F227" s="8">
        <v>350</v>
      </c>
      <c r="G227" s="8" t="s">
        <v>18</v>
      </c>
      <c r="H227" s="8">
        <v>1</v>
      </c>
      <c r="I227" s="18">
        <v>6.8499999999999995E-4</v>
      </c>
      <c r="J227" s="8">
        <v>5</v>
      </c>
      <c r="K227" s="8" t="s">
        <v>160</v>
      </c>
      <c r="L227" s="8">
        <v>1</v>
      </c>
      <c r="M227" s="8"/>
      <c r="N227" s="8">
        <v>1</v>
      </c>
      <c r="O227" s="10" t="s">
        <v>21</v>
      </c>
      <c r="P227" s="17" t="s">
        <v>59</v>
      </c>
      <c r="Q227" s="10" t="str">
        <f t="shared" si="56"/>
        <v>ICHEC-EC-EARTH_Cluster5_repl1.sqlite</v>
      </c>
      <c r="R227" s="11">
        <f t="shared" si="57"/>
        <v>1</v>
      </c>
      <c r="S227" s="11">
        <v>0</v>
      </c>
      <c r="T227" s="16" t="str">
        <f t="shared" si="58"/>
        <v>climate_db_ICHEC-EC-EARTH_historical_v4.sqlite</v>
      </c>
      <c r="U227" s="16" t="str">
        <f t="shared" si="59"/>
        <v>log/ICHEC-EC-EARTH_Cluster5_repl1.txt</v>
      </c>
      <c r="V227" s="16" t="str">
        <f t="shared" si="60"/>
        <v>init/env_file_CLUSTER05_REPL1_ICHEC-EC-EARTH_historical.csv</v>
      </c>
      <c r="W227" s="16" t="str">
        <f t="shared" si="61"/>
        <v>init/env_grid_CLUSTER05_REPL1.asc</v>
      </c>
      <c r="X227" s="16" t="str">
        <f t="shared" si="62"/>
        <v>init/env_grid_CLUSTER05_REPL1.asc</v>
      </c>
      <c r="Y227" s="16" t="str">
        <f t="shared" si="63"/>
        <v>trees_CLUSTER05.csv</v>
      </c>
      <c r="Z227" s="16" t="str">
        <f t="shared" si="64"/>
        <v>saplings_CLUSTER05.csv</v>
      </c>
      <c r="AA227" s="16">
        <f t="shared" si="65"/>
        <v>350</v>
      </c>
      <c r="AB227" s="16" t="str">
        <f t="shared" si="66"/>
        <v>abe/no_mgmt.csv</v>
      </c>
      <c r="AC227" s="16" t="str">
        <f t="shared" si="67"/>
        <v>gis/WindModifier_cl5.asc</v>
      </c>
      <c r="AD227" s="16">
        <f t="shared" si="68"/>
        <v>6.8499999999999995E-4</v>
      </c>
      <c r="AE227" s="16" t="str">
        <f t="shared" si="71"/>
        <v>ICHEC-EC-EARTH_historical_point31053</v>
      </c>
      <c r="AF227" s="16" t="str">
        <f t="shared" si="69"/>
        <v>wind_Events/cl5_repl1.txt</v>
      </c>
      <c r="AG227" s="16" t="str">
        <f t="shared" si="70"/>
        <v>ICHEC-EC-EARTH_Cluster5_repl1</v>
      </c>
      <c r="AH227" s="16" t="s">
        <v>274</v>
      </c>
      <c r="AI227" s="16" t="s">
        <v>275</v>
      </c>
    </row>
    <row r="228" spans="1:35" ht="13.8">
      <c r="A228" s="7" t="str">
        <f t="shared" si="54"/>
        <v>MPI-M-MPI-ESM-LR_Cluster5_repl1</v>
      </c>
      <c r="B228" s="8" t="s">
        <v>16</v>
      </c>
      <c r="C228" s="8"/>
      <c r="D228" s="9" t="s">
        <v>17</v>
      </c>
      <c r="E228" s="9" t="str">
        <f t="shared" si="55"/>
        <v>historical</v>
      </c>
      <c r="F228" s="8">
        <v>350</v>
      </c>
      <c r="G228" s="8" t="s">
        <v>63</v>
      </c>
      <c r="H228" s="8">
        <v>2</v>
      </c>
      <c r="I228" s="18">
        <v>6.8499999999999995E-4</v>
      </c>
      <c r="J228" s="8">
        <v>5</v>
      </c>
      <c r="K228" s="8" t="s">
        <v>169</v>
      </c>
      <c r="L228" s="8">
        <v>1</v>
      </c>
      <c r="M228" s="8"/>
      <c r="N228" s="8">
        <v>1</v>
      </c>
      <c r="O228" s="10" t="s">
        <v>21</v>
      </c>
      <c r="P228" s="17" t="s">
        <v>59</v>
      </c>
      <c r="Q228" s="10" t="str">
        <f t="shared" si="56"/>
        <v>MPI-M-MPI-ESM-LR_Cluster5_repl1.sqlite</v>
      </c>
      <c r="R228" s="11">
        <f t="shared" si="57"/>
        <v>2</v>
      </c>
      <c r="S228" s="11">
        <v>0</v>
      </c>
      <c r="T228" s="16" t="str">
        <f t="shared" si="58"/>
        <v>climate_db_MPI-M-MPI-ESM-LR_historical_v4.sqlite</v>
      </c>
      <c r="U228" s="16" t="str">
        <f t="shared" si="59"/>
        <v>log/MPI-M-MPI-ESM-LR_Cluster5_repl1.txt</v>
      </c>
      <c r="V228" s="16" t="str">
        <f t="shared" si="60"/>
        <v>init/env_file_CLUSTER05_REPL1_MPI-M-MPI-ESM-LR_historical.csv</v>
      </c>
      <c r="W228" s="16" t="str">
        <f t="shared" si="61"/>
        <v>init/env_grid_CLUSTER05_REPL1.asc</v>
      </c>
      <c r="X228" s="16" t="str">
        <f t="shared" si="62"/>
        <v>init/env_grid_CLUSTER05_REPL1.asc</v>
      </c>
      <c r="Y228" s="16" t="str">
        <f t="shared" si="63"/>
        <v>trees_CLUSTER05.csv</v>
      </c>
      <c r="Z228" s="16" t="str">
        <f t="shared" si="64"/>
        <v>saplings_CLUSTER05.csv</v>
      </c>
      <c r="AA228" s="16">
        <f t="shared" si="65"/>
        <v>350</v>
      </c>
      <c r="AB228" s="16" t="str">
        <f t="shared" si="66"/>
        <v>abe/no_mgmt.csv</v>
      </c>
      <c r="AC228" s="16" t="str">
        <f t="shared" si="67"/>
        <v>gis/WindModifier_cl5.asc</v>
      </c>
      <c r="AD228" s="16">
        <f t="shared" si="68"/>
        <v>6.8499999999999995E-4</v>
      </c>
      <c r="AE228" s="16" t="str">
        <f t="shared" si="71"/>
        <v>MPI-M-MPI-ESM-LR_historical_point31054</v>
      </c>
      <c r="AF228" s="16" t="str">
        <f t="shared" si="69"/>
        <v>wind_Events/cl5_repl1.txt</v>
      </c>
      <c r="AG228" s="16" t="str">
        <f t="shared" si="70"/>
        <v>MPI-M-MPI-ESM-LR_Cluster5_repl1</v>
      </c>
      <c r="AH228" s="16" t="s">
        <v>276</v>
      </c>
      <c r="AI228" s="16" t="s">
        <v>277</v>
      </c>
    </row>
    <row r="229" spans="1:35" ht="13.8">
      <c r="A229" s="7" t="str">
        <f t="shared" si="54"/>
        <v>NCC-NorESM1-M_Cluster5_repl1</v>
      </c>
      <c r="B229" s="8" t="s">
        <v>16</v>
      </c>
      <c r="C229" s="8"/>
      <c r="D229" s="9" t="s">
        <v>17</v>
      </c>
      <c r="E229" s="9" t="str">
        <f t="shared" si="55"/>
        <v>historical</v>
      </c>
      <c r="F229" s="8">
        <v>350</v>
      </c>
      <c r="G229" s="8" t="s">
        <v>60</v>
      </c>
      <c r="H229" s="8">
        <v>3</v>
      </c>
      <c r="I229" s="18">
        <v>6.8499999999999995E-4</v>
      </c>
      <c r="J229" s="8">
        <v>5</v>
      </c>
      <c r="K229" s="8" t="s">
        <v>175</v>
      </c>
      <c r="L229" s="8">
        <v>1</v>
      </c>
      <c r="M229" s="8"/>
      <c r="N229" s="8">
        <v>1</v>
      </c>
      <c r="O229" s="10" t="s">
        <v>21</v>
      </c>
      <c r="P229" s="17" t="s">
        <v>59</v>
      </c>
      <c r="Q229" s="10" t="str">
        <f t="shared" si="56"/>
        <v>NCC-NorESM1-M_Cluster5_repl1.sqlite</v>
      </c>
      <c r="R229" s="11">
        <f t="shared" si="57"/>
        <v>3</v>
      </c>
      <c r="S229" s="11">
        <v>0</v>
      </c>
      <c r="T229" s="16" t="str">
        <f t="shared" si="58"/>
        <v>climate_db_NCC-NorESM1-M_historical_v4.sqlite</v>
      </c>
      <c r="U229" s="16" t="str">
        <f t="shared" si="59"/>
        <v>log/NCC-NorESM1-M_Cluster5_repl1.txt</v>
      </c>
      <c r="V229" s="16" t="str">
        <f t="shared" si="60"/>
        <v>init/env_file_CLUSTER05_REPL1_NCC-NorESM1-M_historical.csv</v>
      </c>
      <c r="W229" s="16" t="str">
        <f t="shared" si="61"/>
        <v>init/env_grid_CLUSTER05_REPL1.asc</v>
      </c>
      <c r="X229" s="16" t="str">
        <f t="shared" si="62"/>
        <v>init/env_grid_CLUSTER05_REPL1.asc</v>
      </c>
      <c r="Y229" s="16" t="str">
        <f t="shared" si="63"/>
        <v>trees_CLUSTER05.csv</v>
      </c>
      <c r="Z229" s="16" t="str">
        <f t="shared" si="64"/>
        <v>saplings_CLUSTER05.csv</v>
      </c>
      <c r="AA229" s="16">
        <f t="shared" si="65"/>
        <v>350</v>
      </c>
      <c r="AB229" s="16" t="str">
        <f t="shared" si="66"/>
        <v>abe/no_mgmt.csv</v>
      </c>
      <c r="AC229" s="16" t="str">
        <f t="shared" si="67"/>
        <v>gis/WindModifier_cl5.asc</v>
      </c>
      <c r="AD229" s="16">
        <f t="shared" si="68"/>
        <v>6.8499999999999995E-4</v>
      </c>
      <c r="AE229" s="16" t="str">
        <f t="shared" si="71"/>
        <v>NCC-NorESM1-M_historical_point29016</v>
      </c>
      <c r="AF229" s="16" t="str">
        <f t="shared" si="69"/>
        <v>wind_Events/cl5_repl1.txt</v>
      </c>
      <c r="AG229" s="16" t="str">
        <f t="shared" si="70"/>
        <v>NCC-NorESM1-M_Cluster5_repl1</v>
      </c>
      <c r="AH229" s="16" t="s">
        <v>278</v>
      </c>
      <c r="AI229" s="16" t="s">
        <v>279</v>
      </c>
    </row>
    <row r="230" spans="1:35" ht="13.8">
      <c r="A230" s="7" t="str">
        <f t="shared" si="54"/>
        <v>ICHEC-EC-EARTH_Cluster5_repl2</v>
      </c>
      <c r="B230" s="8" t="s">
        <v>16</v>
      </c>
      <c r="C230" s="8"/>
      <c r="D230" s="9" t="s">
        <v>17</v>
      </c>
      <c r="E230" s="9" t="str">
        <f t="shared" si="55"/>
        <v>historical</v>
      </c>
      <c r="F230" s="8">
        <v>350</v>
      </c>
      <c r="G230" s="8" t="s">
        <v>18</v>
      </c>
      <c r="H230" s="8">
        <v>1</v>
      </c>
      <c r="I230" s="18">
        <v>6.8499999999999995E-4</v>
      </c>
      <c r="J230" s="8">
        <v>5</v>
      </c>
      <c r="K230" s="8" t="s">
        <v>160</v>
      </c>
      <c r="L230" s="8">
        <v>2</v>
      </c>
      <c r="M230" s="8"/>
      <c r="N230" s="8">
        <v>1</v>
      </c>
      <c r="O230" s="10" t="s">
        <v>21</v>
      </c>
      <c r="P230" s="17" t="s">
        <v>59</v>
      </c>
      <c r="Q230" s="10" t="str">
        <f t="shared" si="56"/>
        <v>ICHEC-EC-EARTH_Cluster5_repl2.sqlite</v>
      </c>
      <c r="R230" s="11">
        <f t="shared" si="57"/>
        <v>4</v>
      </c>
      <c r="S230" s="11">
        <v>0</v>
      </c>
      <c r="T230" s="16" t="str">
        <f t="shared" si="58"/>
        <v>climate_db_ICHEC-EC-EARTH_historical_v4.sqlite</v>
      </c>
      <c r="U230" s="16" t="str">
        <f t="shared" si="59"/>
        <v>log/ICHEC-EC-EARTH_Cluster5_repl2.txt</v>
      </c>
      <c r="V230" s="16" t="str">
        <f t="shared" si="60"/>
        <v>init/env_file_CLUSTER05_REPL2_ICHEC-EC-EARTH_historical.csv</v>
      </c>
      <c r="W230" s="16" t="str">
        <f t="shared" si="61"/>
        <v>init/env_grid_CLUSTER05_REPL2.asc</v>
      </c>
      <c r="X230" s="16" t="str">
        <f t="shared" si="62"/>
        <v>init/env_grid_CLUSTER05_REPL2.asc</v>
      </c>
      <c r="Y230" s="16" t="str">
        <f t="shared" si="63"/>
        <v>trees_CLUSTER05.csv</v>
      </c>
      <c r="Z230" s="16" t="str">
        <f t="shared" si="64"/>
        <v>saplings_CLUSTER05.csv</v>
      </c>
      <c r="AA230" s="16">
        <f t="shared" si="65"/>
        <v>350</v>
      </c>
      <c r="AB230" s="16" t="str">
        <f t="shared" si="66"/>
        <v>abe/no_mgmt.csv</v>
      </c>
      <c r="AC230" s="16" t="str">
        <f t="shared" si="67"/>
        <v>gis/WindModifier_cl5.asc</v>
      </c>
      <c r="AD230" s="16">
        <f t="shared" si="68"/>
        <v>6.8499999999999995E-4</v>
      </c>
      <c r="AE230" s="16" t="str">
        <f t="shared" si="71"/>
        <v>ICHEC-EC-EARTH_historical_point31053</v>
      </c>
      <c r="AF230" s="16" t="str">
        <f t="shared" si="69"/>
        <v>wind_Events/cl5_repl2.txt</v>
      </c>
      <c r="AG230" s="16" t="str">
        <f t="shared" si="70"/>
        <v>ICHEC-EC-EARTH_Cluster5_repl2</v>
      </c>
      <c r="AH230" s="16" t="s">
        <v>280</v>
      </c>
      <c r="AI230" s="16" t="s">
        <v>281</v>
      </c>
    </row>
    <row r="231" spans="1:35" ht="13.8">
      <c r="A231" s="7" t="str">
        <f t="shared" si="54"/>
        <v>MPI-M-MPI-ESM-LR_Cluster5_repl2</v>
      </c>
      <c r="B231" s="8" t="s">
        <v>16</v>
      </c>
      <c r="C231" s="8"/>
      <c r="D231" s="9" t="s">
        <v>17</v>
      </c>
      <c r="E231" s="9" t="str">
        <f t="shared" si="55"/>
        <v>historical</v>
      </c>
      <c r="F231" s="8">
        <v>350</v>
      </c>
      <c r="G231" s="8" t="s">
        <v>63</v>
      </c>
      <c r="H231" s="8">
        <v>2</v>
      </c>
      <c r="I231" s="18">
        <v>6.8499999999999995E-4</v>
      </c>
      <c r="J231" s="8">
        <v>5</v>
      </c>
      <c r="K231" s="8" t="s">
        <v>169</v>
      </c>
      <c r="L231" s="8">
        <v>2</v>
      </c>
      <c r="M231" s="8"/>
      <c r="N231" s="8">
        <v>1</v>
      </c>
      <c r="O231" s="10" t="s">
        <v>21</v>
      </c>
      <c r="P231" s="17" t="s">
        <v>59</v>
      </c>
      <c r="Q231" s="10" t="str">
        <f t="shared" si="56"/>
        <v>MPI-M-MPI-ESM-LR_Cluster5_repl2.sqlite</v>
      </c>
      <c r="R231" s="11">
        <f t="shared" si="57"/>
        <v>5</v>
      </c>
      <c r="S231" s="11">
        <v>0</v>
      </c>
      <c r="T231" s="16" t="str">
        <f t="shared" si="58"/>
        <v>climate_db_MPI-M-MPI-ESM-LR_historical_v4.sqlite</v>
      </c>
      <c r="U231" s="16" t="str">
        <f t="shared" si="59"/>
        <v>log/MPI-M-MPI-ESM-LR_Cluster5_repl2.txt</v>
      </c>
      <c r="V231" s="16" t="str">
        <f t="shared" si="60"/>
        <v>init/env_file_CLUSTER05_REPL2_MPI-M-MPI-ESM-LR_historical.csv</v>
      </c>
      <c r="W231" s="16" t="str">
        <f t="shared" si="61"/>
        <v>init/env_grid_CLUSTER05_REPL2.asc</v>
      </c>
      <c r="X231" s="16" t="str">
        <f t="shared" si="62"/>
        <v>init/env_grid_CLUSTER05_REPL2.asc</v>
      </c>
      <c r="Y231" s="16" t="str">
        <f t="shared" si="63"/>
        <v>trees_CLUSTER05.csv</v>
      </c>
      <c r="Z231" s="16" t="str">
        <f t="shared" si="64"/>
        <v>saplings_CLUSTER05.csv</v>
      </c>
      <c r="AA231" s="16">
        <f t="shared" si="65"/>
        <v>350</v>
      </c>
      <c r="AB231" s="16" t="str">
        <f t="shared" si="66"/>
        <v>abe/no_mgmt.csv</v>
      </c>
      <c r="AC231" s="16" t="str">
        <f t="shared" si="67"/>
        <v>gis/WindModifier_cl5.asc</v>
      </c>
      <c r="AD231" s="16">
        <f t="shared" si="68"/>
        <v>6.8499999999999995E-4</v>
      </c>
      <c r="AE231" s="16" t="str">
        <f t="shared" si="71"/>
        <v>MPI-M-MPI-ESM-LR_historical_point31054</v>
      </c>
      <c r="AF231" s="16" t="str">
        <f t="shared" si="69"/>
        <v>wind_Events/cl5_repl2.txt</v>
      </c>
      <c r="AG231" s="16" t="str">
        <f t="shared" si="70"/>
        <v>MPI-M-MPI-ESM-LR_Cluster5_repl2</v>
      </c>
      <c r="AH231" s="16" t="s">
        <v>282</v>
      </c>
      <c r="AI231" s="16" t="s">
        <v>283</v>
      </c>
    </row>
    <row r="232" spans="1:35" ht="13.8">
      <c r="A232" s="7" t="str">
        <f t="shared" si="54"/>
        <v>NCC-NorESM1-M_Cluster5_repl2</v>
      </c>
      <c r="B232" s="8" t="s">
        <v>16</v>
      </c>
      <c r="C232" s="8"/>
      <c r="D232" s="9" t="s">
        <v>17</v>
      </c>
      <c r="E232" s="9" t="str">
        <f t="shared" si="55"/>
        <v>historical</v>
      </c>
      <c r="F232" s="8">
        <v>350</v>
      </c>
      <c r="G232" s="8" t="s">
        <v>60</v>
      </c>
      <c r="H232" s="8">
        <v>3</v>
      </c>
      <c r="I232" s="18">
        <v>6.8499999999999995E-4</v>
      </c>
      <c r="J232" s="8">
        <v>5</v>
      </c>
      <c r="K232" s="8" t="s">
        <v>175</v>
      </c>
      <c r="L232" s="8">
        <v>2</v>
      </c>
      <c r="M232" s="8"/>
      <c r="N232" s="8">
        <v>1</v>
      </c>
      <c r="O232" s="10" t="s">
        <v>21</v>
      </c>
      <c r="P232" s="17" t="s">
        <v>59</v>
      </c>
      <c r="Q232" s="10" t="str">
        <f t="shared" si="56"/>
        <v>NCC-NorESM1-M_Cluster5_repl2.sqlite</v>
      </c>
      <c r="R232" s="11">
        <f t="shared" si="57"/>
        <v>6</v>
      </c>
      <c r="S232" s="11">
        <v>0</v>
      </c>
      <c r="T232" s="16" t="str">
        <f t="shared" si="58"/>
        <v>climate_db_NCC-NorESM1-M_historical_v4.sqlite</v>
      </c>
      <c r="U232" s="16" t="str">
        <f t="shared" si="59"/>
        <v>log/NCC-NorESM1-M_Cluster5_repl2.txt</v>
      </c>
      <c r="V232" s="16" t="str">
        <f t="shared" si="60"/>
        <v>init/env_file_CLUSTER05_REPL2_NCC-NorESM1-M_historical.csv</v>
      </c>
      <c r="W232" s="16" t="str">
        <f t="shared" si="61"/>
        <v>init/env_grid_CLUSTER05_REPL2.asc</v>
      </c>
      <c r="X232" s="16" t="str">
        <f t="shared" si="62"/>
        <v>init/env_grid_CLUSTER05_REPL2.asc</v>
      </c>
      <c r="Y232" s="16" t="str">
        <f t="shared" si="63"/>
        <v>trees_CLUSTER05.csv</v>
      </c>
      <c r="Z232" s="16" t="str">
        <f t="shared" si="64"/>
        <v>saplings_CLUSTER05.csv</v>
      </c>
      <c r="AA232" s="16">
        <f t="shared" si="65"/>
        <v>350</v>
      </c>
      <c r="AB232" s="16" t="str">
        <f t="shared" si="66"/>
        <v>abe/no_mgmt.csv</v>
      </c>
      <c r="AC232" s="16" t="str">
        <f t="shared" si="67"/>
        <v>gis/WindModifier_cl5.asc</v>
      </c>
      <c r="AD232" s="16">
        <f t="shared" si="68"/>
        <v>6.8499999999999995E-4</v>
      </c>
      <c r="AE232" s="16" t="str">
        <f t="shared" si="71"/>
        <v>NCC-NorESM1-M_historical_point29016</v>
      </c>
      <c r="AF232" s="16" t="str">
        <f t="shared" si="69"/>
        <v>wind_Events/cl5_repl2.txt</v>
      </c>
      <c r="AG232" s="16" t="str">
        <f t="shared" si="70"/>
        <v>NCC-NorESM1-M_Cluster5_repl2</v>
      </c>
      <c r="AH232" s="16" t="s">
        <v>284</v>
      </c>
      <c r="AI232" s="16" t="s">
        <v>285</v>
      </c>
    </row>
    <row r="233" spans="1:35" ht="13.8">
      <c r="A233" s="7" t="str">
        <f t="shared" si="54"/>
        <v>ICHEC-EC-EARTH_Cluster5_repl3</v>
      </c>
      <c r="B233" s="8" t="s">
        <v>16</v>
      </c>
      <c r="C233" s="8"/>
      <c r="D233" s="9" t="s">
        <v>17</v>
      </c>
      <c r="E233" s="9" t="str">
        <f t="shared" si="55"/>
        <v>historical</v>
      </c>
      <c r="F233" s="8">
        <v>350</v>
      </c>
      <c r="G233" s="8" t="s">
        <v>18</v>
      </c>
      <c r="H233" s="8">
        <v>1</v>
      </c>
      <c r="I233" s="18">
        <v>6.8499999999999995E-4</v>
      </c>
      <c r="J233" s="8">
        <v>5</v>
      </c>
      <c r="K233" s="8" t="s">
        <v>160</v>
      </c>
      <c r="L233" s="8">
        <v>3</v>
      </c>
      <c r="M233" s="8"/>
      <c r="N233" s="8">
        <v>1</v>
      </c>
      <c r="O233" s="10" t="s">
        <v>21</v>
      </c>
      <c r="P233" s="17" t="s">
        <v>59</v>
      </c>
      <c r="Q233" s="10" t="str">
        <f t="shared" si="56"/>
        <v>ICHEC-EC-EARTH_Cluster5_repl3.sqlite</v>
      </c>
      <c r="R233" s="11">
        <f t="shared" si="57"/>
        <v>7</v>
      </c>
      <c r="S233" s="11">
        <v>0</v>
      </c>
      <c r="T233" s="16" t="str">
        <f t="shared" si="58"/>
        <v>climate_db_ICHEC-EC-EARTH_historical_v4.sqlite</v>
      </c>
      <c r="U233" s="16" t="str">
        <f t="shared" si="59"/>
        <v>log/ICHEC-EC-EARTH_Cluster5_repl3.txt</v>
      </c>
      <c r="V233" s="16" t="str">
        <f t="shared" si="60"/>
        <v>init/env_file_CLUSTER05_REPL3_ICHEC-EC-EARTH_historical.csv</v>
      </c>
      <c r="W233" s="16" t="str">
        <f t="shared" si="61"/>
        <v>init/env_grid_CLUSTER05_REPL3.asc</v>
      </c>
      <c r="X233" s="16" t="str">
        <f t="shared" si="62"/>
        <v>init/env_grid_CLUSTER05_REPL3.asc</v>
      </c>
      <c r="Y233" s="16" t="str">
        <f t="shared" si="63"/>
        <v>trees_CLUSTER05.csv</v>
      </c>
      <c r="Z233" s="16" t="str">
        <f t="shared" si="64"/>
        <v>saplings_CLUSTER05.csv</v>
      </c>
      <c r="AA233" s="16">
        <f t="shared" si="65"/>
        <v>350</v>
      </c>
      <c r="AB233" s="16" t="str">
        <f t="shared" si="66"/>
        <v>abe/no_mgmt.csv</v>
      </c>
      <c r="AC233" s="16" t="str">
        <f t="shared" si="67"/>
        <v>gis/WindModifier_cl5.asc</v>
      </c>
      <c r="AD233" s="16">
        <f t="shared" si="68"/>
        <v>6.8499999999999995E-4</v>
      </c>
      <c r="AE233" s="16" t="str">
        <f t="shared" si="71"/>
        <v>ICHEC-EC-EARTH_historical_point31053</v>
      </c>
      <c r="AF233" s="16" t="str">
        <f t="shared" si="69"/>
        <v>wind_Events/cl5_repl3.txt</v>
      </c>
      <c r="AG233" s="16" t="str">
        <f t="shared" si="70"/>
        <v>ICHEC-EC-EARTH_Cluster5_repl3</v>
      </c>
      <c r="AH233" s="16" t="s">
        <v>286</v>
      </c>
      <c r="AI233" s="16" t="s">
        <v>287</v>
      </c>
    </row>
    <row r="234" spans="1:35" ht="13.8">
      <c r="A234" s="7" t="str">
        <f t="shared" si="54"/>
        <v>MPI-M-MPI-ESM-LR_Cluster5_repl3</v>
      </c>
      <c r="B234" s="8" t="s">
        <v>16</v>
      </c>
      <c r="C234" s="8"/>
      <c r="D234" s="9" t="s">
        <v>17</v>
      </c>
      <c r="E234" s="9" t="str">
        <f t="shared" si="55"/>
        <v>historical</v>
      </c>
      <c r="F234" s="8">
        <v>350</v>
      </c>
      <c r="G234" s="8" t="s">
        <v>63</v>
      </c>
      <c r="H234" s="8">
        <v>2</v>
      </c>
      <c r="I234" s="18">
        <v>6.8499999999999995E-4</v>
      </c>
      <c r="J234" s="8">
        <v>5</v>
      </c>
      <c r="K234" s="8" t="s">
        <v>169</v>
      </c>
      <c r="L234" s="8">
        <v>3</v>
      </c>
      <c r="M234" s="8"/>
      <c r="N234" s="8">
        <v>1</v>
      </c>
      <c r="O234" s="10" t="s">
        <v>21</v>
      </c>
      <c r="P234" s="17" t="s">
        <v>59</v>
      </c>
      <c r="Q234" s="10" t="str">
        <f t="shared" si="56"/>
        <v>MPI-M-MPI-ESM-LR_Cluster5_repl3.sqlite</v>
      </c>
      <c r="R234" s="11">
        <f t="shared" si="57"/>
        <v>8</v>
      </c>
      <c r="S234" s="11">
        <v>0</v>
      </c>
      <c r="T234" s="16" t="str">
        <f t="shared" si="58"/>
        <v>climate_db_MPI-M-MPI-ESM-LR_historical_v4.sqlite</v>
      </c>
      <c r="U234" s="16" t="str">
        <f t="shared" si="59"/>
        <v>log/MPI-M-MPI-ESM-LR_Cluster5_repl3.txt</v>
      </c>
      <c r="V234" s="16" t="str">
        <f t="shared" si="60"/>
        <v>init/env_file_CLUSTER05_REPL3_MPI-M-MPI-ESM-LR_historical.csv</v>
      </c>
      <c r="W234" s="16" t="str">
        <f t="shared" si="61"/>
        <v>init/env_grid_CLUSTER05_REPL3.asc</v>
      </c>
      <c r="X234" s="16" t="str">
        <f t="shared" si="62"/>
        <v>init/env_grid_CLUSTER05_REPL3.asc</v>
      </c>
      <c r="Y234" s="16" t="str">
        <f t="shared" si="63"/>
        <v>trees_CLUSTER05.csv</v>
      </c>
      <c r="Z234" s="16" t="str">
        <f t="shared" si="64"/>
        <v>saplings_CLUSTER05.csv</v>
      </c>
      <c r="AA234" s="16">
        <f t="shared" si="65"/>
        <v>350</v>
      </c>
      <c r="AB234" s="16" t="str">
        <f t="shared" si="66"/>
        <v>abe/no_mgmt.csv</v>
      </c>
      <c r="AC234" s="16" t="str">
        <f t="shared" si="67"/>
        <v>gis/WindModifier_cl5.asc</v>
      </c>
      <c r="AD234" s="16">
        <f t="shared" si="68"/>
        <v>6.8499999999999995E-4</v>
      </c>
      <c r="AE234" s="16" t="str">
        <f t="shared" si="71"/>
        <v>MPI-M-MPI-ESM-LR_historical_point31054</v>
      </c>
      <c r="AF234" s="16" t="str">
        <f t="shared" si="69"/>
        <v>wind_Events/cl5_repl3.txt</v>
      </c>
      <c r="AG234" s="16" t="str">
        <f t="shared" si="70"/>
        <v>MPI-M-MPI-ESM-LR_Cluster5_repl3</v>
      </c>
      <c r="AH234" s="16" t="s">
        <v>288</v>
      </c>
      <c r="AI234" s="16" t="s">
        <v>289</v>
      </c>
    </row>
    <row r="235" spans="1:35" ht="13.8">
      <c r="A235" s="7" t="str">
        <f t="shared" si="54"/>
        <v>NCC-NorESM1-M_Cluster5_repl3</v>
      </c>
      <c r="B235" s="8" t="s">
        <v>16</v>
      </c>
      <c r="C235" s="8"/>
      <c r="D235" s="9" t="s">
        <v>17</v>
      </c>
      <c r="E235" s="9" t="str">
        <f t="shared" si="55"/>
        <v>historical</v>
      </c>
      <c r="F235" s="8">
        <v>350</v>
      </c>
      <c r="G235" s="8" t="s">
        <v>60</v>
      </c>
      <c r="H235" s="8">
        <v>3</v>
      </c>
      <c r="I235" s="18">
        <v>6.8499999999999995E-4</v>
      </c>
      <c r="J235" s="8">
        <v>5</v>
      </c>
      <c r="K235" s="8" t="s">
        <v>175</v>
      </c>
      <c r="L235" s="8">
        <v>3</v>
      </c>
      <c r="M235" s="8"/>
      <c r="N235" s="8">
        <v>1</v>
      </c>
      <c r="O235" s="10" t="s">
        <v>21</v>
      </c>
      <c r="P235" s="17" t="s">
        <v>59</v>
      </c>
      <c r="Q235" s="10" t="str">
        <f t="shared" si="56"/>
        <v>NCC-NorESM1-M_Cluster5_repl3.sqlite</v>
      </c>
      <c r="R235" s="11">
        <f t="shared" si="57"/>
        <v>9</v>
      </c>
      <c r="S235" s="11">
        <v>0</v>
      </c>
      <c r="T235" s="16" t="str">
        <f t="shared" si="58"/>
        <v>climate_db_NCC-NorESM1-M_historical_v4.sqlite</v>
      </c>
      <c r="U235" s="16" t="str">
        <f t="shared" si="59"/>
        <v>log/NCC-NorESM1-M_Cluster5_repl3.txt</v>
      </c>
      <c r="V235" s="16" t="str">
        <f t="shared" si="60"/>
        <v>init/env_file_CLUSTER05_REPL3_NCC-NorESM1-M_historical.csv</v>
      </c>
      <c r="W235" s="16" t="str">
        <f t="shared" si="61"/>
        <v>init/env_grid_CLUSTER05_REPL3.asc</v>
      </c>
      <c r="X235" s="16" t="str">
        <f t="shared" si="62"/>
        <v>init/env_grid_CLUSTER05_REPL3.asc</v>
      </c>
      <c r="Y235" s="16" t="str">
        <f t="shared" si="63"/>
        <v>trees_CLUSTER05.csv</v>
      </c>
      <c r="Z235" s="16" t="str">
        <f t="shared" si="64"/>
        <v>saplings_CLUSTER05.csv</v>
      </c>
      <c r="AA235" s="16">
        <f t="shared" si="65"/>
        <v>350</v>
      </c>
      <c r="AB235" s="16" t="str">
        <f t="shared" si="66"/>
        <v>abe/no_mgmt.csv</v>
      </c>
      <c r="AC235" s="16" t="str">
        <f t="shared" si="67"/>
        <v>gis/WindModifier_cl5.asc</v>
      </c>
      <c r="AD235" s="16">
        <f t="shared" si="68"/>
        <v>6.8499999999999995E-4</v>
      </c>
      <c r="AE235" s="16" t="str">
        <f t="shared" si="71"/>
        <v>NCC-NorESM1-M_historical_point29016</v>
      </c>
      <c r="AF235" s="16" t="str">
        <f t="shared" si="69"/>
        <v>wind_Events/cl5_repl3.txt</v>
      </c>
      <c r="AG235" s="16" t="str">
        <f t="shared" si="70"/>
        <v>NCC-NorESM1-M_Cluster5_repl3</v>
      </c>
      <c r="AH235" s="16" t="s">
        <v>290</v>
      </c>
      <c r="AI235" s="16" t="s">
        <v>291</v>
      </c>
    </row>
    <row r="236" spans="1:35" ht="13.8">
      <c r="A236" s="7" t="str">
        <f t="shared" si="54"/>
        <v>ICHEC-EC-EARTH_Cluster5_repl4</v>
      </c>
      <c r="B236" s="8" t="s">
        <v>16</v>
      </c>
      <c r="C236" s="8"/>
      <c r="D236" s="9" t="s">
        <v>17</v>
      </c>
      <c r="E236" s="9" t="str">
        <f t="shared" si="55"/>
        <v>historical</v>
      </c>
      <c r="F236" s="8">
        <v>350</v>
      </c>
      <c r="G236" s="8" t="s">
        <v>18</v>
      </c>
      <c r="H236" s="8">
        <v>1</v>
      </c>
      <c r="I236" s="18">
        <v>6.8499999999999995E-4</v>
      </c>
      <c r="J236" s="8">
        <v>5</v>
      </c>
      <c r="K236" s="8" t="s">
        <v>160</v>
      </c>
      <c r="L236" s="8">
        <v>4</v>
      </c>
      <c r="M236" s="8"/>
      <c r="N236" s="8">
        <v>1</v>
      </c>
      <c r="O236" s="10" t="s">
        <v>21</v>
      </c>
      <c r="P236" s="17" t="s">
        <v>59</v>
      </c>
      <c r="Q236" s="10" t="str">
        <f t="shared" si="56"/>
        <v>ICHEC-EC-EARTH_Cluster5_repl4.sqlite</v>
      </c>
      <c r="R236" s="11">
        <f t="shared" si="57"/>
        <v>10</v>
      </c>
      <c r="S236" s="11">
        <v>0</v>
      </c>
      <c r="T236" s="16" t="str">
        <f t="shared" si="58"/>
        <v>climate_db_ICHEC-EC-EARTH_historical_v4.sqlite</v>
      </c>
      <c r="U236" s="16" t="str">
        <f t="shared" si="59"/>
        <v>log/ICHEC-EC-EARTH_Cluster5_repl4.txt</v>
      </c>
      <c r="V236" s="16" t="str">
        <f t="shared" si="60"/>
        <v>init/env_file_CLUSTER05_REPL4_ICHEC-EC-EARTH_historical.csv</v>
      </c>
      <c r="W236" s="16" t="str">
        <f t="shared" si="61"/>
        <v>init/env_grid_CLUSTER05_REPL4.asc</v>
      </c>
      <c r="X236" s="16" t="str">
        <f t="shared" si="62"/>
        <v>init/env_grid_CLUSTER05_REPL4.asc</v>
      </c>
      <c r="Y236" s="16" t="str">
        <f t="shared" si="63"/>
        <v>trees_CLUSTER05.csv</v>
      </c>
      <c r="Z236" s="16" t="str">
        <f t="shared" si="64"/>
        <v>saplings_CLUSTER05.csv</v>
      </c>
      <c r="AA236" s="16">
        <f t="shared" si="65"/>
        <v>350</v>
      </c>
      <c r="AB236" s="16" t="str">
        <f t="shared" si="66"/>
        <v>abe/no_mgmt.csv</v>
      </c>
      <c r="AC236" s="16" t="str">
        <f t="shared" si="67"/>
        <v>gis/WindModifier_cl5.asc</v>
      </c>
      <c r="AD236" s="16">
        <f t="shared" si="68"/>
        <v>6.8499999999999995E-4</v>
      </c>
      <c r="AE236" s="16" t="str">
        <f t="shared" si="71"/>
        <v>ICHEC-EC-EARTH_historical_point31053</v>
      </c>
      <c r="AF236" s="16" t="str">
        <f t="shared" si="69"/>
        <v>wind_Events/cl5_repl4.txt</v>
      </c>
      <c r="AG236" s="16" t="str">
        <f t="shared" si="70"/>
        <v>ICHEC-EC-EARTH_Cluster5_repl4</v>
      </c>
      <c r="AH236" s="16" t="s">
        <v>292</v>
      </c>
      <c r="AI236" s="16" t="s">
        <v>293</v>
      </c>
    </row>
    <row r="237" spans="1:35" ht="13.8">
      <c r="A237" s="7" t="str">
        <f t="shared" si="54"/>
        <v>MPI-M-MPI-ESM-LR_Cluster5_repl4</v>
      </c>
      <c r="B237" s="8" t="s">
        <v>16</v>
      </c>
      <c r="C237" s="8"/>
      <c r="D237" s="9" t="s">
        <v>17</v>
      </c>
      <c r="E237" s="9" t="str">
        <f t="shared" si="55"/>
        <v>historical</v>
      </c>
      <c r="F237" s="8">
        <v>350</v>
      </c>
      <c r="G237" s="8" t="s">
        <v>63</v>
      </c>
      <c r="H237" s="8">
        <v>2</v>
      </c>
      <c r="I237" s="18">
        <v>6.8499999999999995E-4</v>
      </c>
      <c r="J237" s="8">
        <v>5</v>
      </c>
      <c r="K237" s="8" t="s">
        <v>169</v>
      </c>
      <c r="L237" s="8">
        <v>4</v>
      </c>
      <c r="M237" s="8"/>
      <c r="N237" s="8">
        <v>1</v>
      </c>
      <c r="O237" s="10" t="s">
        <v>21</v>
      </c>
      <c r="P237" s="17" t="s">
        <v>59</v>
      </c>
      <c r="Q237" s="10" t="str">
        <f t="shared" si="56"/>
        <v>MPI-M-MPI-ESM-LR_Cluster5_repl4.sqlite</v>
      </c>
      <c r="R237" s="11">
        <f t="shared" si="57"/>
        <v>11</v>
      </c>
      <c r="S237" s="11">
        <v>0</v>
      </c>
      <c r="T237" s="16" t="str">
        <f t="shared" si="58"/>
        <v>climate_db_MPI-M-MPI-ESM-LR_historical_v4.sqlite</v>
      </c>
      <c r="U237" s="16" t="str">
        <f t="shared" si="59"/>
        <v>log/MPI-M-MPI-ESM-LR_Cluster5_repl4.txt</v>
      </c>
      <c r="V237" s="16" t="str">
        <f t="shared" si="60"/>
        <v>init/env_file_CLUSTER05_REPL4_MPI-M-MPI-ESM-LR_historical.csv</v>
      </c>
      <c r="W237" s="16" t="str">
        <f t="shared" si="61"/>
        <v>init/env_grid_CLUSTER05_REPL4.asc</v>
      </c>
      <c r="X237" s="16" t="str">
        <f t="shared" si="62"/>
        <v>init/env_grid_CLUSTER05_REPL4.asc</v>
      </c>
      <c r="Y237" s="16" t="str">
        <f t="shared" si="63"/>
        <v>trees_CLUSTER05.csv</v>
      </c>
      <c r="Z237" s="16" t="str">
        <f t="shared" si="64"/>
        <v>saplings_CLUSTER05.csv</v>
      </c>
      <c r="AA237" s="16">
        <f t="shared" si="65"/>
        <v>350</v>
      </c>
      <c r="AB237" s="16" t="str">
        <f t="shared" si="66"/>
        <v>abe/no_mgmt.csv</v>
      </c>
      <c r="AC237" s="16" t="str">
        <f t="shared" si="67"/>
        <v>gis/WindModifier_cl5.asc</v>
      </c>
      <c r="AD237" s="16">
        <f t="shared" si="68"/>
        <v>6.8499999999999995E-4</v>
      </c>
      <c r="AE237" s="16" t="str">
        <f t="shared" si="71"/>
        <v>MPI-M-MPI-ESM-LR_historical_point31054</v>
      </c>
      <c r="AF237" s="16" t="str">
        <f t="shared" si="69"/>
        <v>wind_Events/cl5_repl4.txt</v>
      </c>
      <c r="AG237" s="16" t="str">
        <f t="shared" si="70"/>
        <v>MPI-M-MPI-ESM-LR_Cluster5_repl4</v>
      </c>
      <c r="AH237" s="16" t="s">
        <v>294</v>
      </c>
      <c r="AI237" s="16" t="s">
        <v>295</v>
      </c>
    </row>
    <row r="238" spans="1:35" ht="13.8">
      <c r="A238" s="7" t="str">
        <f t="shared" si="54"/>
        <v>NCC-NorESM1-M_Cluster5_repl4</v>
      </c>
      <c r="B238" s="8" t="s">
        <v>16</v>
      </c>
      <c r="C238" s="8"/>
      <c r="D238" s="9" t="s">
        <v>17</v>
      </c>
      <c r="E238" s="9" t="str">
        <f t="shared" si="55"/>
        <v>historical</v>
      </c>
      <c r="F238" s="8">
        <v>350</v>
      </c>
      <c r="G238" s="8" t="s">
        <v>60</v>
      </c>
      <c r="H238" s="8">
        <v>3</v>
      </c>
      <c r="I238" s="18">
        <v>6.8499999999999995E-4</v>
      </c>
      <c r="J238" s="8">
        <v>5</v>
      </c>
      <c r="K238" s="8" t="s">
        <v>175</v>
      </c>
      <c r="L238" s="8">
        <v>4</v>
      </c>
      <c r="M238" s="8"/>
      <c r="N238" s="8">
        <v>1</v>
      </c>
      <c r="O238" s="10" t="s">
        <v>21</v>
      </c>
      <c r="P238" s="17" t="s">
        <v>59</v>
      </c>
      <c r="Q238" s="10" t="str">
        <f t="shared" si="56"/>
        <v>NCC-NorESM1-M_Cluster5_repl4.sqlite</v>
      </c>
      <c r="R238" s="11">
        <f t="shared" si="57"/>
        <v>12</v>
      </c>
      <c r="S238" s="11">
        <v>0</v>
      </c>
      <c r="T238" s="16" t="str">
        <f t="shared" si="58"/>
        <v>climate_db_NCC-NorESM1-M_historical_v4.sqlite</v>
      </c>
      <c r="U238" s="16" t="str">
        <f t="shared" si="59"/>
        <v>log/NCC-NorESM1-M_Cluster5_repl4.txt</v>
      </c>
      <c r="V238" s="16" t="str">
        <f t="shared" si="60"/>
        <v>init/env_file_CLUSTER05_REPL4_NCC-NorESM1-M_historical.csv</v>
      </c>
      <c r="W238" s="16" t="str">
        <f t="shared" si="61"/>
        <v>init/env_grid_CLUSTER05_REPL4.asc</v>
      </c>
      <c r="X238" s="16" t="str">
        <f t="shared" si="62"/>
        <v>init/env_grid_CLUSTER05_REPL4.asc</v>
      </c>
      <c r="Y238" s="16" t="str">
        <f t="shared" si="63"/>
        <v>trees_CLUSTER05.csv</v>
      </c>
      <c r="Z238" s="16" t="str">
        <f t="shared" si="64"/>
        <v>saplings_CLUSTER05.csv</v>
      </c>
      <c r="AA238" s="16">
        <f t="shared" si="65"/>
        <v>350</v>
      </c>
      <c r="AB238" s="16" t="str">
        <f t="shared" si="66"/>
        <v>abe/no_mgmt.csv</v>
      </c>
      <c r="AC238" s="16" t="str">
        <f t="shared" si="67"/>
        <v>gis/WindModifier_cl5.asc</v>
      </c>
      <c r="AD238" s="16">
        <f t="shared" si="68"/>
        <v>6.8499999999999995E-4</v>
      </c>
      <c r="AE238" s="16" t="str">
        <f t="shared" si="71"/>
        <v>NCC-NorESM1-M_historical_point29016</v>
      </c>
      <c r="AF238" s="16" t="str">
        <f t="shared" si="69"/>
        <v>wind_Events/cl5_repl4.txt</v>
      </c>
      <c r="AG238" s="16" t="str">
        <f t="shared" si="70"/>
        <v>NCC-NorESM1-M_Cluster5_repl4</v>
      </c>
      <c r="AH238" s="16" t="s">
        <v>296</v>
      </c>
      <c r="AI238" s="16" t="s">
        <v>297</v>
      </c>
    </row>
    <row r="239" spans="1:35" ht="13.8">
      <c r="A239" s="7" t="str">
        <f t="shared" si="54"/>
        <v>ICHEC-EC-EARTH_Cluster5_repl5</v>
      </c>
      <c r="B239" s="8" t="s">
        <v>16</v>
      </c>
      <c r="C239" s="8"/>
      <c r="D239" s="9" t="s">
        <v>17</v>
      </c>
      <c r="E239" s="9" t="str">
        <f t="shared" si="55"/>
        <v>historical</v>
      </c>
      <c r="F239" s="8">
        <v>350</v>
      </c>
      <c r="G239" s="8" t="s">
        <v>18</v>
      </c>
      <c r="H239" s="8">
        <v>1</v>
      </c>
      <c r="I239" s="18">
        <v>6.8499999999999995E-4</v>
      </c>
      <c r="J239" s="8">
        <v>5</v>
      </c>
      <c r="K239" s="8" t="s">
        <v>160</v>
      </c>
      <c r="L239" s="8">
        <v>5</v>
      </c>
      <c r="M239" s="8"/>
      <c r="N239" s="8">
        <v>1</v>
      </c>
      <c r="O239" s="10" t="s">
        <v>21</v>
      </c>
      <c r="P239" s="17" t="s">
        <v>59</v>
      </c>
      <c r="Q239" s="10" t="str">
        <f t="shared" si="56"/>
        <v>ICHEC-EC-EARTH_Cluster5_repl5.sqlite</v>
      </c>
      <c r="R239" s="11">
        <f t="shared" si="57"/>
        <v>13</v>
      </c>
      <c r="S239" s="11">
        <v>0</v>
      </c>
      <c r="T239" s="16" t="str">
        <f t="shared" si="58"/>
        <v>climate_db_ICHEC-EC-EARTH_historical_v4.sqlite</v>
      </c>
      <c r="U239" s="16" t="str">
        <f t="shared" si="59"/>
        <v>log/ICHEC-EC-EARTH_Cluster5_repl5.txt</v>
      </c>
      <c r="V239" s="16" t="str">
        <f t="shared" si="60"/>
        <v>init/env_file_CLUSTER05_REPL5_ICHEC-EC-EARTH_historical.csv</v>
      </c>
      <c r="W239" s="16" t="str">
        <f t="shared" si="61"/>
        <v>init/env_grid_CLUSTER05_REPL5.asc</v>
      </c>
      <c r="X239" s="16" t="str">
        <f t="shared" si="62"/>
        <v>init/env_grid_CLUSTER05_REPL5.asc</v>
      </c>
      <c r="Y239" s="16" t="str">
        <f t="shared" si="63"/>
        <v>trees_CLUSTER05.csv</v>
      </c>
      <c r="Z239" s="16" t="str">
        <f t="shared" si="64"/>
        <v>saplings_CLUSTER05.csv</v>
      </c>
      <c r="AA239" s="16">
        <f t="shared" si="65"/>
        <v>350</v>
      </c>
      <c r="AB239" s="16" t="str">
        <f t="shared" si="66"/>
        <v>abe/no_mgmt.csv</v>
      </c>
      <c r="AC239" s="16" t="str">
        <f t="shared" si="67"/>
        <v>gis/WindModifier_cl5.asc</v>
      </c>
      <c r="AD239" s="16">
        <f t="shared" si="68"/>
        <v>6.8499999999999995E-4</v>
      </c>
      <c r="AE239" s="16" t="str">
        <f t="shared" si="71"/>
        <v>ICHEC-EC-EARTH_historical_point31053</v>
      </c>
      <c r="AF239" s="16" t="str">
        <f t="shared" si="69"/>
        <v>wind_Events/cl5_repl5.txt</v>
      </c>
      <c r="AG239" s="16" t="str">
        <f t="shared" si="70"/>
        <v>ICHEC-EC-EARTH_Cluster5_repl5</v>
      </c>
      <c r="AH239" s="16" t="s">
        <v>298</v>
      </c>
      <c r="AI239" s="16" t="s">
        <v>299</v>
      </c>
    </row>
    <row r="240" spans="1:35" ht="13.8">
      <c r="A240" s="7" t="str">
        <f t="shared" si="54"/>
        <v>MPI-M-MPI-ESM-LR_Cluster5_repl5</v>
      </c>
      <c r="B240" s="8" t="s">
        <v>16</v>
      </c>
      <c r="C240" s="8"/>
      <c r="D240" s="9" t="s">
        <v>17</v>
      </c>
      <c r="E240" s="9" t="str">
        <f t="shared" si="55"/>
        <v>historical</v>
      </c>
      <c r="F240" s="8">
        <v>350</v>
      </c>
      <c r="G240" s="8" t="s">
        <v>63</v>
      </c>
      <c r="H240" s="8">
        <v>2</v>
      </c>
      <c r="I240" s="18">
        <v>6.8499999999999995E-4</v>
      </c>
      <c r="J240" s="8">
        <v>5</v>
      </c>
      <c r="K240" s="8" t="s">
        <v>169</v>
      </c>
      <c r="L240" s="8">
        <v>5</v>
      </c>
      <c r="M240" s="8"/>
      <c r="N240" s="8">
        <v>1</v>
      </c>
      <c r="O240" s="10" t="s">
        <v>21</v>
      </c>
      <c r="P240" s="17" t="s">
        <v>59</v>
      </c>
      <c r="Q240" s="10" t="str">
        <f t="shared" si="56"/>
        <v>MPI-M-MPI-ESM-LR_Cluster5_repl5.sqlite</v>
      </c>
      <c r="R240" s="11">
        <f t="shared" si="57"/>
        <v>14</v>
      </c>
      <c r="S240" s="11">
        <v>0</v>
      </c>
      <c r="T240" s="16" t="str">
        <f t="shared" si="58"/>
        <v>climate_db_MPI-M-MPI-ESM-LR_historical_v4.sqlite</v>
      </c>
      <c r="U240" s="16" t="str">
        <f t="shared" si="59"/>
        <v>log/MPI-M-MPI-ESM-LR_Cluster5_repl5.txt</v>
      </c>
      <c r="V240" s="16" t="str">
        <f t="shared" si="60"/>
        <v>init/env_file_CLUSTER05_REPL5_MPI-M-MPI-ESM-LR_historical.csv</v>
      </c>
      <c r="W240" s="16" t="str">
        <f t="shared" si="61"/>
        <v>init/env_grid_CLUSTER05_REPL5.asc</v>
      </c>
      <c r="X240" s="16" t="str">
        <f t="shared" si="62"/>
        <v>init/env_grid_CLUSTER05_REPL5.asc</v>
      </c>
      <c r="Y240" s="16" t="str">
        <f t="shared" si="63"/>
        <v>trees_CLUSTER05.csv</v>
      </c>
      <c r="Z240" s="16" t="str">
        <f t="shared" si="64"/>
        <v>saplings_CLUSTER05.csv</v>
      </c>
      <c r="AA240" s="16">
        <f t="shared" si="65"/>
        <v>350</v>
      </c>
      <c r="AB240" s="16" t="str">
        <f t="shared" si="66"/>
        <v>abe/no_mgmt.csv</v>
      </c>
      <c r="AC240" s="16" t="str">
        <f t="shared" si="67"/>
        <v>gis/WindModifier_cl5.asc</v>
      </c>
      <c r="AD240" s="16">
        <f t="shared" si="68"/>
        <v>6.8499999999999995E-4</v>
      </c>
      <c r="AE240" s="16" t="str">
        <f t="shared" si="71"/>
        <v>MPI-M-MPI-ESM-LR_historical_point31054</v>
      </c>
      <c r="AF240" s="16" t="str">
        <f t="shared" si="69"/>
        <v>wind_Events/cl5_repl5.txt</v>
      </c>
      <c r="AG240" s="16" t="str">
        <f t="shared" si="70"/>
        <v>MPI-M-MPI-ESM-LR_Cluster5_repl5</v>
      </c>
      <c r="AH240" s="16" t="s">
        <v>300</v>
      </c>
      <c r="AI240" s="16" t="s">
        <v>301</v>
      </c>
    </row>
    <row r="241" spans="1:35" ht="13.8">
      <c r="A241" s="7" t="str">
        <f t="shared" si="54"/>
        <v>NCC-NorESM1-M_Cluster5_repl5</v>
      </c>
      <c r="B241" s="8" t="s">
        <v>16</v>
      </c>
      <c r="C241" s="8"/>
      <c r="D241" s="9" t="s">
        <v>17</v>
      </c>
      <c r="E241" s="9" t="str">
        <f t="shared" si="55"/>
        <v>historical</v>
      </c>
      <c r="F241" s="8">
        <v>350</v>
      </c>
      <c r="G241" s="8" t="s">
        <v>60</v>
      </c>
      <c r="H241" s="8">
        <v>3</v>
      </c>
      <c r="I241" s="18">
        <v>6.8499999999999995E-4</v>
      </c>
      <c r="J241" s="8">
        <v>5</v>
      </c>
      <c r="K241" s="8" t="s">
        <v>175</v>
      </c>
      <c r="L241" s="8">
        <v>5</v>
      </c>
      <c r="M241" s="8"/>
      <c r="N241" s="8">
        <v>1</v>
      </c>
      <c r="O241" s="10" t="s">
        <v>21</v>
      </c>
      <c r="P241" s="17" t="s">
        <v>59</v>
      </c>
      <c r="Q241" s="10" t="str">
        <f t="shared" si="56"/>
        <v>NCC-NorESM1-M_Cluster5_repl5.sqlite</v>
      </c>
      <c r="R241" s="11">
        <f t="shared" si="57"/>
        <v>15</v>
      </c>
      <c r="S241" s="11">
        <v>0</v>
      </c>
      <c r="T241" s="16" t="str">
        <f t="shared" si="58"/>
        <v>climate_db_NCC-NorESM1-M_historical_v4.sqlite</v>
      </c>
      <c r="U241" s="16" t="str">
        <f t="shared" si="59"/>
        <v>log/NCC-NorESM1-M_Cluster5_repl5.txt</v>
      </c>
      <c r="V241" s="16" t="str">
        <f t="shared" si="60"/>
        <v>init/env_file_CLUSTER05_REPL5_NCC-NorESM1-M_historical.csv</v>
      </c>
      <c r="W241" s="16" t="str">
        <f t="shared" si="61"/>
        <v>init/env_grid_CLUSTER05_REPL5.asc</v>
      </c>
      <c r="X241" s="16" t="str">
        <f t="shared" si="62"/>
        <v>init/env_grid_CLUSTER05_REPL5.asc</v>
      </c>
      <c r="Y241" s="16" t="str">
        <f t="shared" si="63"/>
        <v>trees_CLUSTER05.csv</v>
      </c>
      <c r="Z241" s="16" t="str">
        <f t="shared" si="64"/>
        <v>saplings_CLUSTER05.csv</v>
      </c>
      <c r="AA241" s="16">
        <f t="shared" si="65"/>
        <v>350</v>
      </c>
      <c r="AB241" s="16" t="str">
        <f t="shared" si="66"/>
        <v>abe/no_mgmt.csv</v>
      </c>
      <c r="AC241" s="16" t="str">
        <f t="shared" si="67"/>
        <v>gis/WindModifier_cl5.asc</v>
      </c>
      <c r="AD241" s="16">
        <f t="shared" si="68"/>
        <v>6.8499999999999995E-4</v>
      </c>
      <c r="AE241" s="16" t="str">
        <f t="shared" si="71"/>
        <v>NCC-NorESM1-M_historical_point29016</v>
      </c>
      <c r="AF241" s="16" t="str">
        <f t="shared" si="69"/>
        <v>wind_Events/cl5_repl5.txt</v>
      </c>
      <c r="AG241" s="16" t="str">
        <f t="shared" si="70"/>
        <v>NCC-NorESM1-M_Cluster5_repl5</v>
      </c>
      <c r="AH241" s="16" t="s">
        <v>302</v>
      </c>
      <c r="AI241" s="16" t="s">
        <v>303</v>
      </c>
    </row>
    <row r="242" spans="1:35" ht="13.8">
      <c r="A242" s="7" t="str">
        <f t="shared" si="54"/>
        <v>ICHEC-EC-EARTH_Cluster6_repl1</v>
      </c>
      <c r="B242" s="8" t="s">
        <v>16</v>
      </c>
      <c r="C242" s="8"/>
      <c r="D242" s="9" t="s">
        <v>17</v>
      </c>
      <c r="E242" s="9" t="str">
        <f t="shared" si="55"/>
        <v>historical</v>
      </c>
      <c r="F242" s="8">
        <v>350</v>
      </c>
      <c r="G242" s="8" t="s">
        <v>18</v>
      </c>
      <c r="H242" s="8">
        <v>1</v>
      </c>
      <c r="I242" s="18">
        <v>6.8499999999999995E-4</v>
      </c>
      <c r="J242" s="8">
        <v>6</v>
      </c>
      <c r="K242" s="8" t="s">
        <v>161</v>
      </c>
      <c r="L242" s="8">
        <v>1</v>
      </c>
      <c r="M242" s="8"/>
      <c r="N242" s="8">
        <v>1</v>
      </c>
      <c r="O242" s="10" t="s">
        <v>21</v>
      </c>
      <c r="P242" s="17" t="s">
        <v>59</v>
      </c>
      <c r="Q242" s="10" t="str">
        <f t="shared" si="56"/>
        <v>ICHEC-EC-EARTH_Cluster6_repl1.sqlite</v>
      </c>
      <c r="R242" s="11">
        <f t="shared" si="57"/>
        <v>1</v>
      </c>
      <c r="S242" s="11">
        <v>0</v>
      </c>
      <c r="T242" s="16" t="str">
        <f t="shared" si="58"/>
        <v>climate_db_ICHEC-EC-EARTH_historical_v4.sqlite</v>
      </c>
      <c r="U242" s="16" t="str">
        <f t="shared" si="59"/>
        <v>log/ICHEC-EC-EARTH_Cluster6_repl1.txt</v>
      </c>
      <c r="V242" s="16" t="str">
        <f t="shared" si="60"/>
        <v>init/env_file_CLUSTER06_REPL1_ICHEC-EC-EARTH_historical.csv</v>
      </c>
      <c r="W242" s="16" t="str">
        <f t="shared" si="61"/>
        <v>init/env_grid_CLUSTER06_REPL1.asc</v>
      </c>
      <c r="X242" s="16" t="str">
        <f t="shared" si="62"/>
        <v>init/env_grid_CLUSTER06_REPL1.asc</v>
      </c>
      <c r="Y242" s="16" t="str">
        <f t="shared" si="63"/>
        <v>trees_CLUSTER06.csv</v>
      </c>
      <c r="Z242" s="16" t="str">
        <f t="shared" si="64"/>
        <v>saplings_CLUSTER06.csv</v>
      </c>
      <c r="AA242" s="16">
        <f t="shared" si="65"/>
        <v>350</v>
      </c>
      <c r="AB242" s="16" t="str">
        <f t="shared" si="66"/>
        <v>abe/no_mgmt.csv</v>
      </c>
      <c r="AC242" s="16" t="str">
        <f t="shared" si="67"/>
        <v>gis/WindModifier_cl6.asc</v>
      </c>
      <c r="AD242" s="16">
        <f t="shared" si="68"/>
        <v>6.8499999999999995E-4</v>
      </c>
      <c r="AE242" s="16" t="str">
        <f t="shared" si="71"/>
        <v>ICHEC-EC-EARTH_historical_point29731</v>
      </c>
      <c r="AF242" s="16" t="str">
        <f t="shared" si="69"/>
        <v>wind_Events/cl6_repl1.txt</v>
      </c>
      <c r="AG242" s="16" t="str">
        <f t="shared" si="70"/>
        <v>ICHEC-EC-EARTH_Cluster6_repl1</v>
      </c>
      <c r="AH242" s="16" t="s">
        <v>304</v>
      </c>
      <c r="AI242" s="16" t="s">
        <v>305</v>
      </c>
    </row>
    <row r="243" spans="1:35" ht="13.8">
      <c r="A243" s="7" t="str">
        <f t="shared" si="54"/>
        <v>MPI-M-MPI-ESM-LR_Cluster6_repl1</v>
      </c>
      <c r="B243" s="8" t="s">
        <v>16</v>
      </c>
      <c r="C243" s="8"/>
      <c r="D243" s="9" t="s">
        <v>17</v>
      </c>
      <c r="E243" s="9" t="str">
        <f t="shared" si="55"/>
        <v>historical</v>
      </c>
      <c r="F243" s="8">
        <v>350</v>
      </c>
      <c r="G243" s="8" t="s">
        <v>63</v>
      </c>
      <c r="H243" s="8">
        <v>2</v>
      </c>
      <c r="I243" s="18">
        <v>6.8499999999999995E-4</v>
      </c>
      <c r="J243" s="8">
        <v>6</v>
      </c>
      <c r="K243" s="8" t="s">
        <v>170</v>
      </c>
      <c r="L243" s="8">
        <v>1</v>
      </c>
      <c r="M243" s="8"/>
      <c r="N243" s="8">
        <v>1</v>
      </c>
      <c r="O243" s="10" t="s">
        <v>21</v>
      </c>
      <c r="P243" s="17" t="s">
        <v>59</v>
      </c>
      <c r="Q243" s="10" t="str">
        <f t="shared" si="56"/>
        <v>MPI-M-MPI-ESM-LR_Cluster6_repl1.sqlite</v>
      </c>
      <c r="R243" s="11">
        <f t="shared" si="57"/>
        <v>2</v>
      </c>
      <c r="S243" s="11">
        <v>0</v>
      </c>
      <c r="T243" s="16" t="str">
        <f t="shared" si="58"/>
        <v>climate_db_MPI-M-MPI-ESM-LR_historical_v4.sqlite</v>
      </c>
      <c r="U243" s="16" t="str">
        <f t="shared" si="59"/>
        <v>log/MPI-M-MPI-ESM-LR_Cluster6_repl1.txt</v>
      </c>
      <c r="V243" s="16" t="str">
        <f t="shared" si="60"/>
        <v>init/env_file_CLUSTER06_REPL1_MPI-M-MPI-ESM-LR_historical.csv</v>
      </c>
      <c r="W243" s="16" t="str">
        <f t="shared" si="61"/>
        <v>init/env_grid_CLUSTER06_REPL1.asc</v>
      </c>
      <c r="X243" s="16" t="str">
        <f t="shared" si="62"/>
        <v>init/env_grid_CLUSTER06_REPL1.asc</v>
      </c>
      <c r="Y243" s="16" t="str">
        <f t="shared" si="63"/>
        <v>trees_CLUSTER06.csv</v>
      </c>
      <c r="Z243" s="16" t="str">
        <f t="shared" si="64"/>
        <v>saplings_CLUSTER06.csv</v>
      </c>
      <c r="AA243" s="16">
        <f t="shared" si="65"/>
        <v>350</v>
      </c>
      <c r="AB243" s="16" t="str">
        <f t="shared" si="66"/>
        <v>abe/no_mgmt.csv</v>
      </c>
      <c r="AC243" s="16" t="str">
        <f t="shared" si="67"/>
        <v>gis/WindModifier_cl6.asc</v>
      </c>
      <c r="AD243" s="16">
        <f t="shared" si="68"/>
        <v>6.8499999999999995E-4</v>
      </c>
      <c r="AE243" s="16" t="str">
        <f t="shared" si="71"/>
        <v>MPI-M-MPI-ESM-LR_historical_point29033</v>
      </c>
      <c r="AF243" s="16" t="str">
        <f t="shared" si="69"/>
        <v>wind_Events/cl6_repl1.txt</v>
      </c>
      <c r="AG243" s="16" t="str">
        <f t="shared" si="70"/>
        <v>MPI-M-MPI-ESM-LR_Cluster6_repl1</v>
      </c>
      <c r="AH243" s="16" t="s">
        <v>306</v>
      </c>
      <c r="AI243" s="16" t="s">
        <v>307</v>
      </c>
    </row>
    <row r="244" spans="1:35" ht="13.8">
      <c r="A244" s="7" t="str">
        <f t="shared" si="54"/>
        <v>NCC-NorESM1-M_Cluster6_repl1</v>
      </c>
      <c r="B244" s="8" t="s">
        <v>16</v>
      </c>
      <c r="C244" s="8"/>
      <c r="D244" s="9" t="s">
        <v>17</v>
      </c>
      <c r="E244" s="9" t="str">
        <f t="shared" si="55"/>
        <v>historical</v>
      </c>
      <c r="F244" s="8">
        <v>350</v>
      </c>
      <c r="G244" s="8" t="s">
        <v>60</v>
      </c>
      <c r="H244" s="8">
        <v>3</v>
      </c>
      <c r="I244" s="18">
        <v>6.8499999999999995E-4</v>
      </c>
      <c r="J244" s="8">
        <v>6</v>
      </c>
      <c r="K244" s="8" t="s">
        <v>176</v>
      </c>
      <c r="L244" s="8">
        <v>1</v>
      </c>
      <c r="M244" s="8"/>
      <c r="N244" s="8">
        <v>1</v>
      </c>
      <c r="O244" s="10" t="s">
        <v>21</v>
      </c>
      <c r="P244" s="17" t="s">
        <v>59</v>
      </c>
      <c r="Q244" s="10" t="str">
        <f t="shared" si="56"/>
        <v>NCC-NorESM1-M_Cluster6_repl1.sqlite</v>
      </c>
      <c r="R244" s="11">
        <f t="shared" si="57"/>
        <v>3</v>
      </c>
      <c r="S244" s="11">
        <v>0</v>
      </c>
      <c r="T244" s="16" t="str">
        <f t="shared" si="58"/>
        <v>climate_db_NCC-NorESM1-M_historical_v4.sqlite</v>
      </c>
      <c r="U244" s="16" t="str">
        <f t="shared" si="59"/>
        <v>log/NCC-NorESM1-M_Cluster6_repl1.txt</v>
      </c>
      <c r="V244" s="16" t="str">
        <f t="shared" si="60"/>
        <v>init/env_file_CLUSTER06_REPL1_NCC-NorESM1-M_historical.csv</v>
      </c>
      <c r="W244" s="16" t="str">
        <f t="shared" si="61"/>
        <v>init/env_grid_CLUSTER06_REPL1.asc</v>
      </c>
      <c r="X244" s="16" t="str">
        <f t="shared" si="62"/>
        <v>init/env_grid_CLUSTER06_REPL1.asc</v>
      </c>
      <c r="Y244" s="16" t="str">
        <f t="shared" si="63"/>
        <v>trees_CLUSTER06.csv</v>
      </c>
      <c r="Z244" s="16" t="str">
        <f t="shared" si="64"/>
        <v>saplings_CLUSTER06.csv</v>
      </c>
      <c r="AA244" s="16">
        <f t="shared" si="65"/>
        <v>350</v>
      </c>
      <c r="AB244" s="16" t="str">
        <f t="shared" si="66"/>
        <v>abe/no_mgmt.csv</v>
      </c>
      <c r="AC244" s="16" t="str">
        <f t="shared" si="67"/>
        <v>gis/WindModifier_cl6.asc</v>
      </c>
      <c r="AD244" s="16">
        <f t="shared" si="68"/>
        <v>6.8499999999999995E-4</v>
      </c>
      <c r="AE244" s="16" t="str">
        <f t="shared" si="71"/>
        <v>NCC-NorESM1-M_historical_point30070</v>
      </c>
      <c r="AF244" s="16" t="str">
        <f t="shared" si="69"/>
        <v>wind_Events/cl6_repl1.txt</v>
      </c>
      <c r="AG244" s="16" t="str">
        <f t="shared" si="70"/>
        <v>NCC-NorESM1-M_Cluster6_repl1</v>
      </c>
      <c r="AH244" s="16" t="s">
        <v>308</v>
      </c>
      <c r="AI244" s="16" t="s">
        <v>309</v>
      </c>
    </row>
    <row r="245" spans="1:35" ht="13.8">
      <c r="A245" s="7" t="str">
        <f t="shared" si="54"/>
        <v>ICHEC-EC-EARTH_Cluster6_repl2</v>
      </c>
      <c r="B245" s="8" t="s">
        <v>16</v>
      </c>
      <c r="C245" s="8"/>
      <c r="D245" s="9" t="s">
        <v>17</v>
      </c>
      <c r="E245" s="9" t="str">
        <f t="shared" si="55"/>
        <v>historical</v>
      </c>
      <c r="F245" s="8">
        <v>350</v>
      </c>
      <c r="G245" s="8" t="s">
        <v>18</v>
      </c>
      <c r="H245" s="8">
        <v>1</v>
      </c>
      <c r="I245" s="18">
        <v>6.8499999999999995E-4</v>
      </c>
      <c r="J245" s="8">
        <v>6</v>
      </c>
      <c r="K245" s="8" t="s">
        <v>161</v>
      </c>
      <c r="L245" s="8">
        <v>2</v>
      </c>
      <c r="M245" s="8"/>
      <c r="N245" s="8">
        <v>1</v>
      </c>
      <c r="O245" s="10" t="s">
        <v>21</v>
      </c>
      <c r="P245" s="17" t="s">
        <v>59</v>
      </c>
      <c r="Q245" s="10" t="str">
        <f t="shared" si="56"/>
        <v>ICHEC-EC-EARTH_Cluster6_repl2.sqlite</v>
      </c>
      <c r="R245" s="11">
        <f t="shared" si="57"/>
        <v>4</v>
      </c>
      <c r="S245" s="11">
        <v>0</v>
      </c>
      <c r="T245" s="16" t="str">
        <f t="shared" si="58"/>
        <v>climate_db_ICHEC-EC-EARTH_historical_v4.sqlite</v>
      </c>
      <c r="U245" s="16" t="str">
        <f t="shared" si="59"/>
        <v>log/ICHEC-EC-EARTH_Cluster6_repl2.txt</v>
      </c>
      <c r="V245" s="16" t="str">
        <f t="shared" si="60"/>
        <v>init/env_file_CLUSTER06_REPL2_ICHEC-EC-EARTH_historical.csv</v>
      </c>
      <c r="W245" s="16" t="str">
        <f t="shared" si="61"/>
        <v>init/env_grid_CLUSTER06_REPL2.asc</v>
      </c>
      <c r="X245" s="16" t="str">
        <f t="shared" si="62"/>
        <v>init/env_grid_CLUSTER06_REPL2.asc</v>
      </c>
      <c r="Y245" s="16" t="str">
        <f t="shared" si="63"/>
        <v>trees_CLUSTER06.csv</v>
      </c>
      <c r="Z245" s="16" t="str">
        <f t="shared" si="64"/>
        <v>saplings_CLUSTER06.csv</v>
      </c>
      <c r="AA245" s="16">
        <f t="shared" si="65"/>
        <v>350</v>
      </c>
      <c r="AB245" s="16" t="str">
        <f t="shared" si="66"/>
        <v>abe/no_mgmt.csv</v>
      </c>
      <c r="AC245" s="16" t="str">
        <f t="shared" si="67"/>
        <v>gis/WindModifier_cl6.asc</v>
      </c>
      <c r="AD245" s="16">
        <f t="shared" si="68"/>
        <v>6.8499999999999995E-4</v>
      </c>
      <c r="AE245" s="16" t="str">
        <f t="shared" si="71"/>
        <v>ICHEC-EC-EARTH_historical_point29731</v>
      </c>
      <c r="AF245" s="16" t="str">
        <f t="shared" si="69"/>
        <v>wind_Events/cl6_repl2.txt</v>
      </c>
      <c r="AG245" s="16" t="str">
        <f t="shared" si="70"/>
        <v>ICHEC-EC-EARTH_Cluster6_repl2</v>
      </c>
      <c r="AH245" s="16" t="s">
        <v>310</v>
      </c>
      <c r="AI245" s="16" t="s">
        <v>311</v>
      </c>
    </row>
    <row r="246" spans="1:35" ht="13.8">
      <c r="A246" s="7" t="str">
        <f t="shared" si="54"/>
        <v>MPI-M-MPI-ESM-LR_Cluster6_repl2</v>
      </c>
      <c r="B246" s="8" t="s">
        <v>16</v>
      </c>
      <c r="C246" s="8"/>
      <c r="D246" s="9" t="s">
        <v>17</v>
      </c>
      <c r="E246" s="9" t="str">
        <f t="shared" si="55"/>
        <v>historical</v>
      </c>
      <c r="F246" s="8">
        <v>350</v>
      </c>
      <c r="G246" s="8" t="s">
        <v>63</v>
      </c>
      <c r="H246" s="8">
        <v>2</v>
      </c>
      <c r="I246" s="18">
        <v>6.8499999999999995E-4</v>
      </c>
      <c r="J246" s="8">
        <v>6</v>
      </c>
      <c r="K246" s="8" t="s">
        <v>170</v>
      </c>
      <c r="L246" s="8">
        <v>2</v>
      </c>
      <c r="M246" s="8"/>
      <c r="N246" s="8">
        <v>1</v>
      </c>
      <c r="O246" s="10" t="s">
        <v>21</v>
      </c>
      <c r="P246" s="17" t="s">
        <v>59</v>
      </c>
      <c r="Q246" s="10" t="str">
        <f t="shared" si="56"/>
        <v>MPI-M-MPI-ESM-LR_Cluster6_repl2.sqlite</v>
      </c>
      <c r="R246" s="11">
        <f t="shared" si="57"/>
        <v>5</v>
      </c>
      <c r="S246" s="11">
        <v>0</v>
      </c>
      <c r="T246" s="16" t="str">
        <f t="shared" si="58"/>
        <v>climate_db_MPI-M-MPI-ESM-LR_historical_v4.sqlite</v>
      </c>
      <c r="U246" s="16" t="str">
        <f t="shared" si="59"/>
        <v>log/MPI-M-MPI-ESM-LR_Cluster6_repl2.txt</v>
      </c>
      <c r="V246" s="16" t="str">
        <f t="shared" si="60"/>
        <v>init/env_file_CLUSTER06_REPL2_MPI-M-MPI-ESM-LR_historical.csv</v>
      </c>
      <c r="W246" s="16" t="str">
        <f t="shared" si="61"/>
        <v>init/env_grid_CLUSTER06_REPL2.asc</v>
      </c>
      <c r="X246" s="16" t="str">
        <f t="shared" si="62"/>
        <v>init/env_grid_CLUSTER06_REPL2.asc</v>
      </c>
      <c r="Y246" s="16" t="str">
        <f t="shared" si="63"/>
        <v>trees_CLUSTER06.csv</v>
      </c>
      <c r="Z246" s="16" t="str">
        <f t="shared" si="64"/>
        <v>saplings_CLUSTER06.csv</v>
      </c>
      <c r="AA246" s="16">
        <f t="shared" si="65"/>
        <v>350</v>
      </c>
      <c r="AB246" s="16" t="str">
        <f t="shared" si="66"/>
        <v>abe/no_mgmt.csv</v>
      </c>
      <c r="AC246" s="16" t="str">
        <f t="shared" si="67"/>
        <v>gis/WindModifier_cl6.asc</v>
      </c>
      <c r="AD246" s="16">
        <f t="shared" si="68"/>
        <v>6.8499999999999995E-4</v>
      </c>
      <c r="AE246" s="16" t="str">
        <f t="shared" si="71"/>
        <v>MPI-M-MPI-ESM-LR_historical_point29033</v>
      </c>
      <c r="AF246" s="16" t="str">
        <f t="shared" si="69"/>
        <v>wind_Events/cl6_repl2.txt</v>
      </c>
      <c r="AG246" s="16" t="str">
        <f t="shared" si="70"/>
        <v>MPI-M-MPI-ESM-LR_Cluster6_repl2</v>
      </c>
      <c r="AH246" s="16" t="s">
        <v>312</v>
      </c>
      <c r="AI246" s="16" t="s">
        <v>313</v>
      </c>
    </row>
    <row r="247" spans="1:35" ht="13.8">
      <c r="A247" s="7" t="str">
        <f t="shared" si="54"/>
        <v>NCC-NorESM1-M_Cluster6_repl2</v>
      </c>
      <c r="B247" s="8" t="s">
        <v>16</v>
      </c>
      <c r="C247" s="8"/>
      <c r="D247" s="9" t="s">
        <v>17</v>
      </c>
      <c r="E247" s="9" t="str">
        <f t="shared" si="55"/>
        <v>historical</v>
      </c>
      <c r="F247" s="8">
        <v>350</v>
      </c>
      <c r="G247" s="8" t="s">
        <v>60</v>
      </c>
      <c r="H247" s="8">
        <v>3</v>
      </c>
      <c r="I247" s="18">
        <v>6.8499999999999995E-4</v>
      </c>
      <c r="J247" s="8">
        <v>6</v>
      </c>
      <c r="K247" s="8" t="s">
        <v>176</v>
      </c>
      <c r="L247" s="8">
        <v>2</v>
      </c>
      <c r="M247" s="8"/>
      <c r="N247" s="8">
        <v>1</v>
      </c>
      <c r="O247" s="10" t="s">
        <v>21</v>
      </c>
      <c r="P247" s="17" t="s">
        <v>59</v>
      </c>
      <c r="Q247" s="10" t="str">
        <f t="shared" si="56"/>
        <v>NCC-NorESM1-M_Cluster6_repl2.sqlite</v>
      </c>
      <c r="R247" s="11">
        <f t="shared" si="57"/>
        <v>6</v>
      </c>
      <c r="S247" s="11">
        <v>0</v>
      </c>
      <c r="T247" s="16" t="str">
        <f t="shared" si="58"/>
        <v>climate_db_NCC-NorESM1-M_historical_v4.sqlite</v>
      </c>
      <c r="U247" s="16" t="str">
        <f t="shared" si="59"/>
        <v>log/NCC-NorESM1-M_Cluster6_repl2.txt</v>
      </c>
      <c r="V247" s="16" t="str">
        <f t="shared" si="60"/>
        <v>init/env_file_CLUSTER06_REPL2_NCC-NorESM1-M_historical.csv</v>
      </c>
      <c r="W247" s="16" t="str">
        <f t="shared" si="61"/>
        <v>init/env_grid_CLUSTER06_REPL2.asc</v>
      </c>
      <c r="X247" s="16" t="str">
        <f t="shared" si="62"/>
        <v>init/env_grid_CLUSTER06_REPL2.asc</v>
      </c>
      <c r="Y247" s="16" t="str">
        <f t="shared" si="63"/>
        <v>trees_CLUSTER06.csv</v>
      </c>
      <c r="Z247" s="16" t="str">
        <f t="shared" si="64"/>
        <v>saplings_CLUSTER06.csv</v>
      </c>
      <c r="AA247" s="16">
        <f t="shared" si="65"/>
        <v>350</v>
      </c>
      <c r="AB247" s="16" t="str">
        <f t="shared" si="66"/>
        <v>abe/no_mgmt.csv</v>
      </c>
      <c r="AC247" s="16" t="str">
        <f t="shared" si="67"/>
        <v>gis/WindModifier_cl6.asc</v>
      </c>
      <c r="AD247" s="16">
        <f t="shared" si="68"/>
        <v>6.8499999999999995E-4</v>
      </c>
      <c r="AE247" s="16" t="str">
        <f t="shared" si="71"/>
        <v>NCC-NorESM1-M_historical_point30070</v>
      </c>
      <c r="AF247" s="16" t="str">
        <f t="shared" si="69"/>
        <v>wind_Events/cl6_repl2.txt</v>
      </c>
      <c r="AG247" s="16" t="str">
        <f t="shared" si="70"/>
        <v>NCC-NorESM1-M_Cluster6_repl2</v>
      </c>
      <c r="AH247" s="16" t="s">
        <v>314</v>
      </c>
      <c r="AI247" s="16" t="s">
        <v>315</v>
      </c>
    </row>
    <row r="248" spans="1:35" ht="13.8">
      <c r="A248" s="7" t="str">
        <f t="shared" si="54"/>
        <v>ICHEC-EC-EARTH_Cluster6_repl3</v>
      </c>
      <c r="B248" s="8" t="s">
        <v>16</v>
      </c>
      <c r="C248" s="8"/>
      <c r="D248" s="9" t="s">
        <v>17</v>
      </c>
      <c r="E248" s="9" t="str">
        <f t="shared" si="55"/>
        <v>historical</v>
      </c>
      <c r="F248" s="8">
        <v>350</v>
      </c>
      <c r="G248" s="8" t="s">
        <v>18</v>
      </c>
      <c r="H248" s="8">
        <v>1</v>
      </c>
      <c r="I248" s="18">
        <v>6.8499999999999995E-4</v>
      </c>
      <c r="J248" s="8">
        <v>6</v>
      </c>
      <c r="K248" s="8" t="s">
        <v>161</v>
      </c>
      <c r="L248" s="8">
        <v>3</v>
      </c>
      <c r="M248" s="8"/>
      <c r="N248" s="8">
        <v>1</v>
      </c>
      <c r="O248" s="10" t="s">
        <v>21</v>
      </c>
      <c r="P248" s="17" t="s">
        <v>59</v>
      </c>
      <c r="Q248" s="10" t="str">
        <f t="shared" si="56"/>
        <v>ICHEC-EC-EARTH_Cluster6_repl3.sqlite</v>
      </c>
      <c r="R248" s="11">
        <f t="shared" si="57"/>
        <v>7</v>
      </c>
      <c r="S248" s="11">
        <v>0</v>
      </c>
      <c r="T248" s="16" t="str">
        <f t="shared" si="58"/>
        <v>climate_db_ICHEC-EC-EARTH_historical_v4.sqlite</v>
      </c>
      <c r="U248" s="16" t="str">
        <f t="shared" si="59"/>
        <v>log/ICHEC-EC-EARTH_Cluster6_repl3.txt</v>
      </c>
      <c r="V248" s="16" t="str">
        <f t="shared" si="60"/>
        <v>init/env_file_CLUSTER06_REPL3_ICHEC-EC-EARTH_historical.csv</v>
      </c>
      <c r="W248" s="16" t="str">
        <f t="shared" si="61"/>
        <v>init/env_grid_CLUSTER06_REPL3.asc</v>
      </c>
      <c r="X248" s="16" t="str">
        <f t="shared" si="62"/>
        <v>init/env_grid_CLUSTER06_REPL3.asc</v>
      </c>
      <c r="Y248" s="16" t="str">
        <f t="shared" si="63"/>
        <v>trees_CLUSTER06.csv</v>
      </c>
      <c r="Z248" s="16" t="str">
        <f t="shared" si="64"/>
        <v>saplings_CLUSTER06.csv</v>
      </c>
      <c r="AA248" s="16">
        <f t="shared" si="65"/>
        <v>350</v>
      </c>
      <c r="AB248" s="16" t="str">
        <f t="shared" si="66"/>
        <v>abe/no_mgmt.csv</v>
      </c>
      <c r="AC248" s="16" t="str">
        <f t="shared" si="67"/>
        <v>gis/WindModifier_cl6.asc</v>
      </c>
      <c r="AD248" s="16">
        <f t="shared" si="68"/>
        <v>6.8499999999999995E-4</v>
      </c>
      <c r="AE248" s="16" t="str">
        <f t="shared" si="71"/>
        <v>ICHEC-EC-EARTH_historical_point29731</v>
      </c>
      <c r="AF248" s="16" t="str">
        <f t="shared" si="69"/>
        <v>wind_Events/cl6_repl3.txt</v>
      </c>
      <c r="AG248" s="16" t="str">
        <f t="shared" si="70"/>
        <v>ICHEC-EC-EARTH_Cluster6_repl3</v>
      </c>
      <c r="AH248" s="16" t="s">
        <v>316</v>
      </c>
      <c r="AI248" s="16" t="s">
        <v>317</v>
      </c>
    </row>
    <row r="249" spans="1:35" ht="13.8">
      <c r="A249" s="7" t="str">
        <f t="shared" si="54"/>
        <v>MPI-M-MPI-ESM-LR_Cluster6_repl3</v>
      </c>
      <c r="B249" s="8" t="s">
        <v>16</v>
      </c>
      <c r="C249" s="8"/>
      <c r="D249" s="9" t="s">
        <v>17</v>
      </c>
      <c r="E249" s="9" t="str">
        <f t="shared" si="55"/>
        <v>historical</v>
      </c>
      <c r="F249" s="8">
        <v>350</v>
      </c>
      <c r="G249" s="8" t="s">
        <v>63</v>
      </c>
      <c r="H249" s="8">
        <v>2</v>
      </c>
      <c r="I249" s="18">
        <v>6.8499999999999995E-4</v>
      </c>
      <c r="J249" s="8">
        <v>6</v>
      </c>
      <c r="K249" s="8" t="s">
        <v>170</v>
      </c>
      <c r="L249" s="8">
        <v>3</v>
      </c>
      <c r="M249" s="8"/>
      <c r="N249" s="8">
        <v>1</v>
      </c>
      <c r="O249" s="10" t="s">
        <v>21</v>
      </c>
      <c r="P249" s="17" t="s">
        <v>59</v>
      </c>
      <c r="Q249" s="10" t="str">
        <f t="shared" si="56"/>
        <v>MPI-M-MPI-ESM-LR_Cluster6_repl3.sqlite</v>
      </c>
      <c r="R249" s="11">
        <f t="shared" si="57"/>
        <v>8</v>
      </c>
      <c r="S249" s="11">
        <v>0</v>
      </c>
      <c r="T249" s="16" t="str">
        <f t="shared" si="58"/>
        <v>climate_db_MPI-M-MPI-ESM-LR_historical_v4.sqlite</v>
      </c>
      <c r="U249" s="16" t="str">
        <f t="shared" si="59"/>
        <v>log/MPI-M-MPI-ESM-LR_Cluster6_repl3.txt</v>
      </c>
      <c r="V249" s="16" t="str">
        <f t="shared" si="60"/>
        <v>init/env_file_CLUSTER06_REPL3_MPI-M-MPI-ESM-LR_historical.csv</v>
      </c>
      <c r="W249" s="16" t="str">
        <f t="shared" si="61"/>
        <v>init/env_grid_CLUSTER06_REPL3.asc</v>
      </c>
      <c r="X249" s="16" t="str">
        <f t="shared" si="62"/>
        <v>init/env_grid_CLUSTER06_REPL3.asc</v>
      </c>
      <c r="Y249" s="16" t="str">
        <f t="shared" si="63"/>
        <v>trees_CLUSTER06.csv</v>
      </c>
      <c r="Z249" s="16" t="str">
        <f t="shared" si="64"/>
        <v>saplings_CLUSTER06.csv</v>
      </c>
      <c r="AA249" s="16">
        <f t="shared" si="65"/>
        <v>350</v>
      </c>
      <c r="AB249" s="16" t="str">
        <f t="shared" si="66"/>
        <v>abe/no_mgmt.csv</v>
      </c>
      <c r="AC249" s="16" t="str">
        <f t="shared" si="67"/>
        <v>gis/WindModifier_cl6.asc</v>
      </c>
      <c r="AD249" s="16">
        <f t="shared" si="68"/>
        <v>6.8499999999999995E-4</v>
      </c>
      <c r="AE249" s="16" t="str">
        <f t="shared" si="71"/>
        <v>MPI-M-MPI-ESM-LR_historical_point29033</v>
      </c>
      <c r="AF249" s="16" t="str">
        <f t="shared" si="69"/>
        <v>wind_Events/cl6_repl3.txt</v>
      </c>
      <c r="AG249" s="16" t="str">
        <f t="shared" si="70"/>
        <v>MPI-M-MPI-ESM-LR_Cluster6_repl3</v>
      </c>
      <c r="AH249" s="16" t="s">
        <v>318</v>
      </c>
      <c r="AI249" s="16" t="s">
        <v>319</v>
      </c>
    </row>
    <row r="250" spans="1:35" ht="13.8">
      <c r="A250" s="7" t="str">
        <f t="shared" si="54"/>
        <v>NCC-NorESM1-M_Cluster6_repl3</v>
      </c>
      <c r="B250" s="8" t="s">
        <v>16</v>
      </c>
      <c r="C250" s="8"/>
      <c r="D250" s="9" t="s">
        <v>17</v>
      </c>
      <c r="E250" s="9" t="str">
        <f t="shared" si="55"/>
        <v>historical</v>
      </c>
      <c r="F250" s="8">
        <v>350</v>
      </c>
      <c r="G250" s="8" t="s">
        <v>60</v>
      </c>
      <c r="H250" s="8">
        <v>3</v>
      </c>
      <c r="I250" s="18">
        <v>6.8499999999999995E-4</v>
      </c>
      <c r="J250" s="8">
        <v>6</v>
      </c>
      <c r="K250" s="8" t="s">
        <v>176</v>
      </c>
      <c r="L250" s="8">
        <v>3</v>
      </c>
      <c r="M250" s="8"/>
      <c r="N250" s="8">
        <v>1</v>
      </c>
      <c r="O250" s="10" t="s">
        <v>21</v>
      </c>
      <c r="P250" s="17" t="s">
        <v>59</v>
      </c>
      <c r="Q250" s="10" t="str">
        <f t="shared" si="56"/>
        <v>NCC-NorESM1-M_Cluster6_repl3.sqlite</v>
      </c>
      <c r="R250" s="11">
        <f t="shared" si="57"/>
        <v>9</v>
      </c>
      <c r="S250" s="11">
        <v>0</v>
      </c>
      <c r="T250" s="16" t="str">
        <f t="shared" si="58"/>
        <v>climate_db_NCC-NorESM1-M_historical_v4.sqlite</v>
      </c>
      <c r="U250" s="16" t="str">
        <f t="shared" si="59"/>
        <v>log/NCC-NorESM1-M_Cluster6_repl3.txt</v>
      </c>
      <c r="V250" s="16" t="str">
        <f t="shared" si="60"/>
        <v>init/env_file_CLUSTER06_REPL3_NCC-NorESM1-M_historical.csv</v>
      </c>
      <c r="W250" s="16" t="str">
        <f t="shared" si="61"/>
        <v>init/env_grid_CLUSTER06_REPL3.asc</v>
      </c>
      <c r="X250" s="16" t="str">
        <f t="shared" si="62"/>
        <v>init/env_grid_CLUSTER06_REPL3.asc</v>
      </c>
      <c r="Y250" s="16" t="str">
        <f t="shared" si="63"/>
        <v>trees_CLUSTER06.csv</v>
      </c>
      <c r="Z250" s="16" t="str">
        <f t="shared" si="64"/>
        <v>saplings_CLUSTER06.csv</v>
      </c>
      <c r="AA250" s="16">
        <f t="shared" si="65"/>
        <v>350</v>
      </c>
      <c r="AB250" s="16" t="str">
        <f t="shared" si="66"/>
        <v>abe/no_mgmt.csv</v>
      </c>
      <c r="AC250" s="16" t="str">
        <f t="shared" si="67"/>
        <v>gis/WindModifier_cl6.asc</v>
      </c>
      <c r="AD250" s="16">
        <f t="shared" si="68"/>
        <v>6.8499999999999995E-4</v>
      </c>
      <c r="AE250" s="16" t="str">
        <f t="shared" si="71"/>
        <v>NCC-NorESM1-M_historical_point30070</v>
      </c>
      <c r="AF250" s="16" t="str">
        <f t="shared" si="69"/>
        <v>wind_Events/cl6_repl3.txt</v>
      </c>
      <c r="AG250" s="16" t="str">
        <f t="shared" si="70"/>
        <v>NCC-NorESM1-M_Cluster6_repl3</v>
      </c>
      <c r="AH250" s="16" t="s">
        <v>320</v>
      </c>
      <c r="AI250" s="16" t="s">
        <v>321</v>
      </c>
    </row>
    <row r="251" spans="1:35" ht="13.8">
      <c r="A251" s="7" t="str">
        <f t="shared" si="54"/>
        <v>ICHEC-EC-EARTH_Cluster6_repl4</v>
      </c>
      <c r="B251" s="8" t="s">
        <v>16</v>
      </c>
      <c r="C251" s="8"/>
      <c r="D251" s="9" t="s">
        <v>17</v>
      </c>
      <c r="E251" s="9" t="str">
        <f t="shared" si="55"/>
        <v>historical</v>
      </c>
      <c r="F251" s="8">
        <v>350</v>
      </c>
      <c r="G251" s="8" t="s">
        <v>18</v>
      </c>
      <c r="H251" s="8">
        <v>1</v>
      </c>
      <c r="I251" s="18">
        <v>6.8499999999999995E-4</v>
      </c>
      <c r="J251" s="8">
        <v>6</v>
      </c>
      <c r="K251" s="8" t="s">
        <v>161</v>
      </c>
      <c r="L251" s="8">
        <v>4</v>
      </c>
      <c r="M251" s="8"/>
      <c r="N251" s="8">
        <v>1</v>
      </c>
      <c r="O251" s="10" t="s">
        <v>21</v>
      </c>
      <c r="P251" s="17" t="s">
        <v>59</v>
      </c>
      <c r="Q251" s="10" t="str">
        <f t="shared" si="56"/>
        <v>ICHEC-EC-EARTH_Cluster6_repl4.sqlite</v>
      </c>
      <c r="R251" s="11">
        <f t="shared" si="57"/>
        <v>10</v>
      </c>
      <c r="S251" s="11">
        <v>0</v>
      </c>
      <c r="T251" s="16" t="str">
        <f t="shared" si="58"/>
        <v>climate_db_ICHEC-EC-EARTH_historical_v4.sqlite</v>
      </c>
      <c r="U251" s="16" t="str">
        <f t="shared" si="59"/>
        <v>log/ICHEC-EC-EARTH_Cluster6_repl4.txt</v>
      </c>
      <c r="V251" s="16" t="str">
        <f t="shared" si="60"/>
        <v>init/env_file_CLUSTER06_REPL4_ICHEC-EC-EARTH_historical.csv</v>
      </c>
      <c r="W251" s="16" t="str">
        <f t="shared" si="61"/>
        <v>init/env_grid_CLUSTER06_REPL4.asc</v>
      </c>
      <c r="X251" s="16" t="str">
        <f t="shared" si="62"/>
        <v>init/env_grid_CLUSTER06_REPL4.asc</v>
      </c>
      <c r="Y251" s="16" t="str">
        <f t="shared" si="63"/>
        <v>trees_CLUSTER06.csv</v>
      </c>
      <c r="Z251" s="16" t="str">
        <f t="shared" si="64"/>
        <v>saplings_CLUSTER06.csv</v>
      </c>
      <c r="AA251" s="16">
        <f t="shared" si="65"/>
        <v>350</v>
      </c>
      <c r="AB251" s="16" t="str">
        <f t="shared" si="66"/>
        <v>abe/no_mgmt.csv</v>
      </c>
      <c r="AC251" s="16" t="str">
        <f t="shared" si="67"/>
        <v>gis/WindModifier_cl6.asc</v>
      </c>
      <c r="AD251" s="16">
        <f t="shared" si="68"/>
        <v>6.8499999999999995E-4</v>
      </c>
      <c r="AE251" s="16" t="str">
        <f t="shared" si="71"/>
        <v>ICHEC-EC-EARTH_historical_point29731</v>
      </c>
      <c r="AF251" s="16" t="str">
        <f t="shared" si="69"/>
        <v>wind_Events/cl6_repl4.txt</v>
      </c>
      <c r="AG251" s="16" t="str">
        <f t="shared" si="70"/>
        <v>ICHEC-EC-EARTH_Cluster6_repl4</v>
      </c>
      <c r="AH251" s="16" t="s">
        <v>322</v>
      </c>
      <c r="AI251" s="16" t="s">
        <v>323</v>
      </c>
    </row>
    <row r="252" spans="1:35" ht="13.8">
      <c r="A252" s="7" t="str">
        <f t="shared" si="54"/>
        <v>MPI-M-MPI-ESM-LR_Cluster6_repl4</v>
      </c>
      <c r="B252" s="8" t="s">
        <v>16</v>
      </c>
      <c r="C252" s="8"/>
      <c r="D252" s="9" t="s">
        <v>17</v>
      </c>
      <c r="E252" s="9" t="str">
        <f t="shared" si="55"/>
        <v>historical</v>
      </c>
      <c r="F252" s="8">
        <v>350</v>
      </c>
      <c r="G252" s="8" t="s">
        <v>63</v>
      </c>
      <c r="H252" s="8">
        <v>2</v>
      </c>
      <c r="I252" s="18">
        <v>6.8499999999999995E-4</v>
      </c>
      <c r="J252" s="8">
        <v>6</v>
      </c>
      <c r="K252" s="8" t="s">
        <v>170</v>
      </c>
      <c r="L252" s="8">
        <v>4</v>
      </c>
      <c r="M252" s="8"/>
      <c r="N252" s="8">
        <v>1</v>
      </c>
      <c r="O252" s="10" t="s">
        <v>21</v>
      </c>
      <c r="P252" s="17" t="s">
        <v>59</v>
      </c>
      <c r="Q252" s="10" t="str">
        <f t="shared" si="56"/>
        <v>MPI-M-MPI-ESM-LR_Cluster6_repl4.sqlite</v>
      </c>
      <c r="R252" s="11">
        <f t="shared" si="57"/>
        <v>11</v>
      </c>
      <c r="S252" s="11">
        <v>0</v>
      </c>
      <c r="T252" s="16" t="str">
        <f t="shared" si="58"/>
        <v>climate_db_MPI-M-MPI-ESM-LR_historical_v4.sqlite</v>
      </c>
      <c r="U252" s="16" t="str">
        <f t="shared" si="59"/>
        <v>log/MPI-M-MPI-ESM-LR_Cluster6_repl4.txt</v>
      </c>
      <c r="V252" s="16" t="str">
        <f t="shared" si="60"/>
        <v>init/env_file_CLUSTER06_REPL4_MPI-M-MPI-ESM-LR_historical.csv</v>
      </c>
      <c r="W252" s="16" t="str">
        <f t="shared" si="61"/>
        <v>init/env_grid_CLUSTER06_REPL4.asc</v>
      </c>
      <c r="X252" s="16" t="str">
        <f t="shared" si="62"/>
        <v>init/env_grid_CLUSTER06_REPL4.asc</v>
      </c>
      <c r="Y252" s="16" t="str">
        <f t="shared" si="63"/>
        <v>trees_CLUSTER06.csv</v>
      </c>
      <c r="Z252" s="16" t="str">
        <f t="shared" si="64"/>
        <v>saplings_CLUSTER06.csv</v>
      </c>
      <c r="AA252" s="16">
        <f t="shared" si="65"/>
        <v>350</v>
      </c>
      <c r="AB252" s="16" t="str">
        <f t="shared" si="66"/>
        <v>abe/no_mgmt.csv</v>
      </c>
      <c r="AC252" s="16" t="str">
        <f t="shared" si="67"/>
        <v>gis/WindModifier_cl6.asc</v>
      </c>
      <c r="AD252" s="16">
        <f t="shared" si="68"/>
        <v>6.8499999999999995E-4</v>
      </c>
      <c r="AE252" s="16" t="str">
        <f t="shared" si="71"/>
        <v>MPI-M-MPI-ESM-LR_historical_point29033</v>
      </c>
      <c r="AF252" s="16" t="str">
        <f t="shared" si="69"/>
        <v>wind_Events/cl6_repl4.txt</v>
      </c>
      <c r="AG252" s="16" t="str">
        <f t="shared" si="70"/>
        <v>MPI-M-MPI-ESM-LR_Cluster6_repl4</v>
      </c>
      <c r="AH252" s="16" t="s">
        <v>324</v>
      </c>
      <c r="AI252" s="16" t="s">
        <v>325</v>
      </c>
    </row>
    <row r="253" spans="1:35" ht="13.8">
      <c r="A253" s="7" t="str">
        <f t="shared" si="54"/>
        <v>NCC-NorESM1-M_Cluster6_repl4</v>
      </c>
      <c r="B253" s="8" t="s">
        <v>16</v>
      </c>
      <c r="C253" s="8"/>
      <c r="D253" s="9" t="s">
        <v>17</v>
      </c>
      <c r="E253" s="9" t="str">
        <f t="shared" si="55"/>
        <v>historical</v>
      </c>
      <c r="F253" s="8">
        <v>350</v>
      </c>
      <c r="G253" s="8" t="s">
        <v>60</v>
      </c>
      <c r="H253" s="8">
        <v>3</v>
      </c>
      <c r="I253" s="18">
        <v>6.8499999999999995E-4</v>
      </c>
      <c r="J253" s="8">
        <v>6</v>
      </c>
      <c r="K253" s="8" t="s">
        <v>176</v>
      </c>
      <c r="L253" s="8">
        <v>4</v>
      </c>
      <c r="M253" s="8"/>
      <c r="N253" s="8">
        <v>1</v>
      </c>
      <c r="O253" s="10" t="s">
        <v>21</v>
      </c>
      <c r="P253" s="17" t="s">
        <v>59</v>
      </c>
      <c r="Q253" s="10" t="str">
        <f t="shared" si="56"/>
        <v>NCC-NorESM1-M_Cluster6_repl4.sqlite</v>
      </c>
      <c r="R253" s="11">
        <f t="shared" si="57"/>
        <v>12</v>
      </c>
      <c r="S253" s="11">
        <v>0</v>
      </c>
      <c r="T253" s="16" t="str">
        <f t="shared" si="58"/>
        <v>climate_db_NCC-NorESM1-M_historical_v4.sqlite</v>
      </c>
      <c r="U253" s="16" t="str">
        <f t="shared" si="59"/>
        <v>log/NCC-NorESM1-M_Cluster6_repl4.txt</v>
      </c>
      <c r="V253" s="16" t="str">
        <f t="shared" si="60"/>
        <v>init/env_file_CLUSTER06_REPL4_NCC-NorESM1-M_historical.csv</v>
      </c>
      <c r="W253" s="16" t="str">
        <f t="shared" si="61"/>
        <v>init/env_grid_CLUSTER06_REPL4.asc</v>
      </c>
      <c r="X253" s="16" t="str">
        <f t="shared" si="62"/>
        <v>init/env_grid_CLUSTER06_REPL4.asc</v>
      </c>
      <c r="Y253" s="16" t="str">
        <f t="shared" si="63"/>
        <v>trees_CLUSTER06.csv</v>
      </c>
      <c r="Z253" s="16" t="str">
        <f t="shared" si="64"/>
        <v>saplings_CLUSTER06.csv</v>
      </c>
      <c r="AA253" s="16">
        <f t="shared" si="65"/>
        <v>350</v>
      </c>
      <c r="AB253" s="16" t="str">
        <f t="shared" si="66"/>
        <v>abe/no_mgmt.csv</v>
      </c>
      <c r="AC253" s="16" t="str">
        <f t="shared" si="67"/>
        <v>gis/WindModifier_cl6.asc</v>
      </c>
      <c r="AD253" s="16">
        <f t="shared" si="68"/>
        <v>6.8499999999999995E-4</v>
      </c>
      <c r="AE253" s="16" t="str">
        <f t="shared" si="71"/>
        <v>NCC-NorESM1-M_historical_point30070</v>
      </c>
      <c r="AF253" s="16" t="str">
        <f t="shared" si="69"/>
        <v>wind_Events/cl6_repl4.txt</v>
      </c>
      <c r="AG253" s="16" t="str">
        <f t="shared" si="70"/>
        <v>NCC-NorESM1-M_Cluster6_repl4</v>
      </c>
      <c r="AH253" s="16" t="s">
        <v>326</v>
      </c>
      <c r="AI253" s="16" t="s">
        <v>327</v>
      </c>
    </row>
    <row r="254" spans="1:35" ht="13.8">
      <c r="A254" s="7" t="str">
        <f t="shared" si="54"/>
        <v>ICHEC-EC-EARTH_Cluster6_repl5</v>
      </c>
      <c r="B254" s="8" t="s">
        <v>16</v>
      </c>
      <c r="C254" s="8"/>
      <c r="D254" s="9" t="s">
        <v>17</v>
      </c>
      <c r="E254" s="9" t="str">
        <f t="shared" si="55"/>
        <v>historical</v>
      </c>
      <c r="F254" s="8">
        <v>350</v>
      </c>
      <c r="G254" s="8" t="s">
        <v>18</v>
      </c>
      <c r="H254" s="8">
        <v>1</v>
      </c>
      <c r="I254" s="18">
        <v>6.8499999999999995E-4</v>
      </c>
      <c r="J254" s="8">
        <v>6</v>
      </c>
      <c r="K254" s="8" t="s">
        <v>161</v>
      </c>
      <c r="L254" s="8">
        <v>5</v>
      </c>
      <c r="M254" s="8"/>
      <c r="N254" s="8">
        <v>1</v>
      </c>
      <c r="O254" s="10" t="s">
        <v>21</v>
      </c>
      <c r="P254" s="17" t="s">
        <v>59</v>
      </c>
      <c r="Q254" s="10" t="str">
        <f t="shared" si="56"/>
        <v>ICHEC-EC-EARTH_Cluster6_repl5.sqlite</v>
      </c>
      <c r="R254" s="11">
        <f t="shared" si="57"/>
        <v>13</v>
      </c>
      <c r="S254" s="11">
        <v>0</v>
      </c>
      <c r="T254" s="16" t="str">
        <f t="shared" si="58"/>
        <v>climate_db_ICHEC-EC-EARTH_historical_v4.sqlite</v>
      </c>
      <c r="U254" s="16" t="str">
        <f t="shared" si="59"/>
        <v>log/ICHEC-EC-EARTH_Cluster6_repl5.txt</v>
      </c>
      <c r="V254" s="16" t="str">
        <f t="shared" si="60"/>
        <v>init/env_file_CLUSTER06_REPL5_ICHEC-EC-EARTH_historical.csv</v>
      </c>
      <c r="W254" s="16" t="str">
        <f t="shared" si="61"/>
        <v>init/env_grid_CLUSTER06_REPL5.asc</v>
      </c>
      <c r="X254" s="16" t="str">
        <f t="shared" si="62"/>
        <v>init/env_grid_CLUSTER06_REPL5.asc</v>
      </c>
      <c r="Y254" s="16" t="str">
        <f t="shared" si="63"/>
        <v>trees_CLUSTER06.csv</v>
      </c>
      <c r="Z254" s="16" t="str">
        <f t="shared" si="64"/>
        <v>saplings_CLUSTER06.csv</v>
      </c>
      <c r="AA254" s="16">
        <f t="shared" si="65"/>
        <v>350</v>
      </c>
      <c r="AB254" s="16" t="str">
        <f t="shared" si="66"/>
        <v>abe/no_mgmt.csv</v>
      </c>
      <c r="AC254" s="16" t="str">
        <f t="shared" si="67"/>
        <v>gis/WindModifier_cl6.asc</v>
      </c>
      <c r="AD254" s="16">
        <f t="shared" si="68"/>
        <v>6.8499999999999995E-4</v>
      </c>
      <c r="AE254" s="16" t="str">
        <f t="shared" si="71"/>
        <v>ICHEC-EC-EARTH_historical_point29731</v>
      </c>
      <c r="AF254" s="16" t="str">
        <f t="shared" si="69"/>
        <v>wind_Events/cl6_repl5.txt</v>
      </c>
      <c r="AG254" s="16" t="str">
        <f t="shared" si="70"/>
        <v>ICHEC-EC-EARTH_Cluster6_repl5</v>
      </c>
      <c r="AH254" s="16" t="s">
        <v>256</v>
      </c>
      <c r="AI254" s="16" t="s">
        <v>257</v>
      </c>
    </row>
    <row r="255" spans="1:35" ht="13.8">
      <c r="A255" s="7" t="str">
        <f t="shared" si="54"/>
        <v>MPI-M-MPI-ESM-LR_Cluster6_repl5</v>
      </c>
      <c r="B255" s="8" t="s">
        <v>16</v>
      </c>
      <c r="C255" s="8"/>
      <c r="D255" s="9" t="s">
        <v>17</v>
      </c>
      <c r="E255" s="9" t="str">
        <f t="shared" si="55"/>
        <v>historical</v>
      </c>
      <c r="F255" s="8">
        <v>350</v>
      </c>
      <c r="G255" s="8" t="s">
        <v>63</v>
      </c>
      <c r="H255" s="8">
        <v>2</v>
      </c>
      <c r="I255" s="18">
        <v>6.8499999999999995E-4</v>
      </c>
      <c r="J255" s="8">
        <v>6</v>
      </c>
      <c r="K255" s="8" t="s">
        <v>170</v>
      </c>
      <c r="L255" s="8">
        <v>5</v>
      </c>
      <c r="M255" s="8"/>
      <c r="N255" s="8">
        <v>1</v>
      </c>
      <c r="O255" s="10" t="s">
        <v>21</v>
      </c>
      <c r="P255" s="17" t="s">
        <v>59</v>
      </c>
      <c r="Q255" s="10" t="str">
        <f t="shared" si="56"/>
        <v>MPI-M-MPI-ESM-LR_Cluster6_repl5.sqlite</v>
      </c>
      <c r="R255" s="11">
        <f t="shared" si="57"/>
        <v>14</v>
      </c>
      <c r="S255" s="11">
        <v>0</v>
      </c>
      <c r="T255" s="16" t="str">
        <f t="shared" si="58"/>
        <v>climate_db_MPI-M-MPI-ESM-LR_historical_v4.sqlite</v>
      </c>
      <c r="U255" s="16" t="str">
        <f t="shared" si="59"/>
        <v>log/MPI-M-MPI-ESM-LR_Cluster6_repl5.txt</v>
      </c>
      <c r="V255" s="16" t="str">
        <f t="shared" si="60"/>
        <v>init/env_file_CLUSTER06_REPL5_MPI-M-MPI-ESM-LR_historical.csv</v>
      </c>
      <c r="W255" s="16" t="str">
        <f t="shared" si="61"/>
        <v>init/env_grid_CLUSTER06_REPL5.asc</v>
      </c>
      <c r="X255" s="16" t="str">
        <f t="shared" si="62"/>
        <v>init/env_grid_CLUSTER06_REPL5.asc</v>
      </c>
      <c r="Y255" s="16" t="str">
        <f t="shared" si="63"/>
        <v>trees_CLUSTER06.csv</v>
      </c>
      <c r="Z255" s="16" t="str">
        <f t="shared" si="64"/>
        <v>saplings_CLUSTER06.csv</v>
      </c>
      <c r="AA255" s="16">
        <f t="shared" si="65"/>
        <v>350</v>
      </c>
      <c r="AB255" s="16" t="str">
        <f t="shared" si="66"/>
        <v>abe/no_mgmt.csv</v>
      </c>
      <c r="AC255" s="16" t="str">
        <f t="shared" si="67"/>
        <v>gis/WindModifier_cl6.asc</v>
      </c>
      <c r="AD255" s="16">
        <f t="shared" si="68"/>
        <v>6.8499999999999995E-4</v>
      </c>
      <c r="AE255" s="16" t="str">
        <f t="shared" si="71"/>
        <v>MPI-M-MPI-ESM-LR_historical_point29033</v>
      </c>
      <c r="AF255" s="16" t="str">
        <f t="shared" si="69"/>
        <v>wind_Events/cl6_repl5.txt</v>
      </c>
      <c r="AG255" s="16" t="str">
        <f t="shared" si="70"/>
        <v>MPI-M-MPI-ESM-LR_Cluster6_repl5</v>
      </c>
      <c r="AH255" s="16" t="s">
        <v>258</v>
      </c>
      <c r="AI255" s="16" t="s">
        <v>259</v>
      </c>
    </row>
    <row r="256" spans="1:35" ht="13.8">
      <c r="A256" s="7" t="str">
        <f t="shared" si="54"/>
        <v>NCC-NorESM1-M_Cluster6_repl5</v>
      </c>
      <c r="B256" s="8" t="s">
        <v>16</v>
      </c>
      <c r="C256" s="8"/>
      <c r="D256" s="9" t="s">
        <v>17</v>
      </c>
      <c r="E256" s="9" t="str">
        <f t="shared" si="55"/>
        <v>historical</v>
      </c>
      <c r="F256" s="8">
        <v>350</v>
      </c>
      <c r="G256" s="8" t="s">
        <v>60</v>
      </c>
      <c r="H256" s="8">
        <v>3</v>
      </c>
      <c r="I256" s="18">
        <v>6.8499999999999995E-4</v>
      </c>
      <c r="J256" s="8">
        <v>6</v>
      </c>
      <c r="K256" s="8" t="s">
        <v>176</v>
      </c>
      <c r="L256" s="8">
        <v>5</v>
      </c>
      <c r="M256" s="8"/>
      <c r="N256" s="8">
        <v>1</v>
      </c>
      <c r="O256" s="10" t="s">
        <v>21</v>
      </c>
      <c r="P256" s="17" t="s">
        <v>59</v>
      </c>
      <c r="Q256" s="10" t="str">
        <f t="shared" si="56"/>
        <v>NCC-NorESM1-M_Cluster6_repl5.sqlite</v>
      </c>
      <c r="R256" s="11">
        <f t="shared" si="57"/>
        <v>15</v>
      </c>
      <c r="S256" s="11">
        <v>0</v>
      </c>
      <c r="T256" s="16" t="str">
        <f t="shared" si="58"/>
        <v>climate_db_NCC-NorESM1-M_historical_v4.sqlite</v>
      </c>
      <c r="U256" s="16" t="str">
        <f t="shared" si="59"/>
        <v>log/NCC-NorESM1-M_Cluster6_repl5.txt</v>
      </c>
      <c r="V256" s="16" t="str">
        <f t="shared" si="60"/>
        <v>init/env_file_CLUSTER06_REPL5_NCC-NorESM1-M_historical.csv</v>
      </c>
      <c r="W256" s="16" t="str">
        <f t="shared" si="61"/>
        <v>init/env_grid_CLUSTER06_REPL5.asc</v>
      </c>
      <c r="X256" s="16" t="str">
        <f t="shared" si="62"/>
        <v>init/env_grid_CLUSTER06_REPL5.asc</v>
      </c>
      <c r="Y256" s="16" t="str">
        <f t="shared" si="63"/>
        <v>trees_CLUSTER06.csv</v>
      </c>
      <c r="Z256" s="16" t="str">
        <f t="shared" si="64"/>
        <v>saplings_CLUSTER06.csv</v>
      </c>
      <c r="AA256" s="16">
        <f t="shared" si="65"/>
        <v>350</v>
      </c>
      <c r="AB256" s="16" t="str">
        <f t="shared" si="66"/>
        <v>abe/no_mgmt.csv</v>
      </c>
      <c r="AC256" s="16" t="str">
        <f t="shared" si="67"/>
        <v>gis/WindModifier_cl6.asc</v>
      </c>
      <c r="AD256" s="16">
        <f t="shared" si="68"/>
        <v>6.8499999999999995E-4</v>
      </c>
      <c r="AE256" s="16" t="str">
        <f t="shared" si="71"/>
        <v>NCC-NorESM1-M_historical_point30070</v>
      </c>
      <c r="AF256" s="16" t="str">
        <f t="shared" si="69"/>
        <v>wind_Events/cl6_repl5.txt</v>
      </c>
      <c r="AG256" s="16" t="str">
        <f t="shared" si="70"/>
        <v>NCC-NorESM1-M_Cluster6_repl5</v>
      </c>
      <c r="AH256" s="16" t="s">
        <v>260</v>
      </c>
      <c r="AI256" s="16" t="s">
        <v>261</v>
      </c>
    </row>
    <row r="257" spans="1:35" ht="13.8">
      <c r="A257" s="7" t="str">
        <f t="shared" si="54"/>
        <v>ICHEC-EC-EARTH_Cluster7_repl1</v>
      </c>
      <c r="B257" s="8" t="s">
        <v>16</v>
      </c>
      <c r="C257" s="8"/>
      <c r="D257" s="9" t="s">
        <v>17</v>
      </c>
      <c r="E257" s="9" t="str">
        <f t="shared" si="55"/>
        <v>historical</v>
      </c>
      <c r="F257" s="8">
        <v>350</v>
      </c>
      <c r="G257" s="8" t="s">
        <v>18</v>
      </c>
      <c r="H257" s="8">
        <v>1</v>
      </c>
      <c r="I257" s="18">
        <v>6.8499999999999995E-4</v>
      </c>
      <c r="J257" s="8">
        <v>7</v>
      </c>
      <c r="K257" s="8" t="s">
        <v>162</v>
      </c>
      <c r="L257" s="8">
        <v>1</v>
      </c>
      <c r="M257" s="8"/>
      <c r="N257" s="8">
        <v>1</v>
      </c>
      <c r="O257" s="10" t="s">
        <v>21</v>
      </c>
      <c r="P257" s="17" t="s">
        <v>59</v>
      </c>
      <c r="Q257" s="10" t="str">
        <f t="shared" si="56"/>
        <v>ICHEC-EC-EARTH_Cluster7_repl1.sqlite</v>
      </c>
      <c r="R257" s="11">
        <f t="shared" si="57"/>
        <v>1</v>
      </c>
      <c r="S257" s="11">
        <v>0</v>
      </c>
      <c r="T257" s="16" t="str">
        <f t="shared" si="58"/>
        <v>climate_db_ICHEC-EC-EARTH_historical_v4.sqlite</v>
      </c>
      <c r="U257" s="16" t="str">
        <f t="shared" si="59"/>
        <v>log/ICHEC-EC-EARTH_Cluster7_repl1.txt</v>
      </c>
      <c r="V257" s="16" t="str">
        <f t="shared" si="60"/>
        <v>init/env_file_CLUSTER07_REPL1_ICHEC-EC-EARTH_historical.csv</v>
      </c>
      <c r="W257" s="16" t="str">
        <f t="shared" si="61"/>
        <v>init/env_grid_CLUSTER07_REPL1.asc</v>
      </c>
      <c r="X257" s="16" t="str">
        <f t="shared" si="62"/>
        <v>init/env_grid_CLUSTER07_REPL1.asc</v>
      </c>
      <c r="Y257" s="16" t="str">
        <f t="shared" si="63"/>
        <v>trees_CLUSTER07.csv</v>
      </c>
      <c r="Z257" s="16" t="str">
        <f t="shared" si="64"/>
        <v>saplings_CLUSTER07.csv</v>
      </c>
      <c r="AA257" s="16">
        <f t="shared" si="65"/>
        <v>350</v>
      </c>
      <c r="AB257" s="16" t="str">
        <f t="shared" si="66"/>
        <v>abe/no_mgmt.csv</v>
      </c>
      <c r="AC257" s="16" t="str">
        <f t="shared" si="67"/>
        <v>gis/WindModifier_cl7.asc</v>
      </c>
      <c r="AD257" s="16">
        <f t="shared" si="68"/>
        <v>6.8499999999999995E-4</v>
      </c>
      <c r="AE257" s="16" t="str">
        <f t="shared" si="71"/>
        <v>ICHEC-EC-EARTH_historical_point26530</v>
      </c>
      <c r="AF257" s="16" t="str">
        <f t="shared" si="69"/>
        <v>wind_Events/cl7_repl1.txt</v>
      </c>
      <c r="AG257" s="16" t="str">
        <f t="shared" si="70"/>
        <v>ICHEC-EC-EARTH_Cluster7_repl1</v>
      </c>
      <c r="AH257" s="16" t="s">
        <v>262</v>
      </c>
      <c r="AI257" s="16" t="s">
        <v>263</v>
      </c>
    </row>
    <row r="258" spans="1:35" ht="13.8">
      <c r="A258" s="7" t="str">
        <f t="shared" ref="A258:A321" si="72" xml:space="preserve"> G258 &amp; "_" &amp; C258 &amp;"Cluster" &amp; J258 &amp; "_repl" &amp; L258</f>
        <v>MPI-M-MPI-ESM-LR_Cluster7_repl1</v>
      </c>
      <c r="B258" s="8" t="s">
        <v>16</v>
      </c>
      <c r="C258" s="8"/>
      <c r="D258" s="9" t="s">
        <v>17</v>
      </c>
      <c r="E258" s="9" t="str">
        <f t="shared" ref="E258:E321" si="73">IF(D258="historical", "historical", IF(D258="RCP26", "rcp_2_6", IF(D258="RCP45", "rcp_4_5", "rcp_8_5")))</f>
        <v>historical</v>
      </c>
      <c r="F258" s="8">
        <v>350</v>
      </c>
      <c r="G258" s="8" t="s">
        <v>63</v>
      </c>
      <c r="H258" s="8">
        <v>2</v>
      </c>
      <c r="I258" s="18">
        <v>6.8499999999999995E-4</v>
      </c>
      <c r="J258" s="8">
        <v>7</v>
      </c>
      <c r="K258" s="8" t="s">
        <v>162</v>
      </c>
      <c r="L258" s="8">
        <v>1</v>
      </c>
      <c r="M258" s="8"/>
      <c r="N258" s="8">
        <v>1</v>
      </c>
      <c r="O258" s="10" t="s">
        <v>21</v>
      </c>
      <c r="P258" s="17" t="s">
        <v>59</v>
      </c>
      <c r="Q258" s="10" t="str">
        <f t="shared" ref="Q258:Q321" si="74">A258  &amp; ".sqlite"</f>
        <v>MPI-M-MPI-ESM-LR_Cluster7_repl1.sqlite</v>
      </c>
      <c r="R258" s="11">
        <f t="shared" ref="R258:R321" si="75">(L258-1)*3+H258</f>
        <v>2</v>
      </c>
      <c r="S258" s="11">
        <v>0</v>
      </c>
      <c r="T258" s="16" t="str">
        <f t="shared" ref="T258:T321" si="76">"climate_db_" &amp; G258&amp; "_" &amp;  E258&amp; "_v4.sqlite"</f>
        <v>climate_db_MPI-M-MPI-ESM-LR_historical_v4.sqlite</v>
      </c>
      <c r="U258" s="16" t="str">
        <f t="shared" ref="U258:U321" si="77">"log/" &amp;A258  &amp; ".txt"</f>
        <v>log/MPI-M-MPI-ESM-LR_Cluster7_repl1.txt</v>
      </c>
      <c r="V258" s="16" t="str">
        <f t="shared" ref="V258:V321" si="78">"init/env_file_CLUSTER" &amp; TEXT(J258, "00") &amp; "_REPL" &amp; L258 &amp; "_" &amp; G258 &amp; "_" &amp; E258 &amp; ".csv"</f>
        <v>init/env_file_CLUSTER07_REPL1_MPI-M-MPI-ESM-LR_historical.csv</v>
      </c>
      <c r="W258" s="16" t="str">
        <f t="shared" ref="W258:W321" si="79">"init/env_grid_CLUSTER" &amp; TEXT(J258, "00") &amp; "_REPL" &amp; L258 &amp; ".asc"</f>
        <v>init/env_grid_CLUSTER07_REPL1.asc</v>
      </c>
      <c r="X258" s="16" t="str">
        <f t="shared" ref="X258:X321" si="80">W258</f>
        <v>init/env_grid_CLUSTER07_REPL1.asc</v>
      </c>
      <c r="Y258" s="16" t="str">
        <f t="shared" ref="Y258:Y321" si="81">"trees_CLUSTER" &amp; TEXT(J258, "00")  &amp; ".csv"</f>
        <v>trees_CLUSTER07.csv</v>
      </c>
      <c r="Z258" s="16" t="str">
        <f t="shared" ref="Z258:Z321" si="82">"saplings_CLUSTER" &amp; TEXT(J258, "00")  &amp; ".csv"</f>
        <v>saplings_CLUSTER07.csv</v>
      </c>
      <c r="AA258" s="16">
        <f t="shared" ref="AA258:AA321" si="83">F258</f>
        <v>350</v>
      </c>
      <c r="AB258" s="16" t="str">
        <f t="shared" ref="AB258:AB321" si="84">"abe/no_mgmt.csv"</f>
        <v>abe/no_mgmt.csv</v>
      </c>
      <c r="AC258" s="16" t="str">
        <f t="shared" ref="AC258:AC321" si="85">"gis/WindModifier_cl" &amp; J258 &amp; ".asc"</f>
        <v>gis/WindModifier_cl7.asc</v>
      </c>
      <c r="AD258" s="16">
        <f t="shared" ref="AD258:AD288" si="86">IF(C258="Scaled_", I258+0.0000000001,  0.000685)</f>
        <v>6.8499999999999995E-4</v>
      </c>
      <c r="AE258" s="16" t="str">
        <f t="shared" si="71"/>
        <v>MPI-M-MPI-ESM-LR_historical_point26530</v>
      </c>
      <c r="AF258" s="16" t="str">
        <f t="shared" ref="AF258:AF321" si="87">"wind_Events/" &amp; C258 &amp; "cl" &amp; J258 &amp; "_repl" &amp; L258 &amp; ".txt"</f>
        <v>wind_Events/cl7_repl1.txt</v>
      </c>
      <c r="AG258" s="16" t="str">
        <f t="shared" ref="AG258:AG286" si="88">A258</f>
        <v>MPI-M-MPI-ESM-LR_Cluster7_repl1</v>
      </c>
      <c r="AH258" s="16" t="s">
        <v>264</v>
      </c>
      <c r="AI258" s="16" t="s">
        <v>265</v>
      </c>
    </row>
    <row r="259" spans="1:35" ht="13.8">
      <c r="A259" s="7" t="str">
        <f t="shared" si="72"/>
        <v>NCC-NorESM1-M_Cluster7_repl1</v>
      </c>
      <c r="B259" s="8" t="s">
        <v>16</v>
      </c>
      <c r="C259" s="8"/>
      <c r="D259" s="9" t="s">
        <v>17</v>
      </c>
      <c r="E259" s="9" t="str">
        <f t="shared" si="73"/>
        <v>historical</v>
      </c>
      <c r="F259" s="8">
        <v>350</v>
      </c>
      <c r="G259" s="8" t="s">
        <v>60</v>
      </c>
      <c r="H259" s="8">
        <v>3</v>
      </c>
      <c r="I259" s="18">
        <v>6.8499999999999995E-4</v>
      </c>
      <c r="J259" s="8">
        <v>7</v>
      </c>
      <c r="K259" s="8" t="s">
        <v>177</v>
      </c>
      <c r="L259" s="8">
        <v>1</v>
      </c>
      <c r="M259" s="8"/>
      <c r="N259" s="8">
        <v>1</v>
      </c>
      <c r="O259" s="10" t="s">
        <v>21</v>
      </c>
      <c r="P259" s="17" t="s">
        <v>59</v>
      </c>
      <c r="Q259" s="10" t="str">
        <f t="shared" si="74"/>
        <v>NCC-NorESM1-M_Cluster7_repl1.sqlite</v>
      </c>
      <c r="R259" s="11">
        <f t="shared" si="75"/>
        <v>3</v>
      </c>
      <c r="S259" s="11">
        <v>0</v>
      </c>
      <c r="T259" s="16" t="str">
        <f t="shared" si="76"/>
        <v>climate_db_NCC-NorESM1-M_historical_v4.sqlite</v>
      </c>
      <c r="U259" s="16" t="str">
        <f t="shared" si="77"/>
        <v>log/NCC-NorESM1-M_Cluster7_repl1.txt</v>
      </c>
      <c r="V259" s="16" t="str">
        <f t="shared" si="78"/>
        <v>init/env_file_CLUSTER07_REPL1_NCC-NorESM1-M_historical.csv</v>
      </c>
      <c r="W259" s="16" t="str">
        <f t="shared" si="79"/>
        <v>init/env_grid_CLUSTER07_REPL1.asc</v>
      </c>
      <c r="X259" s="16" t="str">
        <f t="shared" si="80"/>
        <v>init/env_grid_CLUSTER07_REPL1.asc</v>
      </c>
      <c r="Y259" s="16" t="str">
        <f t="shared" si="81"/>
        <v>trees_CLUSTER07.csv</v>
      </c>
      <c r="Z259" s="16" t="str">
        <f t="shared" si="82"/>
        <v>saplings_CLUSTER07.csv</v>
      </c>
      <c r="AA259" s="16">
        <f t="shared" si="83"/>
        <v>350</v>
      </c>
      <c r="AB259" s="16" t="str">
        <f t="shared" si="84"/>
        <v>abe/no_mgmt.csv</v>
      </c>
      <c r="AC259" s="16" t="str">
        <f t="shared" si="85"/>
        <v>gis/WindModifier_cl7.asc</v>
      </c>
      <c r="AD259" s="16">
        <f t="shared" si="86"/>
        <v>6.8499999999999995E-4</v>
      </c>
      <c r="AE259" s="16" t="str">
        <f t="shared" ref="AE259:AE322" si="89">G259 &amp; "_" &amp; E259 &amp; "_point" &amp; K259</f>
        <v>NCC-NorESM1-M_historical_point26183</v>
      </c>
      <c r="AF259" s="16" t="str">
        <f t="shared" si="87"/>
        <v>wind_Events/cl7_repl1.txt</v>
      </c>
      <c r="AG259" s="16" t="str">
        <f t="shared" si="88"/>
        <v>NCC-NorESM1-M_Cluster7_repl1</v>
      </c>
      <c r="AH259" s="16" t="s">
        <v>266</v>
      </c>
      <c r="AI259" s="16" t="s">
        <v>267</v>
      </c>
    </row>
    <row r="260" spans="1:35" ht="13.8">
      <c r="A260" s="7" t="str">
        <f t="shared" si="72"/>
        <v>ICHEC-EC-EARTH_Cluster7_repl2</v>
      </c>
      <c r="B260" s="8" t="s">
        <v>16</v>
      </c>
      <c r="C260" s="8"/>
      <c r="D260" s="9" t="s">
        <v>17</v>
      </c>
      <c r="E260" s="9" t="str">
        <f t="shared" si="73"/>
        <v>historical</v>
      </c>
      <c r="F260" s="8">
        <v>350</v>
      </c>
      <c r="G260" s="8" t="s">
        <v>18</v>
      </c>
      <c r="H260" s="8">
        <v>1</v>
      </c>
      <c r="I260" s="18">
        <v>6.8499999999999995E-4</v>
      </c>
      <c r="J260" s="8">
        <v>7</v>
      </c>
      <c r="K260" s="8" t="s">
        <v>162</v>
      </c>
      <c r="L260" s="8">
        <v>2</v>
      </c>
      <c r="M260" s="8"/>
      <c r="N260" s="8">
        <v>1</v>
      </c>
      <c r="O260" s="10" t="s">
        <v>21</v>
      </c>
      <c r="P260" s="17" t="s">
        <v>59</v>
      </c>
      <c r="Q260" s="10" t="str">
        <f t="shared" si="74"/>
        <v>ICHEC-EC-EARTH_Cluster7_repl2.sqlite</v>
      </c>
      <c r="R260" s="11">
        <f t="shared" si="75"/>
        <v>4</v>
      </c>
      <c r="S260" s="11">
        <v>0</v>
      </c>
      <c r="T260" s="16" t="str">
        <f t="shared" si="76"/>
        <v>climate_db_ICHEC-EC-EARTH_historical_v4.sqlite</v>
      </c>
      <c r="U260" s="16" t="str">
        <f t="shared" si="77"/>
        <v>log/ICHEC-EC-EARTH_Cluster7_repl2.txt</v>
      </c>
      <c r="V260" s="16" t="str">
        <f t="shared" si="78"/>
        <v>init/env_file_CLUSTER07_REPL2_ICHEC-EC-EARTH_historical.csv</v>
      </c>
      <c r="W260" s="16" t="str">
        <f t="shared" si="79"/>
        <v>init/env_grid_CLUSTER07_REPL2.asc</v>
      </c>
      <c r="X260" s="16" t="str">
        <f t="shared" si="80"/>
        <v>init/env_grid_CLUSTER07_REPL2.asc</v>
      </c>
      <c r="Y260" s="16" t="str">
        <f t="shared" si="81"/>
        <v>trees_CLUSTER07.csv</v>
      </c>
      <c r="Z260" s="16" t="str">
        <f t="shared" si="82"/>
        <v>saplings_CLUSTER07.csv</v>
      </c>
      <c r="AA260" s="16">
        <f t="shared" si="83"/>
        <v>350</v>
      </c>
      <c r="AB260" s="16" t="str">
        <f t="shared" si="84"/>
        <v>abe/no_mgmt.csv</v>
      </c>
      <c r="AC260" s="16" t="str">
        <f t="shared" si="85"/>
        <v>gis/WindModifier_cl7.asc</v>
      </c>
      <c r="AD260" s="16">
        <f t="shared" si="86"/>
        <v>6.8499999999999995E-4</v>
      </c>
      <c r="AE260" s="16" t="str">
        <f t="shared" si="89"/>
        <v>ICHEC-EC-EARTH_historical_point26530</v>
      </c>
      <c r="AF260" s="16" t="str">
        <f t="shared" si="87"/>
        <v>wind_Events/cl7_repl2.txt</v>
      </c>
      <c r="AG260" s="16" t="str">
        <f t="shared" si="88"/>
        <v>ICHEC-EC-EARTH_Cluster7_repl2</v>
      </c>
      <c r="AH260" s="16" t="s">
        <v>268</v>
      </c>
      <c r="AI260" s="16" t="s">
        <v>269</v>
      </c>
    </row>
    <row r="261" spans="1:35" ht="13.8">
      <c r="A261" s="7" t="str">
        <f t="shared" si="72"/>
        <v>MPI-M-MPI-ESM-LR_Cluster7_repl2</v>
      </c>
      <c r="B261" s="8" t="s">
        <v>16</v>
      </c>
      <c r="C261" s="8"/>
      <c r="D261" s="9" t="s">
        <v>17</v>
      </c>
      <c r="E261" s="9" t="str">
        <f t="shared" si="73"/>
        <v>historical</v>
      </c>
      <c r="F261" s="8">
        <v>350</v>
      </c>
      <c r="G261" s="8" t="s">
        <v>63</v>
      </c>
      <c r="H261" s="8">
        <v>2</v>
      </c>
      <c r="I261" s="18">
        <v>6.8499999999999995E-4</v>
      </c>
      <c r="J261" s="8">
        <v>7</v>
      </c>
      <c r="K261" s="8" t="s">
        <v>162</v>
      </c>
      <c r="L261" s="8">
        <v>2</v>
      </c>
      <c r="M261" s="8"/>
      <c r="N261" s="8">
        <v>1</v>
      </c>
      <c r="O261" s="10" t="s">
        <v>21</v>
      </c>
      <c r="P261" s="17" t="s">
        <v>59</v>
      </c>
      <c r="Q261" s="10" t="str">
        <f t="shared" si="74"/>
        <v>MPI-M-MPI-ESM-LR_Cluster7_repl2.sqlite</v>
      </c>
      <c r="R261" s="11">
        <f t="shared" si="75"/>
        <v>5</v>
      </c>
      <c r="S261" s="11">
        <v>0</v>
      </c>
      <c r="T261" s="16" t="str">
        <f t="shared" si="76"/>
        <v>climate_db_MPI-M-MPI-ESM-LR_historical_v4.sqlite</v>
      </c>
      <c r="U261" s="16" t="str">
        <f t="shared" si="77"/>
        <v>log/MPI-M-MPI-ESM-LR_Cluster7_repl2.txt</v>
      </c>
      <c r="V261" s="16" t="str">
        <f t="shared" si="78"/>
        <v>init/env_file_CLUSTER07_REPL2_MPI-M-MPI-ESM-LR_historical.csv</v>
      </c>
      <c r="W261" s="16" t="str">
        <f t="shared" si="79"/>
        <v>init/env_grid_CLUSTER07_REPL2.asc</v>
      </c>
      <c r="X261" s="16" t="str">
        <f t="shared" si="80"/>
        <v>init/env_grid_CLUSTER07_REPL2.asc</v>
      </c>
      <c r="Y261" s="16" t="str">
        <f t="shared" si="81"/>
        <v>trees_CLUSTER07.csv</v>
      </c>
      <c r="Z261" s="16" t="str">
        <f t="shared" si="82"/>
        <v>saplings_CLUSTER07.csv</v>
      </c>
      <c r="AA261" s="16">
        <f t="shared" si="83"/>
        <v>350</v>
      </c>
      <c r="AB261" s="16" t="str">
        <f t="shared" si="84"/>
        <v>abe/no_mgmt.csv</v>
      </c>
      <c r="AC261" s="16" t="str">
        <f t="shared" si="85"/>
        <v>gis/WindModifier_cl7.asc</v>
      </c>
      <c r="AD261" s="16">
        <f t="shared" si="86"/>
        <v>6.8499999999999995E-4</v>
      </c>
      <c r="AE261" s="16" t="str">
        <f t="shared" si="89"/>
        <v>MPI-M-MPI-ESM-LR_historical_point26530</v>
      </c>
      <c r="AF261" s="16" t="str">
        <f t="shared" si="87"/>
        <v>wind_Events/cl7_repl2.txt</v>
      </c>
      <c r="AG261" s="16" t="str">
        <f t="shared" si="88"/>
        <v>MPI-M-MPI-ESM-LR_Cluster7_repl2</v>
      </c>
      <c r="AH261" s="16" t="s">
        <v>270</v>
      </c>
      <c r="AI261" s="16" t="s">
        <v>271</v>
      </c>
    </row>
    <row r="262" spans="1:35" ht="13.8">
      <c r="A262" s="7" t="str">
        <f t="shared" si="72"/>
        <v>NCC-NorESM1-M_Cluster7_repl2</v>
      </c>
      <c r="B262" s="8" t="s">
        <v>16</v>
      </c>
      <c r="C262" s="8"/>
      <c r="D262" s="9" t="s">
        <v>17</v>
      </c>
      <c r="E262" s="9" t="str">
        <f t="shared" si="73"/>
        <v>historical</v>
      </c>
      <c r="F262" s="8">
        <v>350</v>
      </c>
      <c r="G262" s="8" t="s">
        <v>60</v>
      </c>
      <c r="H262" s="8">
        <v>3</v>
      </c>
      <c r="I262" s="18">
        <v>6.8499999999999995E-4</v>
      </c>
      <c r="J262" s="8">
        <v>7</v>
      </c>
      <c r="K262" s="8" t="s">
        <v>177</v>
      </c>
      <c r="L262" s="8">
        <v>2</v>
      </c>
      <c r="M262" s="8"/>
      <c r="N262" s="8">
        <v>1</v>
      </c>
      <c r="O262" s="10" t="s">
        <v>21</v>
      </c>
      <c r="P262" s="17" t="s">
        <v>59</v>
      </c>
      <c r="Q262" s="10" t="str">
        <f t="shared" si="74"/>
        <v>NCC-NorESM1-M_Cluster7_repl2.sqlite</v>
      </c>
      <c r="R262" s="11">
        <f t="shared" si="75"/>
        <v>6</v>
      </c>
      <c r="S262" s="11">
        <v>0</v>
      </c>
      <c r="T262" s="16" t="str">
        <f t="shared" si="76"/>
        <v>climate_db_NCC-NorESM1-M_historical_v4.sqlite</v>
      </c>
      <c r="U262" s="16" t="str">
        <f t="shared" si="77"/>
        <v>log/NCC-NorESM1-M_Cluster7_repl2.txt</v>
      </c>
      <c r="V262" s="16" t="str">
        <f t="shared" si="78"/>
        <v>init/env_file_CLUSTER07_REPL2_NCC-NorESM1-M_historical.csv</v>
      </c>
      <c r="W262" s="16" t="str">
        <f t="shared" si="79"/>
        <v>init/env_grid_CLUSTER07_REPL2.asc</v>
      </c>
      <c r="X262" s="16" t="str">
        <f t="shared" si="80"/>
        <v>init/env_grid_CLUSTER07_REPL2.asc</v>
      </c>
      <c r="Y262" s="16" t="str">
        <f t="shared" si="81"/>
        <v>trees_CLUSTER07.csv</v>
      </c>
      <c r="Z262" s="16" t="str">
        <f t="shared" si="82"/>
        <v>saplings_CLUSTER07.csv</v>
      </c>
      <c r="AA262" s="16">
        <f t="shared" si="83"/>
        <v>350</v>
      </c>
      <c r="AB262" s="16" t="str">
        <f t="shared" si="84"/>
        <v>abe/no_mgmt.csv</v>
      </c>
      <c r="AC262" s="16" t="str">
        <f t="shared" si="85"/>
        <v>gis/WindModifier_cl7.asc</v>
      </c>
      <c r="AD262" s="16">
        <f t="shared" si="86"/>
        <v>6.8499999999999995E-4</v>
      </c>
      <c r="AE262" s="16" t="str">
        <f t="shared" si="89"/>
        <v>NCC-NorESM1-M_historical_point26183</v>
      </c>
      <c r="AF262" s="16" t="str">
        <f t="shared" si="87"/>
        <v>wind_Events/cl7_repl2.txt</v>
      </c>
      <c r="AG262" s="16" t="str">
        <f t="shared" si="88"/>
        <v>NCC-NorESM1-M_Cluster7_repl2</v>
      </c>
      <c r="AH262" s="16" t="s">
        <v>272</v>
      </c>
      <c r="AI262" s="16" t="s">
        <v>273</v>
      </c>
    </row>
    <row r="263" spans="1:35" ht="13.8">
      <c r="A263" s="7" t="str">
        <f t="shared" si="72"/>
        <v>ICHEC-EC-EARTH_Cluster7_repl3</v>
      </c>
      <c r="B263" s="8" t="s">
        <v>16</v>
      </c>
      <c r="C263" s="8"/>
      <c r="D263" s="9" t="s">
        <v>17</v>
      </c>
      <c r="E263" s="9" t="str">
        <f t="shared" si="73"/>
        <v>historical</v>
      </c>
      <c r="F263" s="8">
        <v>350</v>
      </c>
      <c r="G263" s="8" t="s">
        <v>18</v>
      </c>
      <c r="H263" s="8">
        <v>1</v>
      </c>
      <c r="I263" s="18">
        <v>6.8499999999999995E-4</v>
      </c>
      <c r="J263" s="8">
        <v>7</v>
      </c>
      <c r="K263" s="8" t="s">
        <v>162</v>
      </c>
      <c r="L263" s="8">
        <v>3</v>
      </c>
      <c r="M263" s="8"/>
      <c r="N263" s="8">
        <v>1</v>
      </c>
      <c r="O263" s="10" t="s">
        <v>21</v>
      </c>
      <c r="P263" s="17" t="s">
        <v>59</v>
      </c>
      <c r="Q263" s="10" t="str">
        <f t="shared" si="74"/>
        <v>ICHEC-EC-EARTH_Cluster7_repl3.sqlite</v>
      </c>
      <c r="R263" s="11">
        <f t="shared" si="75"/>
        <v>7</v>
      </c>
      <c r="S263" s="11">
        <v>0</v>
      </c>
      <c r="T263" s="16" t="str">
        <f t="shared" si="76"/>
        <v>climate_db_ICHEC-EC-EARTH_historical_v4.sqlite</v>
      </c>
      <c r="U263" s="16" t="str">
        <f t="shared" si="77"/>
        <v>log/ICHEC-EC-EARTH_Cluster7_repl3.txt</v>
      </c>
      <c r="V263" s="16" t="str">
        <f t="shared" si="78"/>
        <v>init/env_file_CLUSTER07_REPL3_ICHEC-EC-EARTH_historical.csv</v>
      </c>
      <c r="W263" s="16" t="str">
        <f t="shared" si="79"/>
        <v>init/env_grid_CLUSTER07_REPL3.asc</v>
      </c>
      <c r="X263" s="16" t="str">
        <f t="shared" si="80"/>
        <v>init/env_grid_CLUSTER07_REPL3.asc</v>
      </c>
      <c r="Y263" s="16" t="str">
        <f t="shared" si="81"/>
        <v>trees_CLUSTER07.csv</v>
      </c>
      <c r="Z263" s="16" t="str">
        <f t="shared" si="82"/>
        <v>saplings_CLUSTER07.csv</v>
      </c>
      <c r="AA263" s="16">
        <f t="shared" si="83"/>
        <v>350</v>
      </c>
      <c r="AB263" s="16" t="str">
        <f t="shared" si="84"/>
        <v>abe/no_mgmt.csv</v>
      </c>
      <c r="AC263" s="16" t="str">
        <f t="shared" si="85"/>
        <v>gis/WindModifier_cl7.asc</v>
      </c>
      <c r="AD263" s="16">
        <f t="shared" si="86"/>
        <v>6.8499999999999995E-4</v>
      </c>
      <c r="AE263" s="16" t="str">
        <f t="shared" si="89"/>
        <v>ICHEC-EC-EARTH_historical_point26530</v>
      </c>
      <c r="AF263" s="16" t="str">
        <f t="shared" si="87"/>
        <v>wind_Events/cl7_repl3.txt</v>
      </c>
      <c r="AG263" s="16" t="str">
        <f t="shared" si="88"/>
        <v>ICHEC-EC-EARTH_Cluster7_repl3</v>
      </c>
      <c r="AH263" s="16" t="s">
        <v>274</v>
      </c>
      <c r="AI263" s="16" t="s">
        <v>275</v>
      </c>
    </row>
    <row r="264" spans="1:35" ht="13.8">
      <c r="A264" s="7" t="str">
        <f t="shared" si="72"/>
        <v>MPI-M-MPI-ESM-LR_Cluster7_repl3</v>
      </c>
      <c r="B264" s="8" t="s">
        <v>16</v>
      </c>
      <c r="C264" s="8"/>
      <c r="D264" s="9" t="s">
        <v>17</v>
      </c>
      <c r="E264" s="9" t="str">
        <f t="shared" si="73"/>
        <v>historical</v>
      </c>
      <c r="F264" s="8">
        <v>350</v>
      </c>
      <c r="G264" s="8" t="s">
        <v>63</v>
      </c>
      <c r="H264" s="8">
        <v>2</v>
      </c>
      <c r="I264" s="18">
        <v>6.8499999999999995E-4</v>
      </c>
      <c r="J264" s="8">
        <v>7</v>
      </c>
      <c r="K264" s="8" t="s">
        <v>162</v>
      </c>
      <c r="L264" s="8">
        <v>3</v>
      </c>
      <c r="M264" s="8"/>
      <c r="N264" s="8">
        <v>1</v>
      </c>
      <c r="O264" s="10" t="s">
        <v>21</v>
      </c>
      <c r="P264" s="17" t="s">
        <v>59</v>
      </c>
      <c r="Q264" s="10" t="str">
        <f t="shared" si="74"/>
        <v>MPI-M-MPI-ESM-LR_Cluster7_repl3.sqlite</v>
      </c>
      <c r="R264" s="11">
        <f t="shared" si="75"/>
        <v>8</v>
      </c>
      <c r="S264" s="11">
        <v>0</v>
      </c>
      <c r="T264" s="16" t="str">
        <f t="shared" si="76"/>
        <v>climate_db_MPI-M-MPI-ESM-LR_historical_v4.sqlite</v>
      </c>
      <c r="U264" s="16" t="str">
        <f t="shared" si="77"/>
        <v>log/MPI-M-MPI-ESM-LR_Cluster7_repl3.txt</v>
      </c>
      <c r="V264" s="16" t="str">
        <f t="shared" si="78"/>
        <v>init/env_file_CLUSTER07_REPL3_MPI-M-MPI-ESM-LR_historical.csv</v>
      </c>
      <c r="W264" s="16" t="str">
        <f t="shared" si="79"/>
        <v>init/env_grid_CLUSTER07_REPL3.asc</v>
      </c>
      <c r="X264" s="16" t="str">
        <f t="shared" si="80"/>
        <v>init/env_grid_CLUSTER07_REPL3.asc</v>
      </c>
      <c r="Y264" s="16" t="str">
        <f t="shared" si="81"/>
        <v>trees_CLUSTER07.csv</v>
      </c>
      <c r="Z264" s="16" t="str">
        <f t="shared" si="82"/>
        <v>saplings_CLUSTER07.csv</v>
      </c>
      <c r="AA264" s="16">
        <f t="shared" si="83"/>
        <v>350</v>
      </c>
      <c r="AB264" s="16" t="str">
        <f t="shared" si="84"/>
        <v>abe/no_mgmt.csv</v>
      </c>
      <c r="AC264" s="16" t="str">
        <f t="shared" si="85"/>
        <v>gis/WindModifier_cl7.asc</v>
      </c>
      <c r="AD264" s="16">
        <f t="shared" si="86"/>
        <v>6.8499999999999995E-4</v>
      </c>
      <c r="AE264" s="16" t="str">
        <f t="shared" si="89"/>
        <v>MPI-M-MPI-ESM-LR_historical_point26530</v>
      </c>
      <c r="AF264" s="16" t="str">
        <f t="shared" si="87"/>
        <v>wind_Events/cl7_repl3.txt</v>
      </c>
      <c r="AG264" s="16" t="str">
        <f t="shared" si="88"/>
        <v>MPI-M-MPI-ESM-LR_Cluster7_repl3</v>
      </c>
      <c r="AH264" s="16" t="s">
        <v>276</v>
      </c>
      <c r="AI264" s="16" t="s">
        <v>277</v>
      </c>
    </row>
    <row r="265" spans="1:35" ht="13.8">
      <c r="A265" s="7" t="str">
        <f t="shared" si="72"/>
        <v>NCC-NorESM1-M_Cluster7_repl3</v>
      </c>
      <c r="B265" s="8" t="s">
        <v>16</v>
      </c>
      <c r="C265" s="8"/>
      <c r="D265" s="9" t="s">
        <v>17</v>
      </c>
      <c r="E265" s="9" t="str">
        <f t="shared" si="73"/>
        <v>historical</v>
      </c>
      <c r="F265" s="8">
        <v>350</v>
      </c>
      <c r="G265" s="8" t="s">
        <v>60</v>
      </c>
      <c r="H265" s="8">
        <v>3</v>
      </c>
      <c r="I265" s="18">
        <v>6.8499999999999995E-4</v>
      </c>
      <c r="J265" s="8">
        <v>7</v>
      </c>
      <c r="K265" s="8" t="s">
        <v>177</v>
      </c>
      <c r="L265" s="8">
        <v>3</v>
      </c>
      <c r="M265" s="8"/>
      <c r="N265" s="8">
        <v>1</v>
      </c>
      <c r="O265" s="10" t="s">
        <v>21</v>
      </c>
      <c r="P265" s="17" t="s">
        <v>59</v>
      </c>
      <c r="Q265" s="10" t="str">
        <f t="shared" si="74"/>
        <v>NCC-NorESM1-M_Cluster7_repl3.sqlite</v>
      </c>
      <c r="R265" s="11">
        <f t="shared" si="75"/>
        <v>9</v>
      </c>
      <c r="S265" s="11">
        <v>0</v>
      </c>
      <c r="T265" s="16" t="str">
        <f t="shared" si="76"/>
        <v>climate_db_NCC-NorESM1-M_historical_v4.sqlite</v>
      </c>
      <c r="U265" s="16" t="str">
        <f t="shared" si="77"/>
        <v>log/NCC-NorESM1-M_Cluster7_repl3.txt</v>
      </c>
      <c r="V265" s="16" t="str">
        <f t="shared" si="78"/>
        <v>init/env_file_CLUSTER07_REPL3_NCC-NorESM1-M_historical.csv</v>
      </c>
      <c r="W265" s="16" t="str">
        <f t="shared" si="79"/>
        <v>init/env_grid_CLUSTER07_REPL3.asc</v>
      </c>
      <c r="X265" s="16" t="str">
        <f t="shared" si="80"/>
        <v>init/env_grid_CLUSTER07_REPL3.asc</v>
      </c>
      <c r="Y265" s="16" t="str">
        <f t="shared" si="81"/>
        <v>trees_CLUSTER07.csv</v>
      </c>
      <c r="Z265" s="16" t="str">
        <f t="shared" si="82"/>
        <v>saplings_CLUSTER07.csv</v>
      </c>
      <c r="AA265" s="16">
        <f t="shared" si="83"/>
        <v>350</v>
      </c>
      <c r="AB265" s="16" t="str">
        <f t="shared" si="84"/>
        <v>abe/no_mgmt.csv</v>
      </c>
      <c r="AC265" s="16" t="str">
        <f t="shared" si="85"/>
        <v>gis/WindModifier_cl7.asc</v>
      </c>
      <c r="AD265" s="16">
        <f t="shared" si="86"/>
        <v>6.8499999999999995E-4</v>
      </c>
      <c r="AE265" s="16" t="str">
        <f t="shared" si="89"/>
        <v>NCC-NorESM1-M_historical_point26183</v>
      </c>
      <c r="AF265" s="16" t="str">
        <f t="shared" si="87"/>
        <v>wind_Events/cl7_repl3.txt</v>
      </c>
      <c r="AG265" s="16" t="str">
        <f t="shared" si="88"/>
        <v>NCC-NorESM1-M_Cluster7_repl3</v>
      </c>
      <c r="AH265" s="16" t="s">
        <v>278</v>
      </c>
      <c r="AI265" s="16" t="s">
        <v>279</v>
      </c>
    </row>
    <row r="266" spans="1:35" ht="13.8">
      <c r="A266" s="7" t="str">
        <f t="shared" si="72"/>
        <v>ICHEC-EC-EARTH_Cluster7_repl4</v>
      </c>
      <c r="B266" s="8" t="s">
        <v>16</v>
      </c>
      <c r="C266" s="8"/>
      <c r="D266" s="9" t="s">
        <v>17</v>
      </c>
      <c r="E266" s="9" t="str">
        <f t="shared" si="73"/>
        <v>historical</v>
      </c>
      <c r="F266" s="8">
        <v>350</v>
      </c>
      <c r="G266" s="8" t="s">
        <v>18</v>
      </c>
      <c r="H266" s="8">
        <v>1</v>
      </c>
      <c r="I266" s="18">
        <v>6.8499999999999995E-4</v>
      </c>
      <c r="J266" s="8">
        <v>7</v>
      </c>
      <c r="K266" s="8" t="s">
        <v>162</v>
      </c>
      <c r="L266" s="8">
        <v>4</v>
      </c>
      <c r="M266" s="8"/>
      <c r="N266" s="8">
        <v>1</v>
      </c>
      <c r="O266" s="10" t="s">
        <v>21</v>
      </c>
      <c r="P266" s="17" t="s">
        <v>59</v>
      </c>
      <c r="Q266" s="10" t="str">
        <f t="shared" si="74"/>
        <v>ICHEC-EC-EARTH_Cluster7_repl4.sqlite</v>
      </c>
      <c r="R266" s="11">
        <f t="shared" si="75"/>
        <v>10</v>
      </c>
      <c r="S266" s="11">
        <v>0</v>
      </c>
      <c r="T266" s="16" t="str">
        <f t="shared" si="76"/>
        <v>climate_db_ICHEC-EC-EARTH_historical_v4.sqlite</v>
      </c>
      <c r="U266" s="16" t="str">
        <f t="shared" si="77"/>
        <v>log/ICHEC-EC-EARTH_Cluster7_repl4.txt</v>
      </c>
      <c r="V266" s="16" t="str">
        <f t="shared" si="78"/>
        <v>init/env_file_CLUSTER07_REPL4_ICHEC-EC-EARTH_historical.csv</v>
      </c>
      <c r="W266" s="16" t="str">
        <f t="shared" si="79"/>
        <v>init/env_grid_CLUSTER07_REPL4.asc</v>
      </c>
      <c r="X266" s="16" t="str">
        <f t="shared" si="80"/>
        <v>init/env_grid_CLUSTER07_REPL4.asc</v>
      </c>
      <c r="Y266" s="16" t="str">
        <f t="shared" si="81"/>
        <v>trees_CLUSTER07.csv</v>
      </c>
      <c r="Z266" s="16" t="str">
        <f t="shared" si="82"/>
        <v>saplings_CLUSTER07.csv</v>
      </c>
      <c r="AA266" s="16">
        <f t="shared" si="83"/>
        <v>350</v>
      </c>
      <c r="AB266" s="16" t="str">
        <f t="shared" si="84"/>
        <v>abe/no_mgmt.csv</v>
      </c>
      <c r="AC266" s="16" t="str">
        <f t="shared" si="85"/>
        <v>gis/WindModifier_cl7.asc</v>
      </c>
      <c r="AD266" s="16">
        <f t="shared" si="86"/>
        <v>6.8499999999999995E-4</v>
      </c>
      <c r="AE266" s="16" t="str">
        <f t="shared" si="89"/>
        <v>ICHEC-EC-EARTH_historical_point26530</v>
      </c>
      <c r="AF266" s="16" t="str">
        <f t="shared" si="87"/>
        <v>wind_Events/cl7_repl4.txt</v>
      </c>
      <c r="AG266" s="16" t="str">
        <f t="shared" si="88"/>
        <v>ICHEC-EC-EARTH_Cluster7_repl4</v>
      </c>
      <c r="AH266" s="16" t="s">
        <v>280</v>
      </c>
      <c r="AI266" s="16" t="s">
        <v>281</v>
      </c>
    </row>
    <row r="267" spans="1:35" ht="13.8">
      <c r="A267" s="7" t="str">
        <f t="shared" si="72"/>
        <v>MPI-M-MPI-ESM-LR_Cluster7_repl4</v>
      </c>
      <c r="B267" s="8" t="s">
        <v>16</v>
      </c>
      <c r="C267" s="8"/>
      <c r="D267" s="9" t="s">
        <v>17</v>
      </c>
      <c r="E267" s="9" t="str">
        <f t="shared" si="73"/>
        <v>historical</v>
      </c>
      <c r="F267" s="8">
        <v>350</v>
      </c>
      <c r="G267" s="8" t="s">
        <v>63</v>
      </c>
      <c r="H267" s="8">
        <v>2</v>
      </c>
      <c r="I267" s="18">
        <v>6.8499999999999995E-4</v>
      </c>
      <c r="J267" s="8">
        <v>7</v>
      </c>
      <c r="K267" s="8" t="s">
        <v>162</v>
      </c>
      <c r="L267" s="8">
        <v>4</v>
      </c>
      <c r="M267" s="8"/>
      <c r="N267" s="8">
        <v>1</v>
      </c>
      <c r="O267" s="10" t="s">
        <v>21</v>
      </c>
      <c r="P267" s="17" t="s">
        <v>59</v>
      </c>
      <c r="Q267" s="10" t="str">
        <f t="shared" si="74"/>
        <v>MPI-M-MPI-ESM-LR_Cluster7_repl4.sqlite</v>
      </c>
      <c r="R267" s="11">
        <f t="shared" si="75"/>
        <v>11</v>
      </c>
      <c r="S267" s="11">
        <v>0</v>
      </c>
      <c r="T267" s="16" t="str">
        <f t="shared" si="76"/>
        <v>climate_db_MPI-M-MPI-ESM-LR_historical_v4.sqlite</v>
      </c>
      <c r="U267" s="16" t="str">
        <f t="shared" si="77"/>
        <v>log/MPI-M-MPI-ESM-LR_Cluster7_repl4.txt</v>
      </c>
      <c r="V267" s="16" t="str">
        <f t="shared" si="78"/>
        <v>init/env_file_CLUSTER07_REPL4_MPI-M-MPI-ESM-LR_historical.csv</v>
      </c>
      <c r="W267" s="16" t="str">
        <f t="shared" si="79"/>
        <v>init/env_grid_CLUSTER07_REPL4.asc</v>
      </c>
      <c r="X267" s="16" t="str">
        <f t="shared" si="80"/>
        <v>init/env_grid_CLUSTER07_REPL4.asc</v>
      </c>
      <c r="Y267" s="16" t="str">
        <f t="shared" si="81"/>
        <v>trees_CLUSTER07.csv</v>
      </c>
      <c r="Z267" s="16" t="str">
        <f t="shared" si="82"/>
        <v>saplings_CLUSTER07.csv</v>
      </c>
      <c r="AA267" s="16">
        <f t="shared" si="83"/>
        <v>350</v>
      </c>
      <c r="AB267" s="16" t="str">
        <f t="shared" si="84"/>
        <v>abe/no_mgmt.csv</v>
      </c>
      <c r="AC267" s="16" t="str">
        <f t="shared" si="85"/>
        <v>gis/WindModifier_cl7.asc</v>
      </c>
      <c r="AD267" s="16">
        <f t="shared" si="86"/>
        <v>6.8499999999999995E-4</v>
      </c>
      <c r="AE267" s="16" t="str">
        <f t="shared" si="89"/>
        <v>MPI-M-MPI-ESM-LR_historical_point26530</v>
      </c>
      <c r="AF267" s="16" t="str">
        <f t="shared" si="87"/>
        <v>wind_Events/cl7_repl4.txt</v>
      </c>
      <c r="AG267" s="16" t="str">
        <f t="shared" si="88"/>
        <v>MPI-M-MPI-ESM-LR_Cluster7_repl4</v>
      </c>
      <c r="AH267" s="16" t="s">
        <v>282</v>
      </c>
      <c r="AI267" s="16" t="s">
        <v>283</v>
      </c>
    </row>
    <row r="268" spans="1:35" ht="13.8">
      <c r="A268" s="7" t="str">
        <f t="shared" si="72"/>
        <v>NCC-NorESM1-M_Cluster7_repl4</v>
      </c>
      <c r="B268" s="8" t="s">
        <v>16</v>
      </c>
      <c r="C268" s="8"/>
      <c r="D268" s="9" t="s">
        <v>17</v>
      </c>
      <c r="E268" s="9" t="str">
        <f t="shared" si="73"/>
        <v>historical</v>
      </c>
      <c r="F268" s="8">
        <v>350</v>
      </c>
      <c r="G268" s="8" t="s">
        <v>60</v>
      </c>
      <c r="H268" s="8">
        <v>3</v>
      </c>
      <c r="I268" s="18">
        <v>6.8499999999999995E-4</v>
      </c>
      <c r="J268" s="8">
        <v>7</v>
      </c>
      <c r="K268" s="8" t="s">
        <v>177</v>
      </c>
      <c r="L268" s="8">
        <v>4</v>
      </c>
      <c r="M268" s="8"/>
      <c r="N268" s="8">
        <v>1</v>
      </c>
      <c r="O268" s="10" t="s">
        <v>21</v>
      </c>
      <c r="P268" s="17" t="s">
        <v>59</v>
      </c>
      <c r="Q268" s="10" t="str">
        <f t="shared" si="74"/>
        <v>NCC-NorESM1-M_Cluster7_repl4.sqlite</v>
      </c>
      <c r="R268" s="11">
        <f t="shared" si="75"/>
        <v>12</v>
      </c>
      <c r="S268" s="11">
        <v>0</v>
      </c>
      <c r="T268" s="16" t="str">
        <f t="shared" si="76"/>
        <v>climate_db_NCC-NorESM1-M_historical_v4.sqlite</v>
      </c>
      <c r="U268" s="16" t="str">
        <f t="shared" si="77"/>
        <v>log/NCC-NorESM1-M_Cluster7_repl4.txt</v>
      </c>
      <c r="V268" s="16" t="str">
        <f t="shared" si="78"/>
        <v>init/env_file_CLUSTER07_REPL4_NCC-NorESM1-M_historical.csv</v>
      </c>
      <c r="W268" s="16" t="str">
        <f t="shared" si="79"/>
        <v>init/env_grid_CLUSTER07_REPL4.asc</v>
      </c>
      <c r="X268" s="16" t="str">
        <f t="shared" si="80"/>
        <v>init/env_grid_CLUSTER07_REPL4.asc</v>
      </c>
      <c r="Y268" s="16" t="str">
        <f t="shared" si="81"/>
        <v>trees_CLUSTER07.csv</v>
      </c>
      <c r="Z268" s="16" t="str">
        <f t="shared" si="82"/>
        <v>saplings_CLUSTER07.csv</v>
      </c>
      <c r="AA268" s="16">
        <f t="shared" si="83"/>
        <v>350</v>
      </c>
      <c r="AB268" s="16" t="str">
        <f t="shared" si="84"/>
        <v>abe/no_mgmt.csv</v>
      </c>
      <c r="AC268" s="16" t="str">
        <f t="shared" si="85"/>
        <v>gis/WindModifier_cl7.asc</v>
      </c>
      <c r="AD268" s="16">
        <f t="shared" si="86"/>
        <v>6.8499999999999995E-4</v>
      </c>
      <c r="AE268" s="16" t="str">
        <f t="shared" si="89"/>
        <v>NCC-NorESM1-M_historical_point26183</v>
      </c>
      <c r="AF268" s="16" t="str">
        <f t="shared" si="87"/>
        <v>wind_Events/cl7_repl4.txt</v>
      </c>
      <c r="AG268" s="16" t="str">
        <f t="shared" si="88"/>
        <v>NCC-NorESM1-M_Cluster7_repl4</v>
      </c>
      <c r="AH268" s="16" t="s">
        <v>284</v>
      </c>
      <c r="AI268" s="16" t="s">
        <v>285</v>
      </c>
    </row>
    <row r="269" spans="1:35" ht="13.8">
      <c r="A269" s="7" t="str">
        <f t="shared" si="72"/>
        <v>ICHEC-EC-EARTH_Cluster7_repl5</v>
      </c>
      <c r="B269" s="8" t="s">
        <v>16</v>
      </c>
      <c r="C269" s="8"/>
      <c r="D269" s="9" t="s">
        <v>17</v>
      </c>
      <c r="E269" s="9" t="str">
        <f t="shared" si="73"/>
        <v>historical</v>
      </c>
      <c r="F269" s="8">
        <v>350</v>
      </c>
      <c r="G269" s="8" t="s">
        <v>18</v>
      </c>
      <c r="H269" s="8">
        <v>1</v>
      </c>
      <c r="I269" s="18">
        <v>6.8499999999999995E-4</v>
      </c>
      <c r="J269" s="8">
        <v>7</v>
      </c>
      <c r="K269" s="8" t="s">
        <v>162</v>
      </c>
      <c r="L269" s="8">
        <v>5</v>
      </c>
      <c r="M269" s="8"/>
      <c r="N269" s="8">
        <v>1</v>
      </c>
      <c r="O269" s="10" t="s">
        <v>21</v>
      </c>
      <c r="P269" s="17" t="s">
        <v>59</v>
      </c>
      <c r="Q269" s="10" t="str">
        <f t="shared" si="74"/>
        <v>ICHEC-EC-EARTH_Cluster7_repl5.sqlite</v>
      </c>
      <c r="R269" s="11">
        <f t="shared" si="75"/>
        <v>13</v>
      </c>
      <c r="S269" s="11">
        <v>0</v>
      </c>
      <c r="T269" s="16" t="str">
        <f t="shared" si="76"/>
        <v>climate_db_ICHEC-EC-EARTH_historical_v4.sqlite</v>
      </c>
      <c r="U269" s="16" t="str">
        <f t="shared" si="77"/>
        <v>log/ICHEC-EC-EARTH_Cluster7_repl5.txt</v>
      </c>
      <c r="V269" s="16" t="str">
        <f t="shared" si="78"/>
        <v>init/env_file_CLUSTER07_REPL5_ICHEC-EC-EARTH_historical.csv</v>
      </c>
      <c r="W269" s="16" t="str">
        <f t="shared" si="79"/>
        <v>init/env_grid_CLUSTER07_REPL5.asc</v>
      </c>
      <c r="X269" s="16" t="str">
        <f t="shared" si="80"/>
        <v>init/env_grid_CLUSTER07_REPL5.asc</v>
      </c>
      <c r="Y269" s="16" t="str">
        <f t="shared" si="81"/>
        <v>trees_CLUSTER07.csv</v>
      </c>
      <c r="Z269" s="16" t="str">
        <f t="shared" si="82"/>
        <v>saplings_CLUSTER07.csv</v>
      </c>
      <c r="AA269" s="16">
        <f t="shared" si="83"/>
        <v>350</v>
      </c>
      <c r="AB269" s="16" t="str">
        <f t="shared" si="84"/>
        <v>abe/no_mgmt.csv</v>
      </c>
      <c r="AC269" s="16" t="str">
        <f t="shared" si="85"/>
        <v>gis/WindModifier_cl7.asc</v>
      </c>
      <c r="AD269" s="16">
        <f t="shared" si="86"/>
        <v>6.8499999999999995E-4</v>
      </c>
      <c r="AE269" s="16" t="str">
        <f t="shared" si="89"/>
        <v>ICHEC-EC-EARTH_historical_point26530</v>
      </c>
      <c r="AF269" s="16" t="str">
        <f t="shared" si="87"/>
        <v>wind_Events/cl7_repl5.txt</v>
      </c>
      <c r="AG269" s="16" t="str">
        <f t="shared" si="88"/>
        <v>ICHEC-EC-EARTH_Cluster7_repl5</v>
      </c>
      <c r="AH269" s="16" t="s">
        <v>286</v>
      </c>
      <c r="AI269" s="16" t="s">
        <v>287</v>
      </c>
    </row>
    <row r="270" spans="1:35" ht="13.8">
      <c r="A270" s="7" t="str">
        <f t="shared" si="72"/>
        <v>MPI-M-MPI-ESM-LR_Cluster7_repl5</v>
      </c>
      <c r="B270" s="8" t="s">
        <v>16</v>
      </c>
      <c r="C270" s="8"/>
      <c r="D270" s="9" t="s">
        <v>17</v>
      </c>
      <c r="E270" s="9" t="str">
        <f t="shared" si="73"/>
        <v>historical</v>
      </c>
      <c r="F270" s="8">
        <v>350</v>
      </c>
      <c r="G270" s="8" t="s">
        <v>63</v>
      </c>
      <c r="H270" s="8">
        <v>2</v>
      </c>
      <c r="I270" s="18">
        <v>6.8499999999999995E-4</v>
      </c>
      <c r="J270" s="8">
        <v>7</v>
      </c>
      <c r="K270" s="8" t="s">
        <v>162</v>
      </c>
      <c r="L270" s="8">
        <v>5</v>
      </c>
      <c r="M270" s="8"/>
      <c r="N270" s="8">
        <v>1</v>
      </c>
      <c r="O270" s="10" t="s">
        <v>21</v>
      </c>
      <c r="P270" s="17" t="s">
        <v>59</v>
      </c>
      <c r="Q270" s="10" t="str">
        <f t="shared" si="74"/>
        <v>MPI-M-MPI-ESM-LR_Cluster7_repl5.sqlite</v>
      </c>
      <c r="R270" s="11">
        <f t="shared" si="75"/>
        <v>14</v>
      </c>
      <c r="S270" s="11">
        <v>0</v>
      </c>
      <c r="T270" s="16" t="str">
        <f t="shared" si="76"/>
        <v>climate_db_MPI-M-MPI-ESM-LR_historical_v4.sqlite</v>
      </c>
      <c r="U270" s="16" t="str">
        <f t="shared" si="77"/>
        <v>log/MPI-M-MPI-ESM-LR_Cluster7_repl5.txt</v>
      </c>
      <c r="V270" s="16" t="str">
        <f t="shared" si="78"/>
        <v>init/env_file_CLUSTER07_REPL5_MPI-M-MPI-ESM-LR_historical.csv</v>
      </c>
      <c r="W270" s="16" t="str">
        <f t="shared" si="79"/>
        <v>init/env_grid_CLUSTER07_REPL5.asc</v>
      </c>
      <c r="X270" s="16" t="str">
        <f t="shared" si="80"/>
        <v>init/env_grid_CLUSTER07_REPL5.asc</v>
      </c>
      <c r="Y270" s="16" t="str">
        <f t="shared" si="81"/>
        <v>trees_CLUSTER07.csv</v>
      </c>
      <c r="Z270" s="16" t="str">
        <f t="shared" si="82"/>
        <v>saplings_CLUSTER07.csv</v>
      </c>
      <c r="AA270" s="16">
        <f t="shared" si="83"/>
        <v>350</v>
      </c>
      <c r="AB270" s="16" t="str">
        <f t="shared" si="84"/>
        <v>abe/no_mgmt.csv</v>
      </c>
      <c r="AC270" s="16" t="str">
        <f t="shared" si="85"/>
        <v>gis/WindModifier_cl7.asc</v>
      </c>
      <c r="AD270" s="16">
        <f t="shared" si="86"/>
        <v>6.8499999999999995E-4</v>
      </c>
      <c r="AE270" s="16" t="str">
        <f t="shared" si="89"/>
        <v>MPI-M-MPI-ESM-LR_historical_point26530</v>
      </c>
      <c r="AF270" s="16" t="str">
        <f t="shared" si="87"/>
        <v>wind_Events/cl7_repl5.txt</v>
      </c>
      <c r="AG270" s="16" t="str">
        <f t="shared" si="88"/>
        <v>MPI-M-MPI-ESM-LR_Cluster7_repl5</v>
      </c>
      <c r="AH270" s="16" t="s">
        <v>288</v>
      </c>
      <c r="AI270" s="16" t="s">
        <v>289</v>
      </c>
    </row>
    <row r="271" spans="1:35" ht="13.8">
      <c r="A271" s="7" t="str">
        <f t="shared" si="72"/>
        <v>NCC-NorESM1-M_Cluster7_repl5</v>
      </c>
      <c r="B271" s="8" t="s">
        <v>16</v>
      </c>
      <c r="C271" s="8"/>
      <c r="D271" s="9" t="s">
        <v>17</v>
      </c>
      <c r="E271" s="9" t="str">
        <f t="shared" si="73"/>
        <v>historical</v>
      </c>
      <c r="F271" s="8">
        <v>350</v>
      </c>
      <c r="G271" s="8" t="s">
        <v>60</v>
      </c>
      <c r="H271" s="8">
        <v>3</v>
      </c>
      <c r="I271" s="18">
        <v>6.8499999999999995E-4</v>
      </c>
      <c r="J271" s="8">
        <v>7</v>
      </c>
      <c r="K271" s="8" t="s">
        <v>177</v>
      </c>
      <c r="L271" s="8">
        <v>5</v>
      </c>
      <c r="M271" s="8"/>
      <c r="N271" s="8">
        <v>1</v>
      </c>
      <c r="O271" s="10" t="s">
        <v>21</v>
      </c>
      <c r="P271" s="17" t="s">
        <v>59</v>
      </c>
      <c r="Q271" s="10" t="str">
        <f t="shared" si="74"/>
        <v>NCC-NorESM1-M_Cluster7_repl5.sqlite</v>
      </c>
      <c r="R271" s="11">
        <f t="shared" si="75"/>
        <v>15</v>
      </c>
      <c r="S271" s="11">
        <v>0</v>
      </c>
      <c r="T271" s="16" t="str">
        <f t="shared" si="76"/>
        <v>climate_db_NCC-NorESM1-M_historical_v4.sqlite</v>
      </c>
      <c r="U271" s="16" t="str">
        <f t="shared" si="77"/>
        <v>log/NCC-NorESM1-M_Cluster7_repl5.txt</v>
      </c>
      <c r="V271" s="16" t="str">
        <f t="shared" si="78"/>
        <v>init/env_file_CLUSTER07_REPL5_NCC-NorESM1-M_historical.csv</v>
      </c>
      <c r="W271" s="16" t="str">
        <f t="shared" si="79"/>
        <v>init/env_grid_CLUSTER07_REPL5.asc</v>
      </c>
      <c r="X271" s="16" t="str">
        <f t="shared" si="80"/>
        <v>init/env_grid_CLUSTER07_REPL5.asc</v>
      </c>
      <c r="Y271" s="16" t="str">
        <f t="shared" si="81"/>
        <v>trees_CLUSTER07.csv</v>
      </c>
      <c r="Z271" s="16" t="str">
        <f t="shared" si="82"/>
        <v>saplings_CLUSTER07.csv</v>
      </c>
      <c r="AA271" s="16">
        <f t="shared" si="83"/>
        <v>350</v>
      </c>
      <c r="AB271" s="16" t="str">
        <f t="shared" si="84"/>
        <v>abe/no_mgmt.csv</v>
      </c>
      <c r="AC271" s="16" t="str">
        <f t="shared" si="85"/>
        <v>gis/WindModifier_cl7.asc</v>
      </c>
      <c r="AD271" s="16">
        <f t="shared" si="86"/>
        <v>6.8499999999999995E-4</v>
      </c>
      <c r="AE271" s="16" t="str">
        <f t="shared" si="89"/>
        <v>NCC-NorESM1-M_historical_point26183</v>
      </c>
      <c r="AF271" s="16" t="str">
        <f t="shared" si="87"/>
        <v>wind_Events/cl7_repl5.txt</v>
      </c>
      <c r="AG271" s="16" t="str">
        <f t="shared" si="88"/>
        <v>NCC-NorESM1-M_Cluster7_repl5</v>
      </c>
      <c r="AH271" s="16" t="s">
        <v>290</v>
      </c>
      <c r="AI271" s="16" t="s">
        <v>291</v>
      </c>
    </row>
    <row r="272" spans="1:35" ht="13.8">
      <c r="A272" s="7" t="str">
        <f t="shared" si="72"/>
        <v>ICHEC-EC-EARTH_Cluster8_repl1</v>
      </c>
      <c r="B272" s="8" t="s">
        <v>16</v>
      </c>
      <c r="C272" s="8"/>
      <c r="D272" s="9" t="s">
        <v>17</v>
      </c>
      <c r="E272" s="9" t="str">
        <f t="shared" si="73"/>
        <v>historical</v>
      </c>
      <c r="F272" s="8">
        <v>350</v>
      </c>
      <c r="G272" s="8" t="s">
        <v>18</v>
      </c>
      <c r="H272" s="8">
        <v>1</v>
      </c>
      <c r="I272" s="18">
        <v>6.8499999999999995E-4</v>
      </c>
      <c r="J272" s="8">
        <v>8</v>
      </c>
      <c r="K272" s="8" t="s">
        <v>163</v>
      </c>
      <c r="L272" s="8">
        <v>1</v>
      </c>
      <c r="M272" s="8"/>
      <c r="N272" s="8">
        <v>1</v>
      </c>
      <c r="O272" s="10" t="s">
        <v>21</v>
      </c>
      <c r="P272" s="17" t="s">
        <v>59</v>
      </c>
      <c r="Q272" s="10" t="str">
        <f t="shared" si="74"/>
        <v>ICHEC-EC-EARTH_Cluster8_repl1.sqlite</v>
      </c>
      <c r="R272" s="11">
        <f t="shared" si="75"/>
        <v>1</v>
      </c>
      <c r="S272" s="11">
        <v>0</v>
      </c>
      <c r="T272" s="16" t="str">
        <f t="shared" si="76"/>
        <v>climate_db_ICHEC-EC-EARTH_historical_v4.sqlite</v>
      </c>
      <c r="U272" s="16" t="str">
        <f t="shared" si="77"/>
        <v>log/ICHEC-EC-EARTH_Cluster8_repl1.txt</v>
      </c>
      <c r="V272" s="16" t="str">
        <f t="shared" si="78"/>
        <v>init/env_file_CLUSTER08_REPL1_ICHEC-EC-EARTH_historical.csv</v>
      </c>
      <c r="W272" s="16" t="str">
        <f t="shared" si="79"/>
        <v>init/env_grid_CLUSTER08_REPL1.asc</v>
      </c>
      <c r="X272" s="16" t="str">
        <f t="shared" si="80"/>
        <v>init/env_grid_CLUSTER08_REPL1.asc</v>
      </c>
      <c r="Y272" s="16" t="str">
        <f t="shared" si="81"/>
        <v>trees_CLUSTER08.csv</v>
      </c>
      <c r="Z272" s="16" t="str">
        <f t="shared" si="82"/>
        <v>saplings_CLUSTER08.csv</v>
      </c>
      <c r="AA272" s="16">
        <f t="shared" si="83"/>
        <v>350</v>
      </c>
      <c r="AB272" s="16" t="str">
        <f t="shared" si="84"/>
        <v>abe/no_mgmt.csv</v>
      </c>
      <c r="AC272" s="16" t="str">
        <f t="shared" si="85"/>
        <v>gis/WindModifier_cl8.asc</v>
      </c>
      <c r="AD272" s="16">
        <f t="shared" si="86"/>
        <v>6.8499999999999995E-4</v>
      </c>
      <c r="AE272" s="16" t="str">
        <f t="shared" si="89"/>
        <v>ICHEC-EC-EARTH_historical_point34569</v>
      </c>
      <c r="AF272" s="16" t="str">
        <f t="shared" si="87"/>
        <v>wind_Events/cl8_repl1.txt</v>
      </c>
      <c r="AG272" s="16" t="str">
        <f t="shared" si="88"/>
        <v>ICHEC-EC-EARTH_Cluster8_repl1</v>
      </c>
      <c r="AH272" s="16" t="s">
        <v>292</v>
      </c>
      <c r="AI272" s="16" t="s">
        <v>293</v>
      </c>
    </row>
    <row r="273" spans="1:35" ht="13.8">
      <c r="A273" s="7" t="str">
        <f t="shared" si="72"/>
        <v>MPI-M-MPI-ESM-LR_Cluster8_repl1</v>
      </c>
      <c r="B273" s="8" t="s">
        <v>16</v>
      </c>
      <c r="C273" s="8"/>
      <c r="D273" s="9" t="s">
        <v>17</v>
      </c>
      <c r="E273" s="9" t="str">
        <f t="shared" si="73"/>
        <v>historical</v>
      </c>
      <c r="F273" s="8">
        <v>350</v>
      </c>
      <c r="G273" s="8" t="s">
        <v>63</v>
      </c>
      <c r="H273" s="8">
        <v>2</v>
      </c>
      <c r="I273" s="18">
        <v>6.8499999999999995E-4</v>
      </c>
      <c r="J273" s="8">
        <v>8</v>
      </c>
      <c r="K273" s="8" t="s">
        <v>171</v>
      </c>
      <c r="L273" s="8">
        <v>1</v>
      </c>
      <c r="M273" s="8"/>
      <c r="N273" s="8">
        <v>1</v>
      </c>
      <c r="O273" s="10" t="s">
        <v>21</v>
      </c>
      <c r="P273" s="17" t="s">
        <v>59</v>
      </c>
      <c r="Q273" s="10" t="str">
        <f t="shared" si="74"/>
        <v>MPI-M-MPI-ESM-LR_Cluster8_repl1.sqlite</v>
      </c>
      <c r="R273" s="11">
        <f t="shared" si="75"/>
        <v>2</v>
      </c>
      <c r="S273" s="11">
        <v>0</v>
      </c>
      <c r="T273" s="16" t="str">
        <f t="shared" si="76"/>
        <v>climate_db_MPI-M-MPI-ESM-LR_historical_v4.sqlite</v>
      </c>
      <c r="U273" s="16" t="str">
        <f t="shared" si="77"/>
        <v>log/MPI-M-MPI-ESM-LR_Cluster8_repl1.txt</v>
      </c>
      <c r="V273" s="16" t="str">
        <f t="shared" si="78"/>
        <v>init/env_file_CLUSTER08_REPL1_MPI-M-MPI-ESM-LR_historical.csv</v>
      </c>
      <c r="W273" s="16" t="str">
        <f t="shared" si="79"/>
        <v>init/env_grid_CLUSTER08_REPL1.asc</v>
      </c>
      <c r="X273" s="16" t="str">
        <f t="shared" si="80"/>
        <v>init/env_grid_CLUSTER08_REPL1.asc</v>
      </c>
      <c r="Y273" s="16" t="str">
        <f t="shared" si="81"/>
        <v>trees_CLUSTER08.csv</v>
      </c>
      <c r="Z273" s="16" t="str">
        <f t="shared" si="82"/>
        <v>saplings_CLUSTER08.csv</v>
      </c>
      <c r="AA273" s="16">
        <f t="shared" si="83"/>
        <v>350</v>
      </c>
      <c r="AB273" s="16" t="str">
        <f t="shared" si="84"/>
        <v>abe/no_mgmt.csv</v>
      </c>
      <c r="AC273" s="16" t="str">
        <f t="shared" si="85"/>
        <v>gis/WindModifier_cl8.asc</v>
      </c>
      <c r="AD273" s="16">
        <f t="shared" si="86"/>
        <v>6.8499999999999995E-4</v>
      </c>
      <c r="AE273" s="16" t="str">
        <f t="shared" si="89"/>
        <v>MPI-M-MPI-ESM-LR_historical_point34253</v>
      </c>
      <c r="AF273" s="16" t="str">
        <f t="shared" si="87"/>
        <v>wind_Events/cl8_repl1.txt</v>
      </c>
      <c r="AG273" s="16" t="str">
        <f t="shared" si="88"/>
        <v>MPI-M-MPI-ESM-LR_Cluster8_repl1</v>
      </c>
      <c r="AH273" s="16" t="s">
        <v>294</v>
      </c>
      <c r="AI273" s="16" t="s">
        <v>295</v>
      </c>
    </row>
    <row r="274" spans="1:35" ht="13.8">
      <c r="A274" s="7" t="str">
        <f t="shared" si="72"/>
        <v>NCC-NorESM1-M_Cluster8_repl1</v>
      </c>
      <c r="B274" s="8" t="s">
        <v>16</v>
      </c>
      <c r="C274" s="8"/>
      <c r="D274" s="9" t="s">
        <v>17</v>
      </c>
      <c r="E274" s="9" t="str">
        <f t="shared" si="73"/>
        <v>historical</v>
      </c>
      <c r="F274" s="8">
        <v>350</v>
      </c>
      <c r="G274" s="8" t="s">
        <v>60</v>
      </c>
      <c r="H274" s="8">
        <v>3</v>
      </c>
      <c r="I274" s="18">
        <v>6.8499999999999995E-4</v>
      </c>
      <c r="J274" s="8">
        <v>8</v>
      </c>
      <c r="K274" s="8" t="s">
        <v>178</v>
      </c>
      <c r="L274" s="8">
        <v>1</v>
      </c>
      <c r="M274" s="8"/>
      <c r="N274" s="8">
        <v>1</v>
      </c>
      <c r="O274" s="10" t="s">
        <v>21</v>
      </c>
      <c r="P274" s="17" t="s">
        <v>59</v>
      </c>
      <c r="Q274" s="10" t="str">
        <f t="shared" si="74"/>
        <v>NCC-NorESM1-M_Cluster8_repl1.sqlite</v>
      </c>
      <c r="R274" s="11">
        <f t="shared" si="75"/>
        <v>3</v>
      </c>
      <c r="S274" s="11">
        <v>0</v>
      </c>
      <c r="T274" s="16" t="str">
        <f t="shared" si="76"/>
        <v>climate_db_NCC-NorESM1-M_historical_v4.sqlite</v>
      </c>
      <c r="U274" s="16" t="str">
        <f t="shared" si="77"/>
        <v>log/NCC-NorESM1-M_Cluster8_repl1.txt</v>
      </c>
      <c r="V274" s="16" t="str">
        <f t="shared" si="78"/>
        <v>init/env_file_CLUSTER08_REPL1_NCC-NorESM1-M_historical.csv</v>
      </c>
      <c r="W274" s="16" t="str">
        <f t="shared" si="79"/>
        <v>init/env_grid_CLUSTER08_REPL1.asc</v>
      </c>
      <c r="X274" s="16" t="str">
        <f t="shared" si="80"/>
        <v>init/env_grid_CLUSTER08_REPL1.asc</v>
      </c>
      <c r="Y274" s="16" t="str">
        <f t="shared" si="81"/>
        <v>trees_CLUSTER08.csv</v>
      </c>
      <c r="Z274" s="16" t="str">
        <f t="shared" si="82"/>
        <v>saplings_CLUSTER08.csv</v>
      </c>
      <c r="AA274" s="16">
        <f t="shared" si="83"/>
        <v>350</v>
      </c>
      <c r="AB274" s="16" t="str">
        <f t="shared" si="84"/>
        <v>abe/no_mgmt.csv</v>
      </c>
      <c r="AC274" s="16" t="str">
        <f t="shared" si="85"/>
        <v>gis/WindModifier_cl8.asc</v>
      </c>
      <c r="AD274" s="16">
        <f t="shared" si="86"/>
        <v>6.8499999999999995E-4</v>
      </c>
      <c r="AE274" s="16" t="str">
        <f t="shared" si="89"/>
        <v>NCC-NorESM1-M_historical_point34891</v>
      </c>
      <c r="AF274" s="16" t="str">
        <f t="shared" si="87"/>
        <v>wind_Events/cl8_repl1.txt</v>
      </c>
      <c r="AG274" s="16" t="str">
        <f t="shared" si="88"/>
        <v>NCC-NorESM1-M_Cluster8_repl1</v>
      </c>
      <c r="AH274" s="16" t="s">
        <v>296</v>
      </c>
      <c r="AI274" s="16" t="s">
        <v>297</v>
      </c>
    </row>
    <row r="275" spans="1:35" ht="13.8">
      <c r="A275" s="7" t="str">
        <f t="shared" si="72"/>
        <v>ICHEC-EC-EARTH_Cluster8_repl2</v>
      </c>
      <c r="B275" s="8" t="s">
        <v>16</v>
      </c>
      <c r="C275" s="8"/>
      <c r="D275" s="9" t="s">
        <v>17</v>
      </c>
      <c r="E275" s="9" t="str">
        <f t="shared" si="73"/>
        <v>historical</v>
      </c>
      <c r="F275" s="8">
        <v>350</v>
      </c>
      <c r="G275" s="8" t="s">
        <v>18</v>
      </c>
      <c r="H275" s="8">
        <v>1</v>
      </c>
      <c r="I275" s="18">
        <v>6.8499999999999995E-4</v>
      </c>
      <c r="J275" s="8">
        <v>8</v>
      </c>
      <c r="K275" s="8" t="s">
        <v>163</v>
      </c>
      <c r="L275" s="8">
        <v>2</v>
      </c>
      <c r="M275" s="8"/>
      <c r="N275" s="8">
        <v>1</v>
      </c>
      <c r="O275" s="10" t="s">
        <v>21</v>
      </c>
      <c r="P275" s="17" t="s">
        <v>59</v>
      </c>
      <c r="Q275" s="10" t="str">
        <f t="shared" si="74"/>
        <v>ICHEC-EC-EARTH_Cluster8_repl2.sqlite</v>
      </c>
      <c r="R275" s="11">
        <f t="shared" si="75"/>
        <v>4</v>
      </c>
      <c r="S275" s="11">
        <v>0</v>
      </c>
      <c r="T275" s="16" t="str">
        <f t="shared" si="76"/>
        <v>climate_db_ICHEC-EC-EARTH_historical_v4.sqlite</v>
      </c>
      <c r="U275" s="16" t="str">
        <f t="shared" si="77"/>
        <v>log/ICHEC-EC-EARTH_Cluster8_repl2.txt</v>
      </c>
      <c r="V275" s="16" t="str">
        <f t="shared" si="78"/>
        <v>init/env_file_CLUSTER08_REPL2_ICHEC-EC-EARTH_historical.csv</v>
      </c>
      <c r="W275" s="16" t="str">
        <f t="shared" si="79"/>
        <v>init/env_grid_CLUSTER08_REPL2.asc</v>
      </c>
      <c r="X275" s="16" t="str">
        <f t="shared" si="80"/>
        <v>init/env_grid_CLUSTER08_REPL2.asc</v>
      </c>
      <c r="Y275" s="16" t="str">
        <f t="shared" si="81"/>
        <v>trees_CLUSTER08.csv</v>
      </c>
      <c r="Z275" s="16" t="str">
        <f t="shared" si="82"/>
        <v>saplings_CLUSTER08.csv</v>
      </c>
      <c r="AA275" s="16">
        <f t="shared" si="83"/>
        <v>350</v>
      </c>
      <c r="AB275" s="16" t="str">
        <f t="shared" si="84"/>
        <v>abe/no_mgmt.csv</v>
      </c>
      <c r="AC275" s="16" t="str">
        <f t="shared" si="85"/>
        <v>gis/WindModifier_cl8.asc</v>
      </c>
      <c r="AD275" s="16">
        <f t="shared" si="86"/>
        <v>6.8499999999999995E-4</v>
      </c>
      <c r="AE275" s="16" t="str">
        <f t="shared" si="89"/>
        <v>ICHEC-EC-EARTH_historical_point34569</v>
      </c>
      <c r="AF275" s="16" t="str">
        <f t="shared" si="87"/>
        <v>wind_Events/cl8_repl2.txt</v>
      </c>
      <c r="AG275" s="16" t="str">
        <f t="shared" si="88"/>
        <v>ICHEC-EC-EARTH_Cluster8_repl2</v>
      </c>
      <c r="AH275" s="16" t="s">
        <v>298</v>
      </c>
      <c r="AI275" s="16" t="s">
        <v>299</v>
      </c>
    </row>
    <row r="276" spans="1:35" ht="13.8">
      <c r="A276" s="7" t="str">
        <f t="shared" si="72"/>
        <v>MPI-M-MPI-ESM-LR_Cluster8_repl2</v>
      </c>
      <c r="B276" s="8" t="s">
        <v>16</v>
      </c>
      <c r="C276" s="8"/>
      <c r="D276" s="9" t="s">
        <v>17</v>
      </c>
      <c r="E276" s="9" t="str">
        <f t="shared" si="73"/>
        <v>historical</v>
      </c>
      <c r="F276" s="8">
        <v>350</v>
      </c>
      <c r="G276" s="8" t="s">
        <v>63</v>
      </c>
      <c r="H276" s="8">
        <v>2</v>
      </c>
      <c r="I276" s="18">
        <v>6.8499999999999995E-4</v>
      </c>
      <c r="J276" s="8">
        <v>8</v>
      </c>
      <c r="K276" s="8" t="s">
        <v>171</v>
      </c>
      <c r="L276" s="8">
        <v>2</v>
      </c>
      <c r="M276" s="8"/>
      <c r="N276" s="8">
        <v>1</v>
      </c>
      <c r="O276" s="10" t="s">
        <v>21</v>
      </c>
      <c r="P276" s="17" t="s">
        <v>59</v>
      </c>
      <c r="Q276" s="10" t="str">
        <f t="shared" si="74"/>
        <v>MPI-M-MPI-ESM-LR_Cluster8_repl2.sqlite</v>
      </c>
      <c r="R276" s="11">
        <f t="shared" si="75"/>
        <v>5</v>
      </c>
      <c r="S276" s="11">
        <v>0</v>
      </c>
      <c r="T276" s="16" t="str">
        <f t="shared" si="76"/>
        <v>climate_db_MPI-M-MPI-ESM-LR_historical_v4.sqlite</v>
      </c>
      <c r="U276" s="16" t="str">
        <f t="shared" si="77"/>
        <v>log/MPI-M-MPI-ESM-LR_Cluster8_repl2.txt</v>
      </c>
      <c r="V276" s="16" t="str">
        <f t="shared" si="78"/>
        <v>init/env_file_CLUSTER08_REPL2_MPI-M-MPI-ESM-LR_historical.csv</v>
      </c>
      <c r="W276" s="16" t="str">
        <f t="shared" si="79"/>
        <v>init/env_grid_CLUSTER08_REPL2.asc</v>
      </c>
      <c r="X276" s="16" t="str">
        <f t="shared" si="80"/>
        <v>init/env_grid_CLUSTER08_REPL2.asc</v>
      </c>
      <c r="Y276" s="16" t="str">
        <f t="shared" si="81"/>
        <v>trees_CLUSTER08.csv</v>
      </c>
      <c r="Z276" s="16" t="str">
        <f t="shared" si="82"/>
        <v>saplings_CLUSTER08.csv</v>
      </c>
      <c r="AA276" s="16">
        <f t="shared" si="83"/>
        <v>350</v>
      </c>
      <c r="AB276" s="16" t="str">
        <f t="shared" si="84"/>
        <v>abe/no_mgmt.csv</v>
      </c>
      <c r="AC276" s="16" t="str">
        <f t="shared" si="85"/>
        <v>gis/WindModifier_cl8.asc</v>
      </c>
      <c r="AD276" s="16">
        <f t="shared" si="86"/>
        <v>6.8499999999999995E-4</v>
      </c>
      <c r="AE276" s="16" t="str">
        <f t="shared" si="89"/>
        <v>MPI-M-MPI-ESM-LR_historical_point34253</v>
      </c>
      <c r="AF276" s="16" t="str">
        <f t="shared" si="87"/>
        <v>wind_Events/cl8_repl2.txt</v>
      </c>
      <c r="AG276" s="16" t="str">
        <f t="shared" si="88"/>
        <v>MPI-M-MPI-ESM-LR_Cluster8_repl2</v>
      </c>
      <c r="AH276" s="16" t="s">
        <v>300</v>
      </c>
      <c r="AI276" s="16" t="s">
        <v>301</v>
      </c>
    </row>
    <row r="277" spans="1:35" ht="13.8">
      <c r="A277" s="7" t="str">
        <f t="shared" si="72"/>
        <v>NCC-NorESM1-M_Cluster8_repl2</v>
      </c>
      <c r="B277" s="8" t="s">
        <v>16</v>
      </c>
      <c r="C277" s="8"/>
      <c r="D277" s="9" t="s">
        <v>17</v>
      </c>
      <c r="E277" s="9" t="str">
        <f t="shared" si="73"/>
        <v>historical</v>
      </c>
      <c r="F277" s="8">
        <v>350</v>
      </c>
      <c r="G277" s="8" t="s">
        <v>60</v>
      </c>
      <c r="H277" s="8">
        <v>3</v>
      </c>
      <c r="I277" s="18">
        <v>6.8499999999999995E-4</v>
      </c>
      <c r="J277" s="8">
        <v>8</v>
      </c>
      <c r="K277" s="8" t="s">
        <v>178</v>
      </c>
      <c r="L277" s="8">
        <v>2</v>
      </c>
      <c r="M277" s="8"/>
      <c r="N277" s="8">
        <v>1</v>
      </c>
      <c r="O277" s="10" t="s">
        <v>21</v>
      </c>
      <c r="P277" s="17" t="s">
        <v>59</v>
      </c>
      <c r="Q277" s="10" t="str">
        <f t="shared" si="74"/>
        <v>NCC-NorESM1-M_Cluster8_repl2.sqlite</v>
      </c>
      <c r="R277" s="11">
        <f t="shared" si="75"/>
        <v>6</v>
      </c>
      <c r="S277" s="11">
        <v>0</v>
      </c>
      <c r="T277" s="16" t="str">
        <f t="shared" si="76"/>
        <v>climate_db_NCC-NorESM1-M_historical_v4.sqlite</v>
      </c>
      <c r="U277" s="16" t="str">
        <f t="shared" si="77"/>
        <v>log/NCC-NorESM1-M_Cluster8_repl2.txt</v>
      </c>
      <c r="V277" s="16" t="str">
        <f t="shared" si="78"/>
        <v>init/env_file_CLUSTER08_REPL2_NCC-NorESM1-M_historical.csv</v>
      </c>
      <c r="W277" s="16" t="str">
        <f t="shared" si="79"/>
        <v>init/env_grid_CLUSTER08_REPL2.asc</v>
      </c>
      <c r="X277" s="16" t="str">
        <f t="shared" si="80"/>
        <v>init/env_grid_CLUSTER08_REPL2.asc</v>
      </c>
      <c r="Y277" s="16" t="str">
        <f t="shared" si="81"/>
        <v>trees_CLUSTER08.csv</v>
      </c>
      <c r="Z277" s="16" t="str">
        <f t="shared" si="82"/>
        <v>saplings_CLUSTER08.csv</v>
      </c>
      <c r="AA277" s="16">
        <f t="shared" si="83"/>
        <v>350</v>
      </c>
      <c r="AB277" s="16" t="str">
        <f t="shared" si="84"/>
        <v>abe/no_mgmt.csv</v>
      </c>
      <c r="AC277" s="16" t="str">
        <f t="shared" si="85"/>
        <v>gis/WindModifier_cl8.asc</v>
      </c>
      <c r="AD277" s="16">
        <f t="shared" si="86"/>
        <v>6.8499999999999995E-4</v>
      </c>
      <c r="AE277" s="16" t="str">
        <f t="shared" si="89"/>
        <v>NCC-NorESM1-M_historical_point34891</v>
      </c>
      <c r="AF277" s="16" t="str">
        <f t="shared" si="87"/>
        <v>wind_Events/cl8_repl2.txt</v>
      </c>
      <c r="AG277" s="16" t="str">
        <f t="shared" si="88"/>
        <v>NCC-NorESM1-M_Cluster8_repl2</v>
      </c>
      <c r="AH277" s="16" t="s">
        <v>302</v>
      </c>
      <c r="AI277" s="16" t="s">
        <v>303</v>
      </c>
    </row>
    <row r="278" spans="1:35" ht="13.8">
      <c r="A278" s="7" t="str">
        <f t="shared" si="72"/>
        <v>ICHEC-EC-EARTH_Cluster8_repl3</v>
      </c>
      <c r="B278" s="8" t="s">
        <v>16</v>
      </c>
      <c r="C278" s="8"/>
      <c r="D278" s="9" t="s">
        <v>17</v>
      </c>
      <c r="E278" s="9" t="str">
        <f t="shared" si="73"/>
        <v>historical</v>
      </c>
      <c r="F278" s="8">
        <v>350</v>
      </c>
      <c r="G278" s="8" t="s">
        <v>18</v>
      </c>
      <c r="H278" s="8">
        <v>1</v>
      </c>
      <c r="I278" s="18">
        <v>6.8499999999999995E-4</v>
      </c>
      <c r="J278" s="8">
        <v>8</v>
      </c>
      <c r="K278" s="8" t="s">
        <v>163</v>
      </c>
      <c r="L278" s="8">
        <v>3</v>
      </c>
      <c r="M278" s="8"/>
      <c r="N278" s="8">
        <v>1</v>
      </c>
      <c r="O278" s="10" t="s">
        <v>21</v>
      </c>
      <c r="P278" s="17" t="s">
        <v>59</v>
      </c>
      <c r="Q278" s="10" t="str">
        <f t="shared" si="74"/>
        <v>ICHEC-EC-EARTH_Cluster8_repl3.sqlite</v>
      </c>
      <c r="R278" s="11">
        <f t="shared" si="75"/>
        <v>7</v>
      </c>
      <c r="S278" s="11">
        <v>0</v>
      </c>
      <c r="T278" s="16" t="str">
        <f t="shared" si="76"/>
        <v>climate_db_ICHEC-EC-EARTH_historical_v4.sqlite</v>
      </c>
      <c r="U278" s="16" t="str">
        <f t="shared" si="77"/>
        <v>log/ICHEC-EC-EARTH_Cluster8_repl3.txt</v>
      </c>
      <c r="V278" s="16" t="str">
        <f t="shared" si="78"/>
        <v>init/env_file_CLUSTER08_REPL3_ICHEC-EC-EARTH_historical.csv</v>
      </c>
      <c r="W278" s="16" t="str">
        <f t="shared" si="79"/>
        <v>init/env_grid_CLUSTER08_REPL3.asc</v>
      </c>
      <c r="X278" s="16" t="str">
        <f t="shared" si="80"/>
        <v>init/env_grid_CLUSTER08_REPL3.asc</v>
      </c>
      <c r="Y278" s="16" t="str">
        <f t="shared" si="81"/>
        <v>trees_CLUSTER08.csv</v>
      </c>
      <c r="Z278" s="16" t="str">
        <f t="shared" si="82"/>
        <v>saplings_CLUSTER08.csv</v>
      </c>
      <c r="AA278" s="16">
        <f t="shared" si="83"/>
        <v>350</v>
      </c>
      <c r="AB278" s="16" t="str">
        <f t="shared" si="84"/>
        <v>abe/no_mgmt.csv</v>
      </c>
      <c r="AC278" s="16" t="str">
        <f t="shared" si="85"/>
        <v>gis/WindModifier_cl8.asc</v>
      </c>
      <c r="AD278" s="16">
        <f t="shared" si="86"/>
        <v>6.8499999999999995E-4</v>
      </c>
      <c r="AE278" s="16" t="str">
        <f t="shared" si="89"/>
        <v>ICHEC-EC-EARTH_historical_point34569</v>
      </c>
      <c r="AF278" s="16" t="str">
        <f t="shared" si="87"/>
        <v>wind_Events/cl8_repl3.txt</v>
      </c>
      <c r="AG278" s="16" t="str">
        <f t="shared" si="88"/>
        <v>ICHEC-EC-EARTH_Cluster8_repl3</v>
      </c>
      <c r="AH278" s="16" t="s">
        <v>304</v>
      </c>
      <c r="AI278" s="16" t="s">
        <v>305</v>
      </c>
    </row>
    <row r="279" spans="1:35" ht="13.8">
      <c r="A279" s="7" t="str">
        <f t="shared" si="72"/>
        <v>MPI-M-MPI-ESM-LR_Cluster8_repl3</v>
      </c>
      <c r="B279" s="8" t="s">
        <v>16</v>
      </c>
      <c r="C279" s="8"/>
      <c r="D279" s="9" t="s">
        <v>17</v>
      </c>
      <c r="E279" s="9" t="str">
        <f t="shared" si="73"/>
        <v>historical</v>
      </c>
      <c r="F279" s="8">
        <v>350</v>
      </c>
      <c r="G279" s="8" t="s">
        <v>63</v>
      </c>
      <c r="H279" s="8">
        <v>2</v>
      </c>
      <c r="I279" s="18">
        <v>6.8499999999999995E-4</v>
      </c>
      <c r="J279" s="8">
        <v>8</v>
      </c>
      <c r="K279" s="8" t="s">
        <v>171</v>
      </c>
      <c r="L279" s="8">
        <v>3</v>
      </c>
      <c r="M279" s="8"/>
      <c r="N279" s="8">
        <v>1</v>
      </c>
      <c r="O279" s="10" t="s">
        <v>21</v>
      </c>
      <c r="P279" s="17" t="s">
        <v>59</v>
      </c>
      <c r="Q279" s="10" t="str">
        <f t="shared" si="74"/>
        <v>MPI-M-MPI-ESM-LR_Cluster8_repl3.sqlite</v>
      </c>
      <c r="R279" s="11">
        <f t="shared" si="75"/>
        <v>8</v>
      </c>
      <c r="S279" s="11">
        <v>0</v>
      </c>
      <c r="T279" s="16" t="str">
        <f t="shared" si="76"/>
        <v>climate_db_MPI-M-MPI-ESM-LR_historical_v4.sqlite</v>
      </c>
      <c r="U279" s="16" t="str">
        <f t="shared" si="77"/>
        <v>log/MPI-M-MPI-ESM-LR_Cluster8_repl3.txt</v>
      </c>
      <c r="V279" s="16" t="str">
        <f t="shared" si="78"/>
        <v>init/env_file_CLUSTER08_REPL3_MPI-M-MPI-ESM-LR_historical.csv</v>
      </c>
      <c r="W279" s="16" t="str">
        <f t="shared" si="79"/>
        <v>init/env_grid_CLUSTER08_REPL3.asc</v>
      </c>
      <c r="X279" s="16" t="str">
        <f t="shared" si="80"/>
        <v>init/env_grid_CLUSTER08_REPL3.asc</v>
      </c>
      <c r="Y279" s="16" t="str">
        <f t="shared" si="81"/>
        <v>trees_CLUSTER08.csv</v>
      </c>
      <c r="Z279" s="16" t="str">
        <f t="shared" si="82"/>
        <v>saplings_CLUSTER08.csv</v>
      </c>
      <c r="AA279" s="16">
        <f t="shared" si="83"/>
        <v>350</v>
      </c>
      <c r="AB279" s="16" t="str">
        <f t="shared" si="84"/>
        <v>abe/no_mgmt.csv</v>
      </c>
      <c r="AC279" s="16" t="str">
        <f t="shared" si="85"/>
        <v>gis/WindModifier_cl8.asc</v>
      </c>
      <c r="AD279" s="16">
        <f t="shared" si="86"/>
        <v>6.8499999999999995E-4</v>
      </c>
      <c r="AE279" s="16" t="str">
        <f t="shared" si="89"/>
        <v>MPI-M-MPI-ESM-LR_historical_point34253</v>
      </c>
      <c r="AF279" s="16" t="str">
        <f t="shared" si="87"/>
        <v>wind_Events/cl8_repl3.txt</v>
      </c>
      <c r="AG279" s="16" t="str">
        <f t="shared" si="88"/>
        <v>MPI-M-MPI-ESM-LR_Cluster8_repl3</v>
      </c>
      <c r="AH279" s="16" t="s">
        <v>306</v>
      </c>
      <c r="AI279" s="16" t="s">
        <v>307</v>
      </c>
    </row>
    <row r="280" spans="1:35" ht="13.8">
      <c r="A280" s="7" t="str">
        <f t="shared" si="72"/>
        <v>NCC-NorESM1-M_Cluster8_repl3</v>
      </c>
      <c r="B280" s="8" t="s">
        <v>16</v>
      </c>
      <c r="C280" s="8"/>
      <c r="D280" s="9" t="s">
        <v>17</v>
      </c>
      <c r="E280" s="9" t="str">
        <f t="shared" si="73"/>
        <v>historical</v>
      </c>
      <c r="F280" s="8">
        <v>350</v>
      </c>
      <c r="G280" s="8" t="s">
        <v>60</v>
      </c>
      <c r="H280" s="8">
        <v>3</v>
      </c>
      <c r="I280" s="18">
        <v>6.8499999999999995E-4</v>
      </c>
      <c r="J280" s="8">
        <v>8</v>
      </c>
      <c r="K280" s="8" t="s">
        <v>178</v>
      </c>
      <c r="L280" s="8">
        <v>3</v>
      </c>
      <c r="M280" s="8"/>
      <c r="N280" s="8">
        <v>1</v>
      </c>
      <c r="O280" s="10" t="s">
        <v>21</v>
      </c>
      <c r="P280" s="17" t="s">
        <v>59</v>
      </c>
      <c r="Q280" s="10" t="str">
        <f t="shared" si="74"/>
        <v>NCC-NorESM1-M_Cluster8_repl3.sqlite</v>
      </c>
      <c r="R280" s="11">
        <f t="shared" si="75"/>
        <v>9</v>
      </c>
      <c r="S280" s="11">
        <v>0</v>
      </c>
      <c r="T280" s="16" t="str">
        <f t="shared" si="76"/>
        <v>climate_db_NCC-NorESM1-M_historical_v4.sqlite</v>
      </c>
      <c r="U280" s="16" t="str">
        <f t="shared" si="77"/>
        <v>log/NCC-NorESM1-M_Cluster8_repl3.txt</v>
      </c>
      <c r="V280" s="16" t="str">
        <f t="shared" si="78"/>
        <v>init/env_file_CLUSTER08_REPL3_NCC-NorESM1-M_historical.csv</v>
      </c>
      <c r="W280" s="16" t="str">
        <f t="shared" si="79"/>
        <v>init/env_grid_CLUSTER08_REPL3.asc</v>
      </c>
      <c r="X280" s="16" t="str">
        <f t="shared" si="80"/>
        <v>init/env_grid_CLUSTER08_REPL3.asc</v>
      </c>
      <c r="Y280" s="16" t="str">
        <f t="shared" si="81"/>
        <v>trees_CLUSTER08.csv</v>
      </c>
      <c r="Z280" s="16" t="str">
        <f t="shared" si="82"/>
        <v>saplings_CLUSTER08.csv</v>
      </c>
      <c r="AA280" s="16">
        <f t="shared" si="83"/>
        <v>350</v>
      </c>
      <c r="AB280" s="16" t="str">
        <f t="shared" si="84"/>
        <v>abe/no_mgmt.csv</v>
      </c>
      <c r="AC280" s="16" t="str">
        <f t="shared" si="85"/>
        <v>gis/WindModifier_cl8.asc</v>
      </c>
      <c r="AD280" s="16">
        <f t="shared" si="86"/>
        <v>6.8499999999999995E-4</v>
      </c>
      <c r="AE280" s="16" t="str">
        <f t="shared" si="89"/>
        <v>NCC-NorESM1-M_historical_point34891</v>
      </c>
      <c r="AF280" s="16" t="str">
        <f t="shared" si="87"/>
        <v>wind_Events/cl8_repl3.txt</v>
      </c>
      <c r="AG280" s="16" t="str">
        <f t="shared" si="88"/>
        <v>NCC-NorESM1-M_Cluster8_repl3</v>
      </c>
      <c r="AH280" s="16" t="s">
        <v>308</v>
      </c>
      <c r="AI280" s="16" t="s">
        <v>309</v>
      </c>
    </row>
    <row r="281" spans="1:35" ht="13.8">
      <c r="A281" s="7" t="str">
        <f t="shared" si="72"/>
        <v>ICHEC-EC-EARTH_Cluster8_repl4</v>
      </c>
      <c r="B281" s="8" t="s">
        <v>16</v>
      </c>
      <c r="C281" s="8"/>
      <c r="D281" s="9" t="s">
        <v>17</v>
      </c>
      <c r="E281" s="9" t="str">
        <f t="shared" si="73"/>
        <v>historical</v>
      </c>
      <c r="F281" s="8">
        <v>350</v>
      </c>
      <c r="G281" s="8" t="s">
        <v>18</v>
      </c>
      <c r="H281" s="8">
        <v>1</v>
      </c>
      <c r="I281" s="18">
        <v>6.8499999999999995E-4</v>
      </c>
      <c r="J281" s="8">
        <v>8</v>
      </c>
      <c r="K281" s="8" t="s">
        <v>163</v>
      </c>
      <c r="L281" s="8">
        <v>4</v>
      </c>
      <c r="M281" s="8"/>
      <c r="N281" s="8">
        <v>1</v>
      </c>
      <c r="O281" s="10" t="s">
        <v>21</v>
      </c>
      <c r="P281" s="17" t="s">
        <v>59</v>
      </c>
      <c r="Q281" s="10" t="str">
        <f t="shared" si="74"/>
        <v>ICHEC-EC-EARTH_Cluster8_repl4.sqlite</v>
      </c>
      <c r="R281" s="11">
        <f t="shared" si="75"/>
        <v>10</v>
      </c>
      <c r="S281" s="11">
        <v>0</v>
      </c>
      <c r="T281" s="16" t="str">
        <f t="shared" si="76"/>
        <v>climate_db_ICHEC-EC-EARTH_historical_v4.sqlite</v>
      </c>
      <c r="U281" s="16" t="str">
        <f t="shared" si="77"/>
        <v>log/ICHEC-EC-EARTH_Cluster8_repl4.txt</v>
      </c>
      <c r="V281" s="16" t="str">
        <f t="shared" si="78"/>
        <v>init/env_file_CLUSTER08_REPL4_ICHEC-EC-EARTH_historical.csv</v>
      </c>
      <c r="W281" s="16" t="str">
        <f t="shared" si="79"/>
        <v>init/env_grid_CLUSTER08_REPL4.asc</v>
      </c>
      <c r="X281" s="16" t="str">
        <f t="shared" si="80"/>
        <v>init/env_grid_CLUSTER08_REPL4.asc</v>
      </c>
      <c r="Y281" s="16" t="str">
        <f t="shared" si="81"/>
        <v>trees_CLUSTER08.csv</v>
      </c>
      <c r="Z281" s="16" t="str">
        <f t="shared" si="82"/>
        <v>saplings_CLUSTER08.csv</v>
      </c>
      <c r="AA281" s="16">
        <f t="shared" si="83"/>
        <v>350</v>
      </c>
      <c r="AB281" s="16" t="str">
        <f t="shared" si="84"/>
        <v>abe/no_mgmt.csv</v>
      </c>
      <c r="AC281" s="16" t="str">
        <f t="shared" si="85"/>
        <v>gis/WindModifier_cl8.asc</v>
      </c>
      <c r="AD281" s="16">
        <f t="shared" si="86"/>
        <v>6.8499999999999995E-4</v>
      </c>
      <c r="AE281" s="16" t="str">
        <f t="shared" si="89"/>
        <v>ICHEC-EC-EARTH_historical_point34569</v>
      </c>
      <c r="AF281" s="16" t="str">
        <f t="shared" si="87"/>
        <v>wind_Events/cl8_repl4.txt</v>
      </c>
      <c r="AG281" s="16" t="str">
        <f t="shared" si="88"/>
        <v>ICHEC-EC-EARTH_Cluster8_repl4</v>
      </c>
      <c r="AH281" s="16" t="s">
        <v>310</v>
      </c>
      <c r="AI281" s="16" t="s">
        <v>311</v>
      </c>
    </row>
    <row r="282" spans="1:35" ht="13.8">
      <c r="A282" s="7" t="str">
        <f t="shared" si="72"/>
        <v>MPI-M-MPI-ESM-LR_Cluster8_repl4</v>
      </c>
      <c r="B282" s="8" t="s">
        <v>16</v>
      </c>
      <c r="C282" s="8"/>
      <c r="D282" s="9" t="s">
        <v>17</v>
      </c>
      <c r="E282" s="9" t="str">
        <f t="shared" si="73"/>
        <v>historical</v>
      </c>
      <c r="F282" s="8">
        <v>350</v>
      </c>
      <c r="G282" s="8" t="s">
        <v>63</v>
      </c>
      <c r="H282" s="8">
        <v>2</v>
      </c>
      <c r="I282" s="18">
        <v>6.8499999999999995E-4</v>
      </c>
      <c r="J282" s="8">
        <v>8</v>
      </c>
      <c r="K282" s="8" t="s">
        <v>171</v>
      </c>
      <c r="L282" s="8">
        <v>4</v>
      </c>
      <c r="M282" s="8"/>
      <c r="N282" s="8">
        <v>1</v>
      </c>
      <c r="O282" s="10" t="s">
        <v>21</v>
      </c>
      <c r="P282" s="17" t="s">
        <v>59</v>
      </c>
      <c r="Q282" s="10" t="str">
        <f t="shared" si="74"/>
        <v>MPI-M-MPI-ESM-LR_Cluster8_repl4.sqlite</v>
      </c>
      <c r="R282" s="11">
        <f t="shared" si="75"/>
        <v>11</v>
      </c>
      <c r="S282" s="11">
        <v>0</v>
      </c>
      <c r="T282" s="16" t="str">
        <f t="shared" si="76"/>
        <v>climate_db_MPI-M-MPI-ESM-LR_historical_v4.sqlite</v>
      </c>
      <c r="U282" s="16" t="str">
        <f t="shared" si="77"/>
        <v>log/MPI-M-MPI-ESM-LR_Cluster8_repl4.txt</v>
      </c>
      <c r="V282" s="16" t="str">
        <f t="shared" si="78"/>
        <v>init/env_file_CLUSTER08_REPL4_MPI-M-MPI-ESM-LR_historical.csv</v>
      </c>
      <c r="W282" s="16" t="str">
        <f t="shared" si="79"/>
        <v>init/env_grid_CLUSTER08_REPL4.asc</v>
      </c>
      <c r="X282" s="16" t="str">
        <f t="shared" si="80"/>
        <v>init/env_grid_CLUSTER08_REPL4.asc</v>
      </c>
      <c r="Y282" s="16" t="str">
        <f t="shared" si="81"/>
        <v>trees_CLUSTER08.csv</v>
      </c>
      <c r="Z282" s="16" t="str">
        <f t="shared" si="82"/>
        <v>saplings_CLUSTER08.csv</v>
      </c>
      <c r="AA282" s="16">
        <f t="shared" si="83"/>
        <v>350</v>
      </c>
      <c r="AB282" s="16" t="str">
        <f t="shared" si="84"/>
        <v>abe/no_mgmt.csv</v>
      </c>
      <c r="AC282" s="16" t="str">
        <f t="shared" si="85"/>
        <v>gis/WindModifier_cl8.asc</v>
      </c>
      <c r="AD282" s="16">
        <f t="shared" si="86"/>
        <v>6.8499999999999995E-4</v>
      </c>
      <c r="AE282" s="16" t="str">
        <f t="shared" si="89"/>
        <v>MPI-M-MPI-ESM-LR_historical_point34253</v>
      </c>
      <c r="AF282" s="16" t="str">
        <f t="shared" si="87"/>
        <v>wind_Events/cl8_repl4.txt</v>
      </c>
      <c r="AG282" s="16" t="str">
        <f t="shared" si="88"/>
        <v>MPI-M-MPI-ESM-LR_Cluster8_repl4</v>
      </c>
      <c r="AH282" s="16" t="s">
        <v>312</v>
      </c>
      <c r="AI282" s="16" t="s">
        <v>313</v>
      </c>
    </row>
    <row r="283" spans="1:35" ht="13.8">
      <c r="A283" s="7" t="str">
        <f t="shared" si="72"/>
        <v>NCC-NorESM1-M_Cluster8_repl4</v>
      </c>
      <c r="B283" s="8" t="s">
        <v>16</v>
      </c>
      <c r="C283" s="8"/>
      <c r="D283" s="9" t="s">
        <v>17</v>
      </c>
      <c r="E283" s="9" t="str">
        <f t="shared" si="73"/>
        <v>historical</v>
      </c>
      <c r="F283" s="8">
        <v>350</v>
      </c>
      <c r="G283" s="8" t="s">
        <v>60</v>
      </c>
      <c r="H283" s="8">
        <v>3</v>
      </c>
      <c r="I283" s="18">
        <v>6.8499999999999995E-4</v>
      </c>
      <c r="J283" s="8">
        <v>8</v>
      </c>
      <c r="K283" s="8" t="s">
        <v>178</v>
      </c>
      <c r="L283" s="8">
        <v>4</v>
      </c>
      <c r="M283" s="8"/>
      <c r="N283" s="8">
        <v>1</v>
      </c>
      <c r="O283" s="10" t="s">
        <v>21</v>
      </c>
      <c r="P283" s="17" t="s">
        <v>59</v>
      </c>
      <c r="Q283" s="10" t="str">
        <f t="shared" si="74"/>
        <v>NCC-NorESM1-M_Cluster8_repl4.sqlite</v>
      </c>
      <c r="R283" s="11">
        <f t="shared" si="75"/>
        <v>12</v>
      </c>
      <c r="S283" s="11">
        <v>0</v>
      </c>
      <c r="T283" s="16" t="str">
        <f t="shared" si="76"/>
        <v>climate_db_NCC-NorESM1-M_historical_v4.sqlite</v>
      </c>
      <c r="U283" s="16" t="str">
        <f t="shared" si="77"/>
        <v>log/NCC-NorESM1-M_Cluster8_repl4.txt</v>
      </c>
      <c r="V283" s="16" t="str">
        <f t="shared" si="78"/>
        <v>init/env_file_CLUSTER08_REPL4_NCC-NorESM1-M_historical.csv</v>
      </c>
      <c r="W283" s="16" t="str">
        <f t="shared" si="79"/>
        <v>init/env_grid_CLUSTER08_REPL4.asc</v>
      </c>
      <c r="X283" s="16" t="str">
        <f t="shared" si="80"/>
        <v>init/env_grid_CLUSTER08_REPL4.asc</v>
      </c>
      <c r="Y283" s="16" t="str">
        <f t="shared" si="81"/>
        <v>trees_CLUSTER08.csv</v>
      </c>
      <c r="Z283" s="16" t="str">
        <f t="shared" si="82"/>
        <v>saplings_CLUSTER08.csv</v>
      </c>
      <c r="AA283" s="16">
        <f t="shared" si="83"/>
        <v>350</v>
      </c>
      <c r="AB283" s="16" t="str">
        <f t="shared" si="84"/>
        <v>abe/no_mgmt.csv</v>
      </c>
      <c r="AC283" s="16" t="str">
        <f t="shared" si="85"/>
        <v>gis/WindModifier_cl8.asc</v>
      </c>
      <c r="AD283" s="16">
        <f t="shared" si="86"/>
        <v>6.8499999999999995E-4</v>
      </c>
      <c r="AE283" s="16" t="str">
        <f t="shared" si="89"/>
        <v>NCC-NorESM1-M_historical_point34891</v>
      </c>
      <c r="AF283" s="16" t="str">
        <f t="shared" si="87"/>
        <v>wind_Events/cl8_repl4.txt</v>
      </c>
      <c r="AG283" s="16" t="str">
        <f t="shared" si="88"/>
        <v>NCC-NorESM1-M_Cluster8_repl4</v>
      </c>
      <c r="AH283" s="16" t="s">
        <v>314</v>
      </c>
      <c r="AI283" s="16" t="s">
        <v>315</v>
      </c>
    </row>
    <row r="284" spans="1:35" ht="13.8">
      <c r="A284" s="7" t="str">
        <f t="shared" si="72"/>
        <v>ICHEC-EC-EARTH_Cluster8_repl5</v>
      </c>
      <c r="B284" s="8" t="s">
        <v>16</v>
      </c>
      <c r="C284" s="8"/>
      <c r="D284" s="9" t="s">
        <v>17</v>
      </c>
      <c r="E284" s="9" t="str">
        <f t="shared" si="73"/>
        <v>historical</v>
      </c>
      <c r="F284" s="8">
        <v>350</v>
      </c>
      <c r="G284" s="8" t="s">
        <v>18</v>
      </c>
      <c r="H284" s="8">
        <v>1</v>
      </c>
      <c r="I284" s="18">
        <v>6.8499999999999995E-4</v>
      </c>
      <c r="J284" s="8">
        <v>8</v>
      </c>
      <c r="K284" s="8" t="s">
        <v>163</v>
      </c>
      <c r="L284" s="8">
        <v>5</v>
      </c>
      <c r="M284" s="8"/>
      <c r="N284" s="8">
        <v>1</v>
      </c>
      <c r="O284" s="10" t="s">
        <v>21</v>
      </c>
      <c r="P284" s="17" t="s">
        <v>59</v>
      </c>
      <c r="Q284" s="10" t="str">
        <f t="shared" si="74"/>
        <v>ICHEC-EC-EARTH_Cluster8_repl5.sqlite</v>
      </c>
      <c r="R284" s="11">
        <f t="shared" si="75"/>
        <v>13</v>
      </c>
      <c r="S284" s="11">
        <v>0</v>
      </c>
      <c r="T284" s="16" t="str">
        <f t="shared" si="76"/>
        <v>climate_db_ICHEC-EC-EARTH_historical_v4.sqlite</v>
      </c>
      <c r="U284" s="16" t="str">
        <f t="shared" si="77"/>
        <v>log/ICHEC-EC-EARTH_Cluster8_repl5.txt</v>
      </c>
      <c r="V284" s="16" t="str">
        <f t="shared" si="78"/>
        <v>init/env_file_CLUSTER08_REPL5_ICHEC-EC-EARTH_historical.csv</v>
      </c>
      <c r="W284" s="16" t="str">
        <f t="shared" si="79"/>
        <v>init/env_grid_CLUSTER08_REPL5.asc</v>
      </c>
      <c r="X284" s="16" t="str">
        <f t="shared" si="80"/>
        <v>init/env_grid_CLUSTER08_REPL5.asc</v>
      </c>
      <c r="Y284" s="16" t="str">
        <f t="shared" si="81"/>
        <v>trees_CLUSTER08.csv</v>
      </c>
      <c r="Z284" s="16" t="str">
        <f t="shared" si="82"/>
        <v>saplings_CLUSTER08.csv</v>
      </c>
      <c r="AA284" s="16">
        <f t="shared" si="83"/>
        <v>350</v>
      </c>
      <c r="AB284" s="16" t="str">
        <f t="shared" si="84"/>
        <v>abe/no_mgmt.csv</v>
      </c>
      <c r="AC284" s="16" t="str">
        <f t="shared" si="85"/>
        <v>gis/WindModifier_cl8.asc</v>
      </c>
      <c r="AD284" s="16">
        <f t="shared" si="86"/>
        <v>6.8499999999999995E-4</v>
      </c>
      <c r="AE284" s="16" t="str">
        <f t="shared" si="89"/>
        <v>ICHEC-EC-EARTH_historical_point34569</v>
      </c>
      <c r="AF284" s="16" t="str">
        <f t="shared" si="87"/>
        <v>wind_Events/cl8_repl5.txt</v>
      </c>
      <c r="AG284" s="16" t="str">
        <f t="shared" si="88"/>
        <v>ICHEC-EC-EARTH_Cluster8_repl5</v>
      </c>
      <c r="AH284" s="16" t="s">
        <v>316</v>
      </c>
      <c r="AI284" s="16" t="s">
        <v>317</v>
      </c>
    </row>
    <row r="285" spans="1:35" ht="13.8">
      <c r="A285" s="7" t="str">
        <f t="shared" si="72"/>
        <v>MPI-M-MPI-ESM-LR_Cluster8_repl5</v>
      </c>
      <c r="B285" s="8" t="s">
        <v>16</v>
      </c>
      <c r="C285" s="8"/>
      <c r="D285" s="9" t="s">
        <v>17</v>
      </c>
      <c r="E285" s="9" t="str">
        <f t="shared" si="73"/>
        <v>historical</v>
      </c>
      <c r="F285" s="8">
        <v>350</v>
      </c>
      <c r="G285" s="8" t="s">
        <v>63</v>
      </c>
      <c r="H285" s="8">
        <v>2</v>
      </c>
      <c r="I285" s="18">
        <v>6.8499999999999995E-4</v>
      </c>
      <c r="J285" s="8">
        <v>8</v>
      </c>
      <c r="K285" s="8" t="s">
        <v>171</v>
      </c>
      <c r="L285" s="8">
        <v>5</v>
      </c>
      <c r="M285" s="8"/>
      <c r="N285" s="8">
        <v>1</v>
      </c>
      <c r="O285" s="10" t="s">
        <v>21</v>
      </c>
      <c r="P285" s="17" t="s">
        <v>59</v>
      </c>
      <c r="Q285" s="10" t="str">
        <f t="shared" si="74"/>
        <v>MPI-M-MPI-ESM-LR_Cluster8_repl5.sqlite</v>
      </c>
      <c r="R285" s="11">
        <f t="shared" si="75"/>
        <v>14</v>
      </c>
      <c r="S285" s="11">
        <v>0</v>
      </c>
      <c r="T285" s="16" t="str">
        <f t="shared" si="76"/>
        <v>climate_db_MPI-M-MPI-ESM-LR_historical_v4.sqlite</v>
      </c>
      <c r="U285" s="16" t="str">
        <f t="shared" si="77"/>
        <v>log/MPI-M-MPI-ESM-LR_Cluster8_repl5.txt</v>
      </c>
      <c r="V285" s="16" t="str">
        <f t="shared" si="78"/>
        <v>init/env_file_CLUSTER08_REPL5_MPI-M-MPI-ESM-LR_historical.csv</v>
      </c>
      <c r="W285" s="16" t="str">
        <f t="shared" si="79"/>
        <v>init/env_grid_CLUSTER08_REPL5.asc</v>
      </c>
      <c r="X285" s="16" t="str">
        <f t="shared" si="80"/>
        <v>init/env_grid_CLUSTER08_REPL5.asc</v>
      </c>
      <c r="Y285" s="16" t="str">
        <f t="shared" si="81"/>
        <v>trees_CLUSTER08.csv</v>
      </c>
      <c r="Z285" s="16" t="str">
        <f t="shared" si="82"/>
        <v>saplings_CLUSTER08.csv</v>
      </c>
      <c r="AA285" s="16">
        <f t="shared" si="83"/>
        <v>350</v>
      </c>
      <c r="AB285" s="16" t="str">
        <f t="shared" si="84"/>
        <v>abe/no_mgmt.csv</v>
      </c>
      <c r="AC285" s="16" t="str">
        <f t="shared" si="85"/>
        <v>gis/WindModifier_cl8.asc</v>
      </c>
      <c r="AD285" s="16">
        <f t="shared" si="86"/>
        <v>6.8499999999999995E-4</v>
      </c>
      <c r="AE285" s="16" t="str">
        <f t="shared" si="89"/>
        <v>MPI-M-MPI-ESM-LR_historical_point34253</v>
      </c>
      <c r="AF285" s="16" t="str">
        <f t="shared" si="87"/>
        <v>wind_Events/cl8_repl5.txt</v>
      </c>
      <c r="AG285" s="16" t="str">
        <f t="shared" si="88"/>
        <v>MPI-M-MPI-ESM-LR_Cluster8_repl5</v>
      </c>
      <c r="AH285" s="16" t="s">
        <v>318</v>
      </c>
      <c r="AI285" s="16" t="s">
        <v>319</v>
      </c>
    </row>
    <row r="286" spans="1:35" ht="13.8">
      <c r="A286" s="7" t="str">
        <f t="shared" si="72"/>
        <v>NCC-NorESM1-M_Cluster8_repl5</v>
      </c>
      <c r="B286" s="8" t="s">
        <v>16</v>
      </c>
      <c r="C286" s="8"/>
      <c r="D286" s="9" t="s">
        <v>17</v>
      </c>
      <c r="E286" s="9" t="str">
        <f t="shared" si="73"/>
        <v>historical</v>
      </c>
      <c r="F286" s="8">
        <v>350</v>
      </c>
      <c r="G286" s="8" t="s">
        <v>60</v>
      </c>
      <c r="H286" s="8">
        <v>3</v>
      </c>
      <c r="I286" s="18">
        <v>6.8499999999999995E-4</v>
      </c>
      <c r="J286" s="8">
        <v>8</v>
      </c>
      <c r="K286" s="8" t="s">
        <v>178</v>
      </c>
      <c r="L286" s="8">
        <v>5</v>
      </c>
      <c r="M286" s="8"/>
      <c r="N286" s="8">
        <v>1</v>
      </c>
      <c r="O286" s="10" t="s">
        <v>21</v>
      </c>
      <c r="P286" s="17" t="s">
        <v>59</v>
      </c>
      <c r="Q286" s="10" t="str">
        <f t="shared" si="74"/>
        <v>NCC-NorESM1-M_Cluster8_repl5.sqlite</v>
      </c>
      <c r="R286" s="11">
        <f t="shared" si="75"/>
        <v>15</v>
      </c>
      <c r="S286" s="11">
        <v>0</v>
      </c>
      <c r="T286" s="16" t="str">
        <f t="shared" si="76"/>
        <v>climate_db_NCC-NorESM1-M_historical_v4.sqlite</v>
      </c>
      <c r="U286" s="16" t="str">
        <f t="shared" si="77"/>
        <v>log/NCC-NorESM1-M_Cluster8_repl5.txt</v>
      </c>
      <c r="V286" s="16" t="str">
        <f t="shared" si="78"/>
        <v>init/env_file_CLUSTER08_REPL5_NCC-NorESM1-M_historical.csv</v>
      </c>
      <c r="W286" s="16" t="str">
        <f t="shared" si="79"/>
        <v>init/env_grid_CLUSTER08_REPL5.asc</v>
      </c>
      <c r="X286" s="16" t="str">
        <f t="shared" si="80"/>
        <v>init/env_grid_CLUSTER08_REPL5.asc</v>
      </c>
      <c r="Y286" s="16" t="str">
        <f t="shared" si="81"/>
        <v>trees_CLUSTER08.csv</v>
      </c>
      <c r="Z286" s="16" t="str">
        <f t="shared" si="82"/>
        <v>saplings_CLUSTER08.csv</v>
      </c>
      <c r="AA286" s="16">
        <f t="shared" si="83"/>
        <v>350</v>
      </c>
      <c r="AB286" s="16" t="str">
        <f t="shared" si="84"/>
        <v>abe/no_mgmt.csv</v>
      </c>
      <c r="AC286" s="16" t="str">
        <f t="shared" si="85"/>
        <v>gis/WindModifier_cl8.asc</v>
      </c>
      <c r="AD286" s="16">
        <f t="shared" si="86"/>
        <v>6.8499999999999995E-4</v>
      </c>
      <c r="AE286" s="16" t="str">
        <f t="shared" si="89"/>
        <v>NCC-NorESM1-M_historical_point34891</v>
      </c>
      <c r="AF286" s="16" t="str">
        <f t="shared" si="87"/>
        <v>wind_Events/cl8_repl5.txt</v>
      </c>
      <c r="AG286" s="16" t="str">
        <f t="shared" si="88"/>
        <v>NCC-NorESM1-M_Cluster8_repl5</v>
      </c>
      <c r="AH286" s="16" t="s">
        <v>320</v>
      </c>
      <c r="AI286" s="16" t="s">
        <v>321</v>
      </c>
    </row>
    <row r="287" spans="1:35" ht="13.8">
      <c r="A287" s="7" t="str">
        <f t="shared" si="72"/>
        <v>ICHEC-EC-EARTH_Cluster10_repl1</v>
      </c>
      <c r="B287" s="8" t="s">
        <v>16</v>
      </c>
      <c r="C287" s="8"/>
      <c r="D287" s="9" t="s">
        <v>17</v>
      </c>
      <c r="E287" s="9" t="str">
        <f t="shared" si="73"/>
        <v>historical</v>
      </c>
      <c r="F287" s="8">
        <v>350</v>
      </c>
      <c r="G287" s="8" t="s">
        <v>18</v>
      </c>
      <c r="H287" s="8">
        <v>1</v>
      </c>
      <c r="I287" s="18">
        <v>6.8499999999999995E-4</v>
      </c>
      <c r="J287" s="8">
        <v>10</v>
      </c>
      <c r="K287" s="8" t="s">
        <v>164</v>
      </c>
      <c r="L287" s="8">
        <v>1</v>
      </c>
      <c r="M287" s="8"/>
      <c r="N287" s="8">
        <v>1</v>
      </c>
      <c r="O287" s="10" t="s">
        <v>21</v>
      </c>
      <c r="P287" s="17" t="s">
        <v>59</v>
      </c>
      <c r="Q287" s="10" t="str">
        <f t="shared" si="74"/>
        <v>ICHEC-EC-EARTH_Cluster10_repl1.sqlite</v>
      </c>
      <c r="R287" s="11">
        <f t="shared" si="75"/>
        <v>1</v>
      </c>
      <c r="S287" s="11">
        <v>0</v>
      </c>
      <c r="T287" s="16" t="str">
        <f t="shared" si="76"/>
        <v>climate_db_ICHEC-EC-EARTH_historical_v4.sqlite</v>
      </c>
      <c r="U287" s="16" t="str">
        <f t="shared" si="77"/>
        <v>log/ICHEC-EC-EARTH_Cluster10_repl1.txt</v>
      </c>
      <c r="V287" s="16" t="str">
        <f t="shared" si="78"/>
        <v>init/env_file_CLUSTER10_REPL1_ICHEC-EC-EARTH_historical.csv</v>
      </c>
      <c r="W287" s="16" t="str">
        <f t="shared" si="79"/>
        <v>init/env_grid_CLUSTER10_REPL1.asc</v>
      </c>
      <c r="X287" s="16" t="str">
        <f t="shared" si="80"/>
        <v>init/env_grid_CLUSTER10_REPL1.asc</v>
      </c>
      <c r="Y287" s="16" t="str">
        <f t="shared" si="81"/>
        <v>trees_CLUSTER10.csv</v>
      </c>
      <c r="Z287" s="16" t="str">
        <f t="shared" si="82"/>
        <v>saplings_CLUSTER10.csv</v>
      </c>
      <c r="AA287" s="16">
        <f t="shared" si="83"/>
        <v>350</v>
      </c>
      <c r="AB287" s="16" t="str">
        <f t="shared" si="84"/>
        <v>abe/no_mgmt.csv</v>
      </c>
      <c r="AC287" s="16" t="str">
        <f t="shared" si="85"/>
        <v>gis/WindModifier_cl10.asc</v>
      </c>
      <c r="AD287" s="16">
        <f t="shared" si="86"/>
        <v>6.8499999999999995E-4</v>
      </c>
      <c r="AE287" s="16" t="str">
        <f t="shared" si="89"/>
        <v>ICHEC-EC-EARTH_historical_point38183</v>
      </c>
      <c r="AF287" s="16" t="str">
        <f t="shared" si="87"/>
        <v>wind_Events/cl10_repl1.txt</v>
      </c>
      <c r="AG287" s="16" t="str">
        <f t="shared" ref="AG287:AG331" si="90">A287</f>
        <v>ICHEC-EC-EARTH_Cluster10_repl1</v>
      </c>
      <c r="AH287" s="16" t="s">
        <v>322</v>
      </c>
      <c r="AI287" s="16" t="s">
        <v>323</v>
      </c>
    </row>
    <row r="288" spans="1:35" ht="13.8">
      <c r="A288" s="7" t="str">
        <f t="shared" si="72"/>
        <v>MPI-M-MPI-ESM-LR_Cluster10_repl1</v>
      </c>
      <c r="B288" s="8" t="s">
        <v>16</v>
      </c>
      <c r="C288" s="8"/>
      <c r="D288" s="9" t="s">
        <v>17</v>
      </c>
      <c r="E288" s="9" t="str">
        <f t="shared" si="73"/>
        <v>historical</v>
      </c>
      <c r="F288" s="8">
        <v>350</v>
      </c>
      <c r="G288" s="8" t="s">
        <v>63</v>
      </c>
      <c r="H288" s="8">
        <v>2</v>
      </c>
      <c r="I288" s="18">
        <v>6.8499999999999995E-4</v>
      </c>
      <c r="J288" s="8">
        <v>10</v>
      </c>
      <c r="K288" s="8" t="s">
        <v>172</v>
      </c>
      <c r="L288" s="8">
        <v>1</v>
      </c>
      <c r="M288" s="8"/>
      <c r="N288" s="8">
        <v>1</v>
      </c>
      <c r="O288" s="10" t="s">
        <v>21</v>
      </c>
      <c r="P288" s="17" t="s">
        <v>59</v>
      </c>
      <c r="Q288" s="10" t="str">
        <f t="shared" si="74"/>
        <v>MPI-M-MPI-ESM-LR_Cluster10_repl1.sqlite</v>
      </c>
      <c r="R288" s="11">
        <f t="shared" si="75"/>
        <v>2</v>
      </c>
      <c r="S288" s="11">
        <v>0</v>
      </c>
      <c r="T288" s="16" t="str">
        <f t="shared" si="76"/>
        <v>climate_db_MPI-M-MPI-ESM-LR_historical_v4.sqlite</v>
      </c>
      <c r="U288" s="16" t="str">
        <f t="shared" si="77"/>
        <v>log/MPI-M-MPI-ESM-LR_Cluster10_repl1.txt</v>
      </c>
      <c r="V288" s="16" t="str">
        <f t="shared" si="78"/>
        <v>init/env_file_CLUSTER10_REPL1_MPI-M-MPI-ESM-LR_historical.csv</v>
      </c>
      <c r="W288" s="16" t="str">
        <f t="shared" si="79"/>
        <v>init/env_grid_CLUSTER10_REPL1.asc</v>
      </c>
      <c r="X288" s="16" t="str">
        <f t="shared" si="80"/>
        <v>init/env_grid_CLUSTER10_REPL1.asc</v>
      </c>
      <c r="Y288" s="16" t="str">
        <f t="shared" si="81"/>
        <v>trees_CLUSTER10.csv</v>
      </c>
      <c r="Z288" s="16" t="str">
        <f t="shared" si="82"/>
        <v>saplings_CLUSTER10.csv</v>
      </c>
      <c r="AA288" s="16">
        <f t="shared" si="83"/>
        <v>350</v>
      </c>
      <c r="AB288" s="16" t="str">
        <f t="shared" si="84"/>
        <v>abe/no_mgmt.csv</v>
      </c>
      <c r="AC288" s="16" t="str">
        <f t="shared" si="85"/>
        <v>gis/WindModifier_cl10.asc</v>
      </c>
      <c r="AD288" s="16">
        <f t="shared" si="86"/>
        <v>6.8499999999999995E-4</v>
      </c>
      <c r="AE288" s="16" t="str">
        <f t="shared" si="89"/>
        <v>MPI-M-MPI-ESM-LR_historical_point37861</v>
      </c>
      <c r="AF288" s="16" t="str">
        <f t="shared" si="87"/>
        <v>wind_Events/cl10_repl1.txt</v>
      </c>
      <c r="AG288" s="16" t="str">
        <f t="shared" si="90"/>
        <v>MPI-M-MPI-ESM-LR_Cluster10_repl1</v>
      </c>
      <c r="AH288" s="16" t="s">
        <v>324</v>
      </c>
      <c r="AI288" s="16" t="s">
        <v>325</v>
      </c>
    </row>
    <row r="289" spans="1:35" ht="13.8">
      <c r="A289" s="7" t="str">
        <f t="shared" si="72"/>
        <v>NCC-NorESM1-M_Cluster10_repl1</v>
      </c>
      <c r="B289" s="8" t="s">
        <v>16</v>
      </c>
      <c r="C289" s="8"/>
      <c r="D289" s="9" t="s">
        <v>17</v>
      </c>
      <c r="E289" s="9" t="str">
        <f t="shared" si="73"/>
        <v>historical</v>
      </c>
      <c r="F289" s="8">
        <v>350</v>
      </c>
      <c r="G289" s="8" t="s">
        <v>60</v>
      </c>
      <c r="H289" s="8">
        <v>3</v>
      </c>
      <c r="I289" s="18">
        <v>6.8499999999999995E-4</v>
      </c>
      <c r="J289" s="8">
        <v>10</v>
      </c>
      <c r="K289" s="8" t="s">
        <v>172</v>
      </c>
      <c r="L289" s="8">
        <v>1</v>
      </c>
      <c r="M289" s="8"/>
      <c r="N289" s="8">
        <v>1</v>
      </c>
      <c r="O289" s="10" t="s">
        <v>21</v>
      </c>
      <c r="P289" s="17" t="s">
        <v>59</v>
      </c>
      <c r="Q289" s="10" t="str">
        <f t="shared" si="74"/>
        <v>NCC-NorESM1-M_Cluster10_repl1.sqlite</v>
      </c>
      <c r="R289" s="11">
        <f t="shared" si="75"/>
        <v>3</v>
      </c>
      <c r="S289" s="11">
        <v>0</v>
      </c>
      <c r="T289" s="16" t="str">
        <f t="shared" si="76"/>
        <v>climate_db_NCC-NorESM1-M_historical_v4.sqlite</v>
      </c>
      <c r="U289" s="16" t="str">
        <f t="shared" si="77"/>
        <v>log/NCC-NorESM1-M_Cluster10_repl1.txt</v>
      </c>
      <c r="V289" s="16" t="str">
        <f t="shared" si="78"/>
        <v>init/env_file_CLUSTER10_REPL1_NCC-NorESM1-M_historical.csv</v>
      </c>
      <c r="W289" s="16" t="str">
        <f t="shared" si="79"/>
        <v>init/env_grid_CLUSTER10_REPL1.asc</v>
      </c>
      <c r="X289" s="16" t="str">
        <f t="shared" si="80"/>
        <v>init/env_grid_CLUSTER10_REPL1.asc</v>
      </c>
      <c r="Y289" s="16" t="str">
        <f t="shared" si="81"/>
        <v>trees_CLUSTER10.csv</v>
      </c>
      <c r="Z289" s="16" t="str">
        <f t="shared" si="82"/>
        <v>saplings_CLUSTER10.csv</v>
      </c>
      <c r="AA289" s="16">
        <f t="shared" si="83"/>
        <v>350</v>
      </c>
      <c r="AB289" s="16" t="str">
        <f t="shared" si="84"/>
        <v>abe/no_mgmt.csv</v>
      </c>
      <c r="AC289" s="16" t="str">
        <f t="shared" si="85"/>
        <v>gis/WindModifier_cl10.asc</v>
      </c>
      <c r="AD289" s="16">
        <f t="shared" ref="AD289:AD298" si="91">IF(C289="Scaled_", I289+0.0000000001,  0.000685)</f>
        <v>6.8499999999999995E-4</v>
      </c>
      <c r="AE289" s="16" t="str">
        <f t="shared" si="89"/>
        <v>NCC-NorESM1-M_historical_point37861</v>
      </c>
      <c r="AF289" s="16" t="str">
        <f t="shared" si="87"/>
        <v>wind_Events/cl10_repl1.txt</v>
      </c>
      <c r="AG289" s="16" t="str">
        <f t="shared" si="90"/>
        <v>NCC-NorESM1-M_Cluster10_repl1</v>
      </c>
      <c r="AH289" s="16" t="s">
        <v>326</v>
      </c>
      <c r="AI289" s="16" t="s">
        <v>327</v>
      </c>
    </row>
    <row r="290" spans="1:35" ht="13.8">
      <c r="A290" s="7" t="str">
        <f t="shared" si="72"/>
        <v>ICHEC-EC-EARTH_Cluster10_repl2</v>
      </c>
      <c r="B290" s="8" t="s">
        <v>16</v>
      </c>
      <c r="C290" s="8"/>
      <c r="D290" s="9" t="s">
        <v>17</v>
      </c>
      <c r="E290" s="9" t="str">
        <f t="shared" si="73"/>
        <v>historical</v>
      </c>
      <c r="F290" s="8">
        <v>350</v>
      </c>
      <c r="G290" s="8" t="s">
        <v>18</v>
      </c>
      <c r="H290" s="8">
        <v>1</v>
      </c>
      <c r="I290" s="18">
        <v>6.8499999999999995E-4</v>
      </c>
      <c r="J290" s="8">
        <v>10</v>
      </c>
      <c r="K290" s="8" t="s">
        <v>164</v>
      </c>
      <c r="L290" s="8">
        <v>2</v>
      </c>
      <c r="M290" s="8"/>
      <c r="N290" s="8">
        <v>1</v>
      </c>
      <c r="O290" s="10" t="s">
        <v>21</v>
      </c>
      <c r="P290" s="17" t="s">
        <v>59</v>
      </c>
      <c r="Q290" s="10" t="str">
        <f t="shared" si="74"/>
        <v>ICHEC-EC-EARTH_Cluster10_repl2.sqlite</v>
      </c>
      <c r="R290" s="11">
        <f t="shared" si="75"/>
        <v>4</v>
      </c>
      <c r="S290" s="11">
        <v>0</v>
      </c>
      <c r="T290" s="16" t="str">
        <f t="shared" si="76"/>
        <v>climate_db_ICHEC-EC-EARTH_historical_v4.sqlite</v>
      </c>
      <c r="U290" s="16" t="str">
        <f t="shared" si="77"/>
        <v>log/ICHEC-EC-EARTH_Cluster10_repl2.txt</v>
      </c>
      <c r="V290" s="16" t="str">
        <f t="shared" si="78"/>
        <v>init/env_file_CLUSTER10_REPL2_ICHEC-EC-EARTH_historical.csv</v>
      </c>
      <c r="W290" s="16" t="str">
        <f t="shared" si="79"/>
        <v>init/env_grid_CLUSTER10_REPL2.asc</v>
      </c>
      <c r="X290" s="16" t="str">
        <f t="shared" si="80"/>
        <v>init/env_grid_CLUSTER10_REPL2.asc</v>
      </c>
      <c r="Y290" s="16" t="str">
        <f t="shared" si="81"/>
        <v>trees_CLUSTER10.csv</v>
      </c>
      <c r="Z290" s="16" t="str">
        <f t="shared" si="82"/>
        <v>saplings_CLUSTER10.csv</v>
      </c>
      <c r="AA290" s="16">
        <f t="shared" si="83"/>
        <v>350</v>
      </c>
      <c r="AB290" s="16" t="str">
        <f t="shared" si="84"/>
        <v>abe/no_mgmt.csv</v>
      </c>
      <c r="AC290" s="16" t="str">
        <f t="shared" si="85"/>
        <v>gis/WindModifier_cl10.asc</v>
      </c>
      <c r="AD290" s="16">
        <f t="shared" si="91"/>
        <v>6.8499999999999995E-4</v>
      </c>
      <c r="AE290" s="16" t="str">
        <f t="shared" si="89"/>
        <v>ICHEC-EC-EARTH_historical_point38183</v>
      </c>
      <c r="AF290" s="16" t="str">
        <f t="shared" si="87"/>
        <v>wind_Events/cl10_repl2.txt</v>
      </c>
      <c r="AG290" s="16" t="str">
        <f t="shared" si="90"/>
        <v>ICHEC-EC-EARTH_Cluster10_repl2</v>
      </c>
      <c r="AH290" s="16" t="s">
        <v>256</v>
      </c>
      <c r="AI290" s="16" t="s">
        <v>257</v>
      </c>
    </row>
    <row r="291" spans="1:35" ht="13.8">
      <c r="A291" s="7" t="str">
        <f t="shared" si="72"/>
        <v>MPI-M-MPI-ESM-LR_Cluster10_repl2</v>
      </c>
      <c r="B291" s="8" t="s">
        <v>16</v>
      </c>
      <c r="C291" s="8"/>
      <c r="D291" s="9" t="s">
        <v>17</v>
      </c>
      <c r="E291" s="9" t="str">
        <f t="shared" si="73"/>
        <v>historical</v>
      </c>
      <c r="F291" s="8">
        <v>350</v>
      </c>
      <c r="G291" s="8" t="s">
        <v>63</v>
      </c>
      <c r="H291" s="8">
        <v>2</v>
      </c>
      <c r="I291" s="18">
        <v>6.8499999999999995E-4</v>
      </c>
      <c r="J291" s="8">
        <v>10</v>
      </c>
      <c r="K291" s="8" t="s">
        <v>172</v>
      </c>
      <c r="L291" s="8">
        <v>2</v>
      </c>
      <c r="M291" s="8"/>
      <c r="N291" s="8">
        <v>1</v>
      </c>
      <c r="O291" s="10" t="s">
        <v>21</v>
      </c>
      <c r="P291" s="17" t="s">
        <v>59</v>
      </c>
      <c r="Q291" s="10" t="str">
        <f t="shared" si="74"/>
        <v>MPI-M-MPI-ESM-LR_Cluster10_repl2.sqlite</v>
      </c>
      <c r="R291" s="11">
        <f t="shared" si="75"/>
        <v>5</v>
      </c>
      <c r="S291" s="11">
        <v>0</v>
      </c>
      <c r="T291" s="16" t="str">
        <f t="shared" si="76"/>
        <v>climate_db_MPI-M-MPI-ESM-LR_historical_v4.sqlite</v>
      </c>
      <c r="U291" s="16" t="str">
        <f t="shared" si="77"/>
        <v>log/MPI-M-MPI-ESM-LR_Cluster10_repl2.txt</v>
      </c>
      <c r="V291" s="16" t="str">
        <f t="shared" si="78"/>
        <v>init/env_file_CLUSTER10_REPL2_MPI-M-MPI-ESM-LR_historical.csv</v>
      </c>
      <c r="W291" s="16" t="str">
        <f t="shared" si="79"/>
        <v>init/env_grid_CLUSTER10_REPL2.asc</v>
      </c>
      <c r="X291" s="16" t="str">
        <f t="shared" si="80"/>
        <v>init/env_grid_CLUSTER10_REPL2.asc</v>
      </c>
      <c r="Y291" s="16" t="str">
        <f t="shared" si="81"/>
        <v>trees_CLUSTER10.csv</v>
      </c>
      <c r="Z291" s="16" t="str">
        <f t="shared" si="82"/>
        <v>saplings_CLUSTER10.csv</v>
      </c>
      <c r="AA291" s="16">
        <f t="shared" si="83"/>
        <v>350</v>
      </c>
      <c r="AB291" s="16" t="str">
        <f t="shared" si="84"/>
        <v>abe/no_mgmt.csv</v>
      </c>
      <c r="AC291" s="16" t="str">
        <f t="shared" si="85"/>
        <v>gis/WindModifier_cl10.asc</v>
      </c>
      <c r="AD291" s="16">
        <f t="shared" si="91"/>
        <v>6.8499999999999995E-4</v>
      </c>
      <c r="AE291" s="16" t="str">
        <f t="shared" si="89"/>
        <v>MPI-M-MPI-ESM-LR_historical_point37861</v>
      </c>
      <c r="AF291" s="16" t="str">
        <f t="shared" si="87"/>
        <v>wind_Events/cl10_repl2.txt</v>
      </c>
      <c r="AG291" s="16" t="str">
        <f t="shared" si="90"/>
        <v>MPI-M-MPI-ESM-LR_Cluster10_repl2</v>
      </c>
      <c r="AH291" s="16" t="s">
        <v>258</v>
      </c>
      <c r="AI291" s="16" t="s">
        <v>259</v>
      </c>
    </row>
    <row r="292" spans="1:35" ht="13.8">
      <c r="A292" s="7" t="str">
        <f t="shared" si="72"/>
        <v>NCC-NorESM1-M_Cluster10_repl2</v>
      </c>
      <c r="B292" s="8" t="s">
        <v>16</v>
      </c>
      <c r="C292" s="8"/>
      <c r="D292" s="9" t="s">
        <v>17</v>
      </c>
      <c r="E292" s="9" t="str">
        <f t="shared" si="73"/>
        <v>historical</v>
      </c>
      <c r="F292" s="8">
        <v>350</v>
      </c>
      <c r="G292" s="8" t="s">
        <v>60</v>
      </c>
      <c r="H292" s="8">
        <v>3</v>
      </c>
      <c r="I292" s="18">
        <v>6.8499999999999995E-4</v>
      </c>
      <c r="J292" s="8">
        <v>10</v>
      </c>
      <c r="K292" s="8" t="s">
        <v>172</v>
      </c>
      <c r="L292" s="8">
        <v>2</v>
      </c>
      <c r="M292" s="8"/>
      <c r="N292" s="8">
        <v>1</v>
      </c>
      <c r="O292" s="10" t="s">
        <v>21</v>
      </c>
      <c r="P292" s="17" t="s">
        <v>59</v>
      </c>
      <c r="Q292" s="10" t="str">
        <f t="shared" si="74"/>
        <v>NCC-NorESM1-M_Cluster10_repl2.sqlite</v>
      </c>
      <c r="R292" s="11">
        <f t="shared" si="75"/>
        <v>6</v>
      </c>
      <c r="S292" s="11">
        <v>0</v>
      </c>
      <c r="T292" s="16" t="str">
        <f t="shared" si="76"/>
        <v>climate_db_NCC-NorESM1-M_historical_v4.sqlite</v>
      </c>
      <c r="U292" s="16" t="str">
        <f t="shared" si="77"/>
        <v>log/NCC-NorESM1-M_Cluster10_repl2.txt</v>
      </c>
      <c r="V292" s="16" t="str">
        <f t="shared" si="78"/>
        <v>init/env_file_CLUSTER10_REPL2_NCC-NorESM1-M_historical.csv</v>
      </c>
      <c r="W292" s="16" t="str">
        <f t="shared" si="79"/>
        <v>init/env_grid_CLUSTER10_REPL2.asc</v>
      </c>
      <c r="X292" s="16" t="str">
        <f t="shared" si="80"/>
        <v>init/env_grid_CLUSTER10_REPL2.asc</v>
      </c>
      <c r="Y292" s="16" t="str">
        <f t="shared" si="81"/>
        <v>trees_CLUSTER10.csv</v>
      </c>
      <c r="Z292" s="16" t="str">
        <f t="shared" si="82"/>
        <v>saplings_CLUSTER10.csv</v>
      </c>
      <c r="AA292" s="16">
        <f t="shared" si="83"/>
        <v>350</v>
      </c>
      <c r="AB292" s="16" t="str">
        <f t="shared" si="84"/>
        <v>abe/no_mgmt.csv</v>
      </c>
      <c r="AC292" s="16" t="str">
        <f t="shared" si="85"/>
        <v>gis/WindModifier_cl10.asc</v>
      </c>
      <c r="AD292" s="16">
        <f t="shared" si="91"/>
        <v>6.8499999999999995E-4</v>
      </c>
      <c r="AE292" s="16" t="str">
        <f t="shared" si="89"/>
        <v>NCC-NorESM1-M_historical_point37861</v>
      </c>
      <c r="AF292" s="16" t="str">
        <f t="shared" si="87"/>
        <v>wind_Events/cl10_repl2.txt</v>
      </c>
      <c r="AG292" s="16" t="str">
        <f t="shared" si="90"/>
        <v>NCC-NorESM1-M_Cluster10_repl2</v>
      </c>
      <c r="AH292" s="16" t="s">
        <v>260</v>
      </c>
      <c r="AI292" s="16" t="s">
        <v>261</v>
      </c>
    </row>
    <row r="293" spans="1:35" ht="13.8">
      <c r="A293" s="7" t="str">
        <f t="shared" si="72"/>
        <v>ICHEC-EC-EARTH_Cluster10_repl3</v>
      </c>
      <c r="B293" s="8" t="s">
        <v>16</v>
      </c>
      <c r="C293" s="8"/>
      <c r="D293" s="9" t="s">
        <v>17</v>
      </c>
      <c r="E293" s="9" t="str">
        <f t="shared" si="73"/>
        <v>historical</v>
      </c>
      <c r="F293" s="8">
        <v>350</v>
      </c>
      <c r="G293" s="8" t="s">
        <v>18</v>
      </c>
      <c r="H293" s="8">
        <v>1</v>
      </c>
      <c r="I293" s="18">
        <v>6.8499999999999995E-4</v>
      </c>
      <c r="J293" s="8">
        <v>10</v>
      </c>
      <c r="K293" s="8" t="s">
        <v>164</v>
      </c>
      <c r="L293" s="8">
        <v>3</v>
      </c>
      <c r="M293" s="8"/>
      <c r="N293" s="8">
        <v>1</v>
      </c>
      <c r="O293" s="10" t="s">
        <v>21</v>
      </c>
      <c r="P293" s="17" t="s">
        <v>59</v>
      </c>
      <c r="Q293" s="10" t="str">
        <f t="shared" si="74"/>
        <v>ICHEC-EC-EARTH_Cluster10_repl3.sqlite</v>
      </c>
      <c r="R293" s="11">
        <f t="shared" si="75"/>
        <v>7</v>
      </c>
      <c r="S293" s="11">
        <v>0</v>
      </c>
      <c r="T293" s="16" t="str">
        <f t="shared" si="76"/>
        <v>climate_db_ICHEC-EC-EARTH_historical_v4.sqlite</v>
      </c>
      <c r="U293" s="16" t="str">
        <f t="shared" si="77"/>
        <v>log/ICHEC-EC-EARTH_Cluster10_repl3.txt</v>
      </c>
      <c r="V293" s="16" t="str">
        <f t="shared" si="78"/>
        <v>init/env_file_CLUSTER10_REPL3_ICHEC-EC-EARTH_historical.csv</v>
      </c>
      <c r="W293" s="16" t="str">
        <f t="shared" si="79"/>
        <v>init/env_grid_CLUSTER10_REPL3.asc</v>
      </c>
      <c r="X293" s="16" t="str">
        <f t="shared" si="80"/>
        <v>init/env_grid_CLUSTER10_REPL3.asc</v>
      </c>
      <c r="Y293" s="16" t="str">
        <f t="shared" si="81"/>
        <v>trees_CLUSTER10.csv</v>
      </c>
      <c r="Z293" s="16" t="str">
        <f t="shared" si="82"/>
        <v>saplings_CLUSTER10.csv</v>
      </c>
      <c r="AA293" s="16">
        <f t="shared" si="83"/>
        <v>350</v>
      </c>
      <c r="AB293" s="16" t="str">
        <f t="shared" si="84"/>
        <v>abe/no_mgmt.csv</v>
      </c>
      <c r="AC293" s="16" t="str">
        <f t="shared" si="85"/>
        <v>gis/WindModifier_cl10.asc</v>
      </c>
      <c r="AD293" s="16">
        <f t="shared" si="91"/>
        <v>6.8499999999999995E-4</v>
      </c>
      <c r="AE293" s="16" t="str">
        <f t="shared" si="89"/>
        <v>ICHEC-EC-EARTH_historical_point38183</v>
      </c>
      <c r="AF293" s="16" t="str">
        <f t="shared" si="87"/>
        <v>wind_Events/cl10_repl3.txt</v>
      </c>
      <c r="AG293" s="16" t="str">
        <f t="shared" si="90"/>
        <v>ICHEC-EC-EARTH_Cluster10_repl3</v>
      </c>
      <c r="AH293" s="16" t="s">
        <v>262</v>
      </c>
      <c r="AI293" s="16" t="s">
        <v>263</v>
      </c>
    </row>
    <row r="294" spans="1:35" ht="13.8">
      <c r="A294" s="7" t="str">
        <f t="shared" si="72"/>
        <v>MPI-M-MPI-ESM-LR_Cluster10_repl3</v>
      </c>
      <c r="B294" s="8" t="s">
        <v>16</v>
      </c>
      <c r="C294" s="8"/>
      <c r="D294" s="9" t="s">
        <v>17</v>
      </c>
      <c r="E294" s="9" t="str">
        <f t="shared" si="73"/>
        <v>historical</v>
      </c>
      <c r="F294" s="8">
        <v>350</v>
      </c>
      <c r="G294" s="8" t="s">
        <v>63</v>
      </c>
      <c r="H294" s="8">
        <v>2</v>
      </c>
      <c r="I294" s="18">
        <v>6.8499999999999995E-4</v>
      </c>
      <c r="J294" s="8">
        <v>10</v>
      </c>
      <c r="K294" s="8" t="s">
        <v>172</v>
      </c>
      <c r="L294" s="8">
        <v>3</v>
      </c>
      <c r="M294" s="8"/>
      <c r="N294" s="8">
        <v>1</v>
      </c>
      <c r="O294" s="10" t="s">
        <v>21</v>
      </c>
      <c r="P294" s="17" t="s">
        <v>59</v>
      </c>
      <c r="Q294" s="10" t="str">
        <f t="shared" si="74"/>
        <v>MPI-M-MPI-ESM-LR_Cluster10_repl3.sqlite</v>
      </c>
      <c r="R294" s="11">
        <f t="shared" si="75"/>
        <v>8</v>
      </c>
      <c r="S294" s="11">
        <v>0</v>
      </c>
      <c r="T294" s="16" t="str">
        <f t="shared" si="76"/>
        <v>climate_db_MPI-M-MPI-ESM-LR_historical_v4.sqlite</v>
      </c>
      <c r="U294" s="16" t="str">
        <f t="shared" si="77"/>
        <v>log/MPI-M-MPI-ESM-LR_Cluster10_repl3.txt</v>
      </c>
      <c r="V294" s="16" t="str">
        <f t="shared" si="78"/>
        <v>init/env_file_CLUSTER10_REPL3_MPI-M-MPI-ESM-LR_historical.csv</v>
      </c>
      <c r="W294" s="16" t="str">
        <f t="shared" si="79"/>
        <v>init/env_grid_CLUSTER10_REPL3.asc</v>
      </c>
      <c r="X294" s="16" t="str">
        <f t="shared" si="80"/>
        <v>init/env_grid_CLUSTER10_REPL3.asc</v>
      </c>
      <c r="Y294" s="16" t="str">
        <f t="shared" si="81"/>
        <v>trees_CLUSTER10.csv</v>
      </c>
      <c r="Z294" s="16" t="str">
        <f t="shared" si="82"/>
        <v>saplings_CLUSTER10.csv</v>
      </c>
      <c r="AA294" s="16">
        <f t="shared" si="83"/>
        <v>350</v>
      </c>
      <c r="AB294" s="16" t="str">
        <f t="shared" si="84"/>
        <v>abe/no_mgmt.csv</v>
      </c>
      <c r="AC294" s="16" t="str">
        <f t="shared" si="85"/>
        <v>gis/WindModifier_cl10.asc</v>
      </c>
      <c r="AD294" s="16">
        <f t="shared" si="91"/>
        <v>6.8499999999999995E-4</v>
      </c>
      <c r="AE294" s="16" t="str">
        <f t="shared" si="89"/>
        <v>MPI-M-MPI-ESM-LR_historical_point37861</v>
      </c>
      <c r="AF294" s="16" t="str">
        <f t="shared" si="87"/>
        <v>wind_Events/cl10_repl3.txt</v>
      </c>
      <c r="AG294" s="16" t="str">
        <f t="shared" si="90"/>
        <v>MPI-M-MPI-ESM-LR_Cluster10_repl3</v>
      </c>
      <c r="AH294" s="16" t="s">
        <v>264</v>
      </c>
      <c r="AI294" s="16" t="s">
        <v>265</v>
      </c>
    </row>
    <row r="295" spans="1:35" ht="13.8">
      <c r="A295" s="7" t="str">
        <f t="shared" si="72"/>
        <v>NCC-NorESM1-M_Cluster10_repl3</v>
      </c>
      <c r="B295" s="8" t="s">
        <v>16</v>
      </c>
      <c r="C295" s="8"/>
      <c r="D295" s="9" t="s">
        <v>17</v>
      </c>
      <c r="E295" s="9" t="str">
        <f t="shared" si="73"/>
        <v>historical</v>
      </c>
      <c r="F295" s="8">
        <v>350</v>
      </c>
      <c r="G295" s="8" t="s">
        <v>60</v>
      </c>
      <c r="H295" s="8">
        <v>3</v>
      </c>
      <c r="I295" s="18">
        <v>6.8499999999999995E-4</v>
      </c>
      <c r="J295" s="8">
        <v>10</v>
      </c>
      <c r="K295" s="8" t="s">
        <v>172</v>
      </c>
      <c r="L295" s="8">
        <v>3</v>
      </c>
      <c r="M295" s="8"/>
      <c r="N295" s="8">
        <v>1</v>
      </c>
      <c r="O295" s="10" t="s">
        <v>21</v>
      </c>
      <c r="P295" s="17" t="s">
        <v>59</v>
      </c>
      <c r="Q295" s="10" t="str">
        <f t="shared" si="74"/>
        <v>NCC-NorESM1-M_Cluster10_repl3.sqlite</v>
      </c>
      <c r="R295" s="11">
        <f t="shared" si="75"/>
        <v>9</v>
      </c>
      <c r="S295" s="11">
        <v>0</v>
      </c>
      <c r="T295" s="16" t="str">
        <f t="shared" si="76"/>
        <v>climate_db_NCC-NorESM1-M_historical_v4.sqlite</v>
      </c>
      <c r="U295" s="16" t="str">
        <f t="shared" si="77"/>
        <v>log/NCC-NorESM1-M_Cluster10_repl3.txt</v>
      </c>
      <c r="V295" s="16" t="str">
        <f t="shared" si="78"/>
        <v>init/env_file_CLUSTER10_REPL3_NCC-NorESM1-M_historical.csv</v>
      </c>
      <c r="W295" s="16" t="str">
        <f t="shared" si="79"/>
        <v>init/env_grid_CLUSTER10_REPL3.asc</v>
      </c>
      <c r="X295" s="16" t="str">
        <f t="shared" si="80"/>
        <v>init/env_grid_CLUSTER10_REPL3.asc</v>
      </c>
      <c r="Y295" s="16" t="str">
        <f t="shared" si="81"/>
        <v>trees_CLUSTER10.csv</v>
      </c>
      <c r="Z295" s="16" t="str">
        <f t="shared" si="82"/>
        <v>saplings_CLUSTER10.csv</v>
      </c>
      <c r="AA295" s="16">
        <f t="shared" si="83"/>
        <v>350</v>
      </c>
      <c r="AB295" s="16" t="str">
        <f t="shared" si="84"/>
        <v>abe/no_mgmt.csv</v>
      </c>
      <c r="AC295" s="16" t="str">
        <f t="shared" si="85"/>
        <v>gis/WindModifier_cl10.asc</v>
      </c>
      <c r="AD295" s="16">
        <f t="shared" si="91"/>
        <v>6.8499999999999995E-4</v>
      </c>
      <c r="AE295" s="16" t="str">
        <f t="shared" si="89"/>
        <v>NCC-NorESM1-M_historical_point37861</v>
      </c>
      <c r="AF295" s="16" t="str">
        <f t="shared" si="87"/>
        <v>wind_Events/cl10_repl3.txt</v>
      </c>
      <c r="AG295" s="16" t="str">
        <f t="shared" si="90"/>
        <v>NCC-NorESM1-M_Cluster10_repl3</v>
      </c>
      <c r="AH295" s="16" t="s">
        <v>266</v>
      </c>
      <c r="AI295" s="16" t="s">
        <v>267</v>
      </c>
    </row>
    <row r="296" spans="1:35" ht="13.8">
      <c r="A296" s="7" t="str">
        <f t="shared" si="72"/>
        <v>ICHEC-EC-EARTH_Cluster10_repl4</v>
      </c>
      <c r="B296" s="8" t="s">
        <v>16</v>
      </c>
      <c r="C296" s="8"/>
      <c r="D296" s="9" t="s">
        <v>17</v>
      </c>
      <c r="E296" s="9" t="str">
        <f t="shared" si="73"/>
        <v>historical</v>
      </c>
      <c r="F296" s="8">
        <v>350</v>
      </c>
      <c r="G296" s="8" t="s">
        <v>18</v>
      </c>
      <c r="H296" s="8">
        <v>1</v>
      </c>
      <c r="I296" s="18">
        <v>6.8499999999999995E-4</v>
      </c>
      <c r="J296" s="8">
        <v>10</v>
      </c>
      <c r="K296" s="8" t="s">
        <v>164</v>
      </c>
      <c r="L296" s="8">
        <v>4</v>
      </c>
      <c r="M296" s="8"/>
      <c r="N296" s="8">
        <v>1</v>
      </c>
      <c r="O296" s="10" t="s">
        <v>21</v>
      </c>
      <c r="P296" s="17" t="s">
        <v>59</v>
      </c>
      <c r="Q296" s="10" t="str">
        <f t="shared" si="74"/>
        <v>ICHEC-EC-EARTH_Cluster10_repl4.sqlite</v>
      </c>
      <c r="R296" s="11">
        <f t="shared" si="75"/>
        <v>10</v>
      </c>
      <c r="S296" s="11">
        <v>0</v>
      </c>
      <c r="T296" s="16" t="str">
        <f t="shared" si="76"/>
        <v>climate_db_ICHEC-EC-EARTH_historical_v4.sqlite</v>
      </c>
      <c r="U296" s="16" t="str">
        <f t="shared" si="77"/>
        <v>log/ICHEC-EC-EARTH_Cluster10_repl4.txt</v>
      </c>
      <c r="V296" s="16" t="str">
        <f t="shared" si="78"/>
        <v>init/env_file_CLUSTER10_REPL4_ICHEC-EC-EARTH_historical.csv</v>
      </c>
      <c r="W296" s="16" t="str">
        <f t="shared" si="79"/>
        <v>init/env_grid_CLUSTER10_REPL4.asc</v>
      </c>
      <c r="X296" s="16" t="str">
        <f t="shared" si="80"/>
        <v>init/env_grid_CLUSTER10_REPL4.asc</v>
      </c>
      <c r="Y296" s="16" t="str">
        <f t="shared" si="81"/>
        <v>trees_CLUSTER10.csv</v>
      </c>
      <c r="Z296" s="16" t="str">
        <f t="shared" si="82"/>
        <v>saplings_CLUSTER10.csv</v>
      </c>
      <c r="AA296" s="16">
        <f t="shared" si="83"/>
        <v>350</v>
      </c>
      <c r="AB296" s="16" t="str">
        <f t="shared" si="84"/>
        <v>abe/no_mgmt.csv</v>
      </c>
      <c r="AC296" s="16" t="str">
        <f t="shared" si="85"/>
        <v>gis/WindModifier_cl10.asc</v>
      </c>
      <c r="AD296" s="16">
        <f t="shared" si="91"/>
        <v>6.8499999999999995E-4</v>
      </c>
      <c r="AE296" s="16" t="str">
        <f t="shared" si="89"/>
        <v>ICHEC-EC-EARTH_historical_point38183</v>
      </c>
      <c r="AF296" s="16" t="str">
        <f t="shared" si="87"/>
        <v>wind_Events/cl10_repl4.txt</v>
      </c>
      <c r="AG296" s="16" t="str">
        <f t="shared" si="90"/>
        <v>ICHEC-EC-EARTH_Cluster10_repl4</v>
      </c>
      <c r="AH296" s="16" t="s">
        <v>268</v>
      </c>
      <c r="AI296" s="16" t="s">
        <v>269</v>
      </c>
    </row>
    <row r="297" spans="1:35" ht="13.8">
      <c r="A297" s="7" t="str">
        <f t="shared" si="72"/>
        <v>MPI-M-MPI-ESM-LR_Cluster10_repl4</v>
      </c>
      <c r="B297" s="8" t="s">
        <v>16</v>
      </c>
      <c r="C297" s="8"/>
      <c r="D297" s="9" t="s">
        <v>17</v>
      </c>
      <c r="E297" s="9" t="str">
        <f t="shared" si="73"/>
        <v>historical</v>
      </c>
      <c r="F297" s="8">
        <v>350</v>
      </c>
      <c r="G297" s="8" t="s">
        <v>63</v>
      </c>
      <c r="H297" s="8">
        <v>2</v>
      </c>
      <c r="I297" s="18">
        <v>6.8499999999999995E-4</v>
      </c>
      <c r="J297" s="8">
        <v>10</v>
      </c>
      <c r="K297" s="8" t="s">
        <v>172</v>
      </c>
      <c r="L297" s="8">
        <v>4</v>
      </c>
      <c r="M297" s="8"/>
      <c r="N297" s="8">
        <v>1</v>
      </c>
      <c r="O297" s="10" t="s">
        <v>21</v>
      </c>
      <c r="P297" s="17" t="s">
        <v>59</v>
      </c>
      <c r="Q297" s="10" t="str">
        <f t="shared" si="74"/>
        <v>MPI-M-MPI-ESM-LR_Cluster10_repl4.sqlite</v>
      </c>
      <c r="R297" s="11">
        <f t="shared" si="75"/>
        <v>11</v>
      </c>
      <c r="S297" s="11">
        <v>0</v>
      </c>
      <c r="T297" s="16" t="str">
        <f t="shared" si="76"/>
        <v>climate_db_MPI-M-MPI-ESM-LR_historical_v4.sqlite</v>
      </c>
      <c r="U297" s="16" t="str">
        <f t="shared" si="77"/>
        <v>log/MPI-M-MPI-ESM-LR_Cluster10_repl4.txt</v>
      </c>
      <c r="V297" s="16" t="str">
        <f t="shared" si="78"/>
        <v>init/env_file_CLUSTER10_REPL4_MPI-M-MPI-ESM-LR_historical.csv</v>
      </c>
      <c r="W297" s="16" t="str">
        <f t="shared" si="79"/>
        <v>init/env_grid_CLUSTER10_REPL4.asc</v>
      </c>
      <c r="X297" s="16" t="str">
        <f t="shared" si="80"/>
        <v>init/env_grid_CLUSTER10_REPL4.asc</v>
      </c>
      <c r="Y297" s="16" t="str">
        <f t="shared" si="81"/>
        <v>trees_CLUSTER10.csv</v>
      </c>
      <c r="Z297" s="16" t="str">
        <f t="shared" si="82"/>
        <v>saplings_CLUSTER10.csv</v>
      </c>
      <c r="AA297" s="16">
        <f t="shared" si="83"/>
        <v>350</v>
      </c>
      <c r="AB297" s="16" t="str">
        <f t="shared" si="84"/>
        <v>abe/no_mgmt.csv</v>
      </c>
      <c r="AC297" s="16" t="str">
        <f t="shared" si="85"/>
        <v>gis/WindModifier_cl10.asc</v>
      </c>
      <c r="AD297" s="16">
        <f t="shared" si="91"/>
        <v>6.8499999999999995E-4</v>
      </c>
      <c r="AE297" s="16" t="str">
        <f t="shared" si="89"/>
        <v>MPI-M-MPI-ESM-LR_historical_point37861</v>
      </c>
      <c r="AF297" s="16" t="str">
        <f t="shared" si="87"/>
        <v>wind_Events/cl10_repl4.txt</v>
      </c>
      <c r="AG297" s="16" t="str">
        <f t="shared" si="90"/>
        <v>MPI-M-MPI-ESM-LR_Cluster10_repl4</v>
      </c>
      <c r="AH297" s="16" t="s">
        <v>270</v>
      </c>
      <c r="AI297" s="16" t="s">
        <v>271</v>
      </c>
    </row>
    <row r="298" spans="1:35" ht="13.8">
      <c r="A298" s="7" t="str">
        <f t="shared" si="72"/>
        <v>NCC-NorESM1-M_Cluster10_repl4</v>
      </c>
      <c r="B298" s="8" t="s">
        <v>16</v>
      </c>
      <c r="C298" s="8"/>
      <c r="D298" s="9" t="s">
        <v>17</v>
      </c>
      <c r="E298" s="9" t="str">
        <f t="shared" si="73"/>
        <v>historical</v>
      </c>
      <c r="F298" s="8">
        <v>350</v>
      </c>
      <c r="G298" s="8" t="s">
        <v>60</v>
      </c>
      <c r="H298" s="8">
        <v>3</v>
      </c>
      <c r="I298" s="18">
        <v>6.8499999999999995E-4</v>
      </c>
      <c r="J298" s="8">
        <v>10</v>
      </c>
      <c r="K298" s="8" t="s">
        <v>172</v>
      </c>
      <c r="L298" s="8">
        <v>4</v>
      </c>
      <c r="M298" s="8"/>
      <c r="N298" s="8">
        <v>1</v>
      </c>
      <c r="O298" s="10" t="s">
        <v>21</v>
      </c>
      <c r="P298" s="17" t="s">
        <v>59</v>
      </c>
      <c r="Q298" s="10" t="str">
        <f t="shared" si="74"/>
        <v>NCC-NorESM1-M_Cluster10_repl4.sqlite</v>
      </c>
      <c r="R298" s="11">
        <f t="shared" si="75"/>
        <v>12</v>
      </c>
      <c r="S298" s="11">
        <v>0</v>
      </c>
      <c r="T298" s="16" t="str">
        <f t="shared" si="76"/>
        <v>climate_db_NCC-NorESM1-M_historical_v4.sqlite</v>
      </c>
      <c r="U298" s="16" t="str">
        <f t="shared" si="77"/>
        <v>log/NCC-NorESM1-M_Cluster10_repl4.txt</v>
      </c>
      <c r="V298" s="16" t="str">
        <f t="shared" si="78"/>
        <v>init/env_file_CLUSTER10_REPL4_NCC-NorESM1-M_historical.csv</v>
      </c>
      <c r="W298" s="16" t="str">
        <f t="shared" si="79"/>
        <v>init/env_grid_CLUSTER10_REPL4.asc</v>
      </c>
      <c r="X298" s="16" t="str">
        <f t="shared" si="80"/>
        <v>init/env_grid_CLUSTER10_REPL4.asc</v>
      </c>
      <c r="Y298" s="16" t="str">
        <f t="shared" si="81"/>
        <v>trees_CLUSTER10.csv</v>
      </c>
      <c r="Z298" s="16" t="str">
        <f t="shared" si="82"/>
        <v>saplings_CLUSTER10.csv</v>
      </c>
      <c r="AA298" s="16">
        <f t="shared" si="83"/>
        <v>350</v>
      </c>
      <c r="AB298" s="16" t="str">
        <f t="shared" si="84"/>
        <v>abe/no_mgmt.csv</v>
      </c>
      <c r="AC298" s="16" t="str">
        <f t="shared" si="85"/>
        <v>gis/WindModifier_cl10.asc</v>
      </c>
      <c r="AD298" s="16">
        <f t="shared" si="91"/>
        <v>6.8499999999999995E-4</v>
      </c>
      <c r="AE298" s="16" t="str">
        <f t="shared" si="89"/>
        <v>NCC-NorESM1-M_historical_point37861</v>
      </c>
      <c r="AF298" s="16" t="str">
        <f t="shared" si="87"/>
        <v>wind_Events/cl10_repl4.txt</v>
      </c>
      <c r="AG298" s="16" t="str">
        <f t="shared" si="90"/>
        <v>NCC-NorESM1-M_Cluster10_repl4</v>
      </c>
      <c r="AH298" s="16" t="s">
        <v>272</v>
      </c>
      <c r="AI298" s="16" t="s">
        <v>273</v>
      </c>
    </row>
    <row r="299" spans="1:35" ht="13.8">
      <c r="A299" s="7" t="str">
        <f t="shared" si="72"/>
        <v>ICHEC-EC-EARTH_Cluster10_repl5</v>
      </c>
      <c r="B299" s="8" t="s">
        <v>16</v>
      </c>
      <c r="C299" s="8"/>
      <c r="D299" s="9" t="s">
        <v>17</v>
      </c>
      <c r="E299" s="9" t="str">
        <f t="shared" si="73"/>
        <v>historical</v>
      </c>
      <c r="F299" s="8">
        <v>350</v>
      </c>
      <c r="G299" s="8" t="s">
        <v>18</v>
      </c>
      <c r="H299" s="8">
        <v>1</v>
      </c>
      <c r="I299" s="18">
        <v>6.8499999999999995E-4</v>
      </c>
      <c r="J299" s="8">
        <v>10</v>
      </c>
      <c r="K299" s="8" t="s">
        <v>164</v>
      </c>
      <c r="L299" s="8">
        <v>5</v>
      </c>
      <c r="M299" s="8"/>
      <c r="N299" s="8">
        <v>1</v>
      </c>
      <c r="O299" s="10" t="s">
        <v>21</v>
      </c>
      <c r="P299" s="17" t="s">
        <v>59</v>
      </c>
      <c r="Q299" s="10" t="str">
        <f t="shared" si="74"/>
        <v>ICHEC-EC-EARTH_Cluster10_repl5.sqlite</v>
      </c>
      <c r="R299" s="11">
        <f t="shared" si="75"/>
        <v>13</v>
      </c>
      <c r="S299" s="11">
        <v>0</v>
      </c>
      <c r="T299" s="16" t="str">
        <f t="shared" si="76"/>
        <v>climate_db_ICHEC-EC-EARTH_historical_v4.sqlite</v>
      </c>
      <c r="U299" s="16" t="str">
        <f t="shared" si="77"/>
        <v>log/ICHEC-EC-EARTH_Cluster10_repl5.txt</v>
      </c>
      <c r="V299" s="16" t="str">
        <f t="shared" si="78"/>
        <v>init/env_file_CLUSTER10_REPL5_ICHEC-EC-EARTH_historical.csv</v>
      </c>
      <c r="W299" s="16" t="str">
        <f t="shared" si="79"/>
        <v>init/env_grid_CLUSTER10_REPL5.asc</v>
      </c>
      <c r="X299" s="16" t="str">
        <f t="shared" si="80"/>
        <v>init/env_grid_CLUSTER10_REPL5.asc</v>
      </c>
      <c r="Y299" s="16" t="str">
        <f t="shared" si="81"/>
        <v>trees_CLUSTER10.csv</v>
      </c>
      <c r="Z299" s="16" t="str">
        <f t="shared" si="82"/>
        <v>saplings_CLUSTER10.csv</v>
      </c>
      <c r="AA299" s="16">
        <f t="shared" si="83"/>
        <v>350</v>
      </c>
      <c r="AB299" s="16" t="str">
        <f t="shared" si="84"/>
        <v>abe/no_mgmt.csv</v>
      </c>
      <c r="AC299" s="16" t="str">
        <f t="shared" si="85"/>
        <v>gis/WindModifier_cl10.asc</v>
      </c>
      <c r="AD299" s="16">
        <f>IF(C299="Scaled_", I299+0.0000000001,  0.000685)</f>
        <v>6.8499999999999995E-4</v>
      </c>
      <c r="AE299" s="16" t="str">
        <f t="shared" si="89"/>
        <v>ICHEC-EC-EARTH_historical_point38183</v>
      </c>
      <c r="AF299" s="16" t="str">
        <f t="shared" si="87"/>
        <v>wind_Events/cl10_repl5.txt</v>
      </c>
      <c r="AG299" s="16" t="str">
        <f t="shared" si="90"/>
        <v>ICHEC-EC-EARTH_Cluster10_repl5</v>
      </c>
      <c r="AH299" s="16" t="s">
        <v>274</v>
      </c>
      <c r="AI299" s="16" t="s">
        <v>275</v>
      </c>
    </row>
    <row r="300" spans="1:35" ht="13.8">
      <c r="A300" s="7" t="str">
        <f t="shared" si="72"/>
        <v>MPI-M-MPI-ESM-LR_Cluster10_repl5</v>
      </c>
      <c r="B300" s="8" t="s">
        <v>16</v>
      </c>
      <c r="C300" s="8"/>
      <c r="D300" s="9" t="s">
        <v>17</v>
      </c>
      <c r="E300" s="9" t="str">
        <f t="shared" si="73"/>
        <v>historical</v>
      </c>
      <c r="F300" s="8">
        <v>350</v>
      </c>
      <c r="G300" s="8" t="s">
        <v>63</v>
      </c>
      <c r="H300" s="8">
        <v>2</v>
      </c>
      <c r="I300" s="18">
        <v>6.8499999999999995E-4</v>
      </c>
      <c r="J300" s="8">
        <v>10</v>
      </c>
      <c r="K300" s="8" t="s">
        <v>172</v>
      </c>
      <c r="L300" s="8">
        <v>5</v>
      </c>
      <c r="M300" s="8"/>
      <c r="N300" s="8">
        <v>1</v>
      </c>
      <c r="O300" s="10" t="s">
        <v>21</v>
      </c>
      <c r="P300" s="17" t="s">
        <v>59</v>
      </c>
      <c r="Q300" s="10" t="str">
        <f t="shared" si="74"/>
        <v>MPI-M-MPI-ESM-LR_Cluster10_repl5.sqlite</v>
      </c>
      <c r="R300" s="11">
        <f t="shared" si="75"/>
        <v>14</v>
      </c>
      <c r="S300" s="11">
        <v>0</v>
      </c>
      <c r="T300" s="16" t="str">
        <f t="shared" si="76"/>
        <v>climate_db_MPI-M-MPI-ESM-LR_historical_v4.sqlite</v>
      </c>
      <c r="U300" s="16" t="str">
        <f t="shared" si="77"/>
        <v>log/MPI-M-MPI-ESM-LR_Cluster10_repl5.txt</v>
      </c>
      <c r="V300" s="16" t="str">
        <f t="shared" si="78"/>
        <v>init/env_file_CLUSTER10_REPL5_MPI-M-MPI-ESM-LR_historical.csv</v>
      </c>
      <c r="W300" s="16" t="str">
        <f t="shared" si="79"/>
        <v>init/env_grid_CLUSTER10_REPL5.asc</v>
      </c>
      <c r="X300" s="16" t="str">
        <f t="shared" si="80"/>
        <v>init/env_grid_CLUSTER10_REPL5.asc</v>
      </c>
      <c r="Y300" s="16" t="str">
        <f t="shared" si="81"/>
        <v>trees_CLUSTER10.csv</v>
      </c>
      <c r="Z300" s="16" t="str">
        <f t="shared" si="82"/>
        <v>saplings_CLUSTER10.csv</v>
      </c>
      <c r="AA300" s="16">
        <f t="shared" si="83"/>
        <v>350</v>
      </c>
      <c r="AB300" s="16" t="str">
        <f t="shared" si="84"/>
        <v>abe/no_mgmt.csv</v>
      </c>
      <c r="AC300" s="16" t="str">
        <f t="shared" si="85"/>
        <v>gis/WindModifier_cl10.asc</v>
      </c>
      <c r="AD300" s="16">
        <f t="shared" ref="AD300:AD309" si="92">IF(C300="Scaled_", I300+0.0000000001,  0.000685)</f>
        <v>6.8499999999999995E-4</v>
      </c>
      <c r="AE300" s="16" t="str">
        <f t="shared" si="89"/>
        <v>MPI-M-MPI-ESM-LR_historical_point37861</v>
      </c>
      <c r="AF300" s="16" t="str">
        <f t="shared" si="87"/>
        <v>wind_Events/cl10_repl5.txt</v>
      </c>
      <c r="AG300" s="16" t="str">
        <f t="shared" si="90"/>
        <v>MPI-M-MPI-ESM-LR_Cluster10_repl5</v>
      </c>
      <c r="AH300" s="16" t="s">
        <v>276</v>
      </c>
      <c r="AI300" s="16" t="s">
        <v>277</v>
      </c>
    </row>
    <row r="301" spans="1:35" ht="13.8">
      <c r="A301" s="7" t="str">
        <f t="shared" si="72"/>
        <v>NCC-NorESM1-M_Cluster10_repl5</v>
      </c>
      <c r="B301" s="8" t="s">
        <v>16</v>
      </c>
      <c r="C301" s="8"/>
      <c r="D301" s="9" t="s">
        <v>17</v>
      </c>
      <c r="E301" s="9" t="str">
        <f t="shared" si="73"/>
        <v>historical</v>
      </c>
      <c r="F301" s="8">
        <v>350</v>
      </c>
      <c r="G301" s="8" t="s">
        <v>60</v>
      </c>
      <c r="H301" s="8">
        <v>3</v>
      </c>
      <c r="I301" s="18">
        <v>6.8499999999999995E-4</v>
      </c>
      <c r="J301" s="8">
        <v>10</v>
      </c>
      <c r="K301" s="8" t="s">
        <v>172</v>
      </c>
      <c r="L301" s="8">
        <v>5</v>
      </c>
      <c r="M301" s="8"/>
      <c r="N301" s="8">
        <v>1</v>
      </c>
      <c r="O301" s="10" t="s">
        <v>21</v>
      </c>
      <c r="P301" s="17" t="s">
        <v>59</v>
      </c>
      <c r="Q301" s="10" t="str">
        <f t="shared" si="74"/>
        <v>NCC-NorESM1-M_Cluster10_repl5.sqlite</v>
      </c>
      <c r="R301" s="11">
        <f t="shared" si="75"/>
        <v>15</v>
      </c>
      <c r="S301" s="11">
        <v>0</v>
      </c>
      <c r="T301" s="16" t="str">
        <f t="shared" si="76"/>
        <v>climate_db_NCC-NorESM1-M_historical_v4.sqlite</v>
      </c>
      <c r="U301" s="16" t="str">
        <f t="shared" si="77"/>
        <v>log/NCC-NorESM1-M_Cluster10_repl5.txt</v>
      </c>
      <c r="V301" s="16" t="str">
        <f t="shared" si="78"/>
        <v>init/env_file_CLUSTER10_REPL5_NCC-NorESM1-M_historical.csv</v>
      </c>
      <c r="W301" s="16" t="str">
        <f t="shared" si="79"/>
        <v>init/env_grid_CLUSTER10_REPL5.asc</v>
      </c>
      <c r="X301" s="16" t="str">
        <f t="shared" si="80"/>
        <v>init/env_grid_CLUSTER10_REPL5.asc</v>
      </c>
      <c r="Y301" s="16" t="str">
        <f t="shared" si="81"/>
        <v>trees_CLUSTER10.csv</v>
      </c>
      <c r="Z301" s="16" t="str">
        <f t="shared" si="82"/>
        <v>saplings_CLUSTER10.csv</v>
      </c>
      <c r="AA301" s="16">
        <f t="shared" si="83"/>
        <v>350</v>
      </c>
      <c r="AB301" s="16" t="str">
        <f t="shared" si="84"/>
        <v>abe/no_mgmt.csv</v>
      </c>
      <c r="AC301" s="16" t="str">
        <f t="shared" si="85"/>
        <v>gis/WindModifier_cl10.asc</v>
      </c>
      <c r="AD301" s="16">
        <f t="shared" si="92"/>
        <v>6.8499999999999995E-4</v>
      </c>
      <c r="AE301" s="16" t="str">
        <f t="shared" si="89"/>
        <v>NCC-NorESM1-M_historical_point37861</v>
      </c>
      <c r="AF301" s="16" t="str">
        <f t="shared" si="87"/>
        <v>wind_Events/cl10_repl5.txt</v>
      </c>
      <c r="AG301" s="16" t="str">
        <f t="shared" si="90"/>
        <v>NCC-NorESM1-M_Cluster10_repl5</v>
      </c>
      <c r="AH301" s="16" t="s">
        <v>278</v>
      </c>
      <c r="AI301" s="16" t="s">
        <v>279</v>
      </c>
    </row>
    <row r="302" spans="1:35" ht="13.8">
      <c r="A302" s="7" t="str">
        <f t="shared" si="72"/>
        <v>ICHEC-EC-EARTH_Cluster11_repl1</v>
      </c>
      <c r="B302" s="8" t="s">
        <v>16</v>
      </c>
      <c r="C302" s="8"/>
      <c r="D302" s="9" t="s">
        <v>17</v>
      </c>
      <c r="E302" s="9" t="str">
        <f t="shared" si="73"/>
        <v>historical</v>
      </c>
      <c r="F302" s="8">
        <v>350</v>
      </c>
      <c r="G302" s="8" t="s">
        <v>18</v>
      </c>
      <c r="H302" s="8">
        <v>1</v>
      </c>
      <c r="I302" s="8">
        <v>1.2451908062161101E-5</v>
      </c>
      <c r="J302" s="8">
        <v>11</v>
      </c>
      <c r="K302" s="8" t="s">
        <v>165</v>
      </c>
      <c r="L302" s="8">
        <v>1</v>
      </c>
      <c r="M302" s="8"/>
      <c r="N302" s="8">
        <v>1</v>
      </c>
      <c r="O302" s="10" t="s">
        <v>21</v>
      </c>
      <c r="P302" s="17" t="s">
        <v>59</v>
      </c>
      <c r="Q302" s="10" t="str">
        <f t="shared" si="74"/>
        <v>ICHEC-EC-EARTH_Cluster11_repl1.sqlite</v>
      </c>
      <c r="R302" s="11">
        <f t="shared" si="75"/>
        <v>1</v>
      </c>
      <c r="S302" s="11">
        <v>0</v>
      </c>
      <c r="T302" s="16" t="str">
        <f t="shared" si="76"/>
        <v>climate_db_ICHEC-EC-EARTH_historical_v4.sqlite</v>
      </c>
      <c r="U302" s="16" t="str">
        <f t="shared" si="77"/>
        <v>log/ICHEC-EC-EARTH_Cluster11_repl1.txt</v>
      </c>
      <c r="V302" s="16" t="str">
        <f t="shared" si="78"/>
        <v>init/env_file_CLUSTER11_REPL1_ICHEC-EC-EARTH_historical.csv</v>
      </c>
      <c r="W302" s="16" t="str">
        <f t="shared" si="79"/>
        <v>init/env_grid_CLUSTER11_REPL1.asc</v>
      </c>
      <c r="X302" s="16" t="str">
        <f t="shared" si="80"/>
        <v>init/env_grid_CLUSTER11_REPL1.asc</v>
      </c>
      <c r="Y302" s="16" t="str">
        <f t="shared" si="81"/>
        <v>trees_CLUSTER11.csv</v>
      </c>
      <c r="Z302" s="16" t="str">
        <f t="shared" si="82"/>
        <v>saplings_CLUSTER11.csv</v>
      </c>
      <c r="AA302" s="16">
        <f t="shared" si="83"/>
        <v>350</v>
      </c>
      <c r="AB302" s="16" t="str">
        <f t="shared" si="84"/>
        <v>abe/no_mgmt.csv</v>
      </c>
      <c r="AC302" s="16" t="str">
        <f t="shared" si="85"/>
        <v>gis/WindModifier_cl11.asc</v>
      </c>
      <c r="AD302" s="16">
        <f t="shared" si="92"/>
        <v>6.8499999999999995E-4</v>
      </c>
      <c r="AE302" s="16" t="str">
        <f t="shared" si="89"/>
        <v>ICHEC-EC-EARTH_historical_point29711</v>
      </c>
      <c r="AF302" s="16" t="str">
        <f t="shared" si="87"/>
        <v>wind_Events/cl11_repl1.txt</v>
      </c>
      <c r="AG302" s="16" t="str">
        <f t="shared" si="90"/>
        <v>ICHEC-EC-EARTH_Cluster11_repl1</v>
      </c>
      <c r="AH302" s="16" t="s">
        <v>280</v>
      </c>
      <c r="AI302" s="16" t="s">
        <v>281</v>
      </c>
    </row>
    <row r="303" spans="1:35" ht="13.8">
      <c r="A303" s="7" t="str">
        <f t="shared" si="72"/>
        <v>MPI-M-MPI-ESM-LR_Cluster11_repl1</v>
      </c>
      <c r="B303" s="8" t="s">
        <v>16</v>
      </c>
      <c r="C303" s="8"/>
      <c r="D303" s="9" t="s">
        <v>17</v>
      </c>
      <c r="E303" s="9" t="str">
        <f t="shared" si="73"/>
        <v>historical</v>
      </c>
      <c r="F303" s="8">
        <v>350</v>
      </c>
      <c r="G303" s="8" t="s">
        <v>63</v>
      </c>
      <c r="H303" s="8">
        <v>2</v>
      </c>
      <c r="I303" s="8">
        <v>1.2451908062161101E-5</v>
      </c>
      <c r="J303" s="8">
        <v>11</v>
      </c>
      <c r="K303" s="8" t="s">
        <v>165</v>
      </c>
      <c r="L303" s="8">
        <v>1</v>
      </c>
      <c r="M303" s="8"/>
      <c r="N303" s="8">
        <v>1</v>
      </c>
      <c r="O303" s="10" t="s">
        <v>21</v>
      </c>
      <c r="P303" s="17" t="s">
        <v>59</v>
      </c>
      <c r="Q303" s="10" t="str">
        <f t="shared" si="74"/>
        <v>MPI-M-MPI-ESM-LR_Cluster11_repl1.sqlite</v>
      </c>
      <c r="R303" s="11">
        <f t="shared" si="75"/>
        <v>2</v>
      </c>
      <c r="S303" s="11">
        <v>0</v>
      </c>
      <c r="T303" s="16" t="str">
        <f t="shared" si="76"/>
        <v>climate_db_MPI-M-MPI-ESM-LR_historical_v4.sqlite</v>
      </c>
      <c r="U303" s="16" t="str">
        <f t="shared" si="77"/>
        <v>log/MPI-M-MPI-ESM-LR_Cluster11_repl1.txt</v>
      </c>
      <c r="V303" s="16" t="str">
        <f t="shared" si="78"/>
        <v>init/env_file_CLUSTER11_REPL1_MPI-M-MPI-ESM-LR_historical.csv</v>
      </c>
      <c r="W303" s="16" t="str">
        <f t="shared" si="79"/>
        <v>init/env_grid_CLUSTER11_REPL1.asc</v>
      </c>
      <c r="X303" s="16" t="str">
        <f t="shared" si="80"/>
        <v>init/env_grid_CLUSTER11_REPL1.asc</v>
      </c>
      <c r="Y303" s="16" t="str">
        <f t="shared" si="81"/>
        <v>trees_CLUSTER11.csv</v>
      </c>
      <c r="Z303" s="16" t="str">
        <f t="shared" si="82"/>
        <v>saplings_CLUSTER11.csv</v>
      </c>
      <c r="AA303" s="16">
        <f t="shared" si="83"/>
        <v>350</v>
      </c>
      <c r="AB303" s="16" t="str">
        <f t="shared" si="84"/>
        <v>abe/no_mgmt.csv</v>
      </c>
      <c r="AC303" s="16" t="str">
        <f t="shared" si="85"/>
        <v>gis/WindModifier_cl11.asc</v>
      </c>
      <c r="AD303" s="16">
        <f t="shared" si="92"/>
        <v>6.8499999999999995E-4</v>
      </c>
      <c r="AE303" s="16" t="str">
        <f t="shared" si="89"/>
        <v>MPI-M-MPI-ESM-LR_historical_point29711</v>
      </c>
      <c r="AF303" s="16" t="str">
        <f t="shared" si="87"/>
        <v>wind_Events/cl11_repl1.txt</v>
      </c>
      <c r="AG303" s="16" t="str">
        <f t="shared" si="90"/>
        <v>MPI-M-MPI-ESM-LR_Cluster11_repl1</v>
      </c>
      <c r="AH303" s="16" t="s">
        <v>282</v>
      </c>
      <c r="AI303" s="16" t="s">
        <v>283</v>
      </c>
    </row>
    <row r="304" spans="1:35" ht="13.8">
      <c r="A304" s="7" t="str">
        <f t="shared" si="72"/>
        <v>NCC-NorESM1-M_Cluster11_repl1</v>
      </c>
      <c r="B304" s="8" t="s">
        <v>16</v>
      </c>
      <c r="C304" s="8"/>
      <c r="D304" s="9" t="s">
        <v>17</v>
      </c>
      <c r="E304" s="9" t="str">
        <f t="shared" si="73"/>
        <v>historical</v>
      </c>
      <c r="F304" s="8">
        <v>350</v>
      </c>
      <c r="G304" s="8" t="s">
        <v>60</v>
      </c>
      <c r="H304" s="8">
        <v>3</v>
      </c>
      <c r="I304" s="8">
        <v>1.2451908062161101E-5</v>
      </c>
      <c r="J304" s="8">
        <v>11</v>
      </c>
      <c r="K304" s="8" t="s">
        <v>179</v>
      </c>
      <c r="L304" s="8">
        <v>1</v>
      </c>
      <c r="M304" s="8"/>
      <c r="N304" s="8">
        <v>1</v>
      </c>
      <c r="O304" s="10" t="s">
        <v>21</v>
      </c>
      <c r="P304" s="17" t="s">
        <v>59</v>
      </c>
      <c r="Q304" s="10" t="str">
        <f t="shared" si="74"/>
        <v>NCC-NorESM1-M_Cluster11_repl1.sqlite</v>
      </c>
      <c r="R304" s="11">
        <f t="shared" si="75"/>
        <v>3</v>
      </c>
      <c r="S304" s="11">
        <v>0</v>
      </c>
      <c r="T304" s="16" t="str">
        <f t="shared" si="76"/>
        <v>climate_db_NCC-NorESM1-M_historical_v4.sqlite</v>
      </c>
      <c r="U304" s="16" t="str">
        <f t="shared" si="77"/>
        <v>log/NCC-NorESM1-M_Cluster11_repl1.txt</v>
      </c>
      <c r="V304" s="16" t="str">
        <f t="shared" si="78"/>
        <v>init/env_file_CLUSTER11_REPL1_NCC-NorESM1-M_historical.csv</v>
      </c>
      <c r="W304" s="16" t="str">
        <f t="shared" si="79"/>
        <v>init/env_grid_CLUSTER11_REPL1.asc</v>
      </c>
      <c r="X304" s="16" t="str">
        <f t="shared" si="80"/>
        <v>init/env_grid_CLUSTER11_REPL1.asc</v>
      </c>
      <c r="Y304" s="16" t="str">
        <f t="shared" si="81"/>
        <v>trees_CLUSTER11.csv</v>
      </c>
      <c r="Z304" s="16" t="str">
        <f t="shared" si="82"/>
        <v>saplings_CLUSTER11.csv</v>
      </c>
      <c r="AA304" s="16">
        <f t="shared" si="83"/>
        <v>350</v>
      </c>
      <c r="AB304" s="16" t="str">
        <f t="shared" si="84"/>
        <v>abe/no_mgmt.csv</v>
      </c>
      <c r="AC304" s="16" t="str">
        <f t="shared" si="85"/>
        <v>gis/WindModifier_cl11.asc</v>
      </c>
      <c r="AD304" s="16">
        <f t="shared" si="92"/>
        <v>6.8499999999999995E-4</v>
      </c>
      <c r="AE304" s="16" t="str">
        <f t="shared" si="89"/>
        <v>NCC-NorESM1-M_historical_point31713</v>
      </c>
      <c r="AF304" s="16" t="str">
        <f t="shared" si="87"/>
        <v>wind_Events/cl11_repl1.txt</v>
      </c>
      <c r="AG304" s="16" t="str">
        <f t="shared" si="90"/>
        <v>NCC-NorESM1-M_Cluster11_repl1</v>
      </c>
      <c r="AH304" s="16" t="s">
        <v>284</v>
      </c>
      <c r="AI304" s="16" t="s">
        <v>285</v>
      </c>
    </row>
    <row r="305" spans="1:35" ht="13.8">
      <c r="A305" s="7" t="str">
        <f t="shared" si="72"/>
        <v>ICHEC-EC-EARTH_Cluster11_repl2</v>
      </c>
      <c r="B305" s="8" t="s">
        <v>16</v>
      </c>
      <c r="C305" s="8"/>
      <c r="D305" s="9" t="s">
        <v>17</v>
      </c>
      <c r="E305" s="9" t="str">
        <f t="shared" si="73"/>
        <v>historical</v>
      </c>
      <c r="F305" s="8">
        <v>350</v>
      </c>
      <c r="G305" s="8" t="s">
        <v>18</v>
      </c>
      <c r="H305" s="8">
        <v>1</v>
      </c>
      <c r="I305" s="8">
        <v>1.2451908062161101E-5</v>
      </c>
      <c r="J305" s="8">
        <v>11</v>
      </c>
      <c r="K305" s="8" t="s">
        <v>165</v>
      </c>
      <c r="L305" s="8">
        <v>2</v>
      </c>
      <c r="M305" s="8"/>
      <c r="N305" s="8">
        <v>1</v>
      </c>
      <c r="O305" s="10" t="s">
        <v>21</v>
      </c>
      <c r="P305" s="17" t="s">
        <v>59</v>
      </c>
      <c r="Q305" s="10" t="str">
        <f t="shared" si="74"/>
        <v>ICHEC-EC-EARTH_Cluster11_repl2.sqlite</v>
      </c>
      <c r="R305" s="11">
        <f t="shared" si="75"/>
        <v>4</v>
      </c>
      <c r="S305" s="11">
        <v>0</v>
      </c>
      <c r="T305" s="16" t="str">
        <f t="shared" si="76"/>
        <v>climate_db_ICHEC-EC-EARTH_historical_v4.sqlite</v>
      </c>
      <c r="U305" s="16" t="str">
        <f t="shared" si="77"/>
        <v>log/ICHEC-EC-EARTH_Cluster11_repl2.txt</v>
      </c>
      <c r="V305" s="16" t="str">
        <f t="shared" si="78"/>
        <v>init/env_file_CLUSTER11_REPL2_ICHEC-EC-EARTH_historical.csv</v>
      </c>
      <c r="W305" s="16" t="str">
        <f t="shared" si="79"/>
        <v>init/env_grid_CLUSTER11_REPL2.asc</v>
      </c>
      <c r="X305" s="16" t="str">
        <f t="shared" si="80"/>
        <v>init/env_grid_CLUSTER11_REPL2.asc</v>
      </c>
      <c r="Y305" s="16" t="str">
        <f t="shared" si="81"/>
        <v>trees_CLUSTER11.csv</v>
      </c>
      <c r="Z305" s="16" t="str">
        <f t="shared" si="82"/>
        <v>saplings_CLUSTER11.csv</v>
      </c>
      <c r="AA305" s="16">
        <f t="shared" si="83"/>
        <v>350</v>
      </c>
      <c r="AB305" s="16" t="str">
        <f t="shared" si="84"/>
        <v>abe/no_mgmt.csv</v>
      </c>
      <c r="AC305" s="16" t="str">
        <f t="shared" si="85"/>
        <v>gis/WindModifier_cl11.asc</v>
      </c>
      <c r="AD305" s="16">
        <f t="shared" si="92"/>
        <v>6.8499999999999995E-4</v>
      </c>
      <c r="AE305" s="16" t="str">
        <f t="shared" si="89"/>
        <v>ICHEC-EC-EARTH_historical_point29711</v>
      </c>
      <c r="AF305" s="16" t="str">
        <f t="shared" si="87"/>
        <v>wind_Events/cl11_repl2.txt</v>
      </c>
      <c r="AG305" s="16" t="str">
        <f t="shared" si="90"/>
        <v>ICHEC-EC-EARTH_Cluster11_repl2</v>
      </c>
      <c r="AH305" s="16" t="s">
        <v>286</v>
      </c>
      <c r="AI305" s="16" t="s">
        <v>287</v>
      </c>
    </row>
    <row r="306" spans="1:35" ht="13.8">
      <c r="A306" s="7" t="str">
        <f t="shared" si="72"/>
        <v>MPI-M-MPI-ESM-LR_Cluster11_repl2</v>
      </c>
      <c r="B306" s="8" t="s">
        <v>16</v>
      </c>
      <c r="C306" s="8"/>
      <c r="D306" s="9" t="s">
        <v>17</v>
      </c>
      <c r="E306" s="9" t="str">
        <f t="shared" si="73"/>
        <v>historical</v>
      </c>
      <c r="F306" s="8">
        <v>350</v>
      </c>
      <c r="G306" s="8" t="s">
        <v>63</v>
      </c>
      <c r="H306" s="8">
        <v>2</v>
      </c>
      <c r="I306" s="8">
        <v>1.2451908062161101E-5</v>
      </c>
      <c r="J306" s="8">
        <v>11</v>
      </c>
      <c r="K306" s="8" t="s">
        <v>165</v>
      </c>
      <c r="L306" s="8">
        <v>2</v>
      </c>
      <c r="M306" s="8"/>
      <c r="N306" s="8">
        <v>1</v>
      </c>
      <c r="O306" s="10" t="s">
        <v>21</v>
      </c>
      <c r="P306" s="17" t="s">
        <v>59</v>
      </c>
      <c r="Q306" s="10" t="str">
        <f t="shared" si="74"/>
        <v>MPI-M-MPI-ESM-LR_Cluster11_repl2.sqlite</v>
      </c>
      <c r="R306" s="11">
        <f t="shared" si="75"/>
        <v>5</v>
      </c>
      <c r="S306" s="11">
        <v>0</v>
      </c>
      <c r="T306" s="16" t="str">
        <f t="shared" si="76"/>
        <v>climate_db_MPI-M-MPI-ESM-LR_historical_v4.sqlite</v>
      </c>
      <c r="U306" s="16" t="str">
        <f t="shared" si="77"/>
        <v>log/MPI-M-MPI-ESM-LR_Cluster11_repl2.txt</v>
      </c>
      <c r="V306" s="16" t="str">
        <f t="shared" si="78"/>
        <v>init/env_file_CLUSTER11_REPL2_MPI-M-MPI-ESM-LR_historical.csv</v>
      </c>
      <c r="W306" s="16" t="str">
        <f t="shared" si="79"/>
        <v>init/env_grid_CLUSTER11_REPL2.asc</v>
      </c>
      <c r="X306" s="16" t="str">
        <f t="shared" si="80"/>
        <v>init/env_grid_CLUSTER11_REPL2.asc</v>
      </c>
      <c r="Y306" s="16" t="str">
        <f t="shared" si="81"/>
        <v>trees_CLUSTER11.csv</v>
      </c>
      <c r="Z306" s="16" t="str">
        <f t="shared" si="82"/>
        <v>saplings_CLUSTER11.csv</v>
      </c>
      <c r="AA306" s="16">
        <f t="shared" si="83"/>
        <v>350</v>
      </c>
      <c r="AB306" s="16" t="str">
        <f t="shared" si="84"/>
        <v>abe/no_mgmt.csv</v>
      </c>
      <c r="AC306" s="16" t="str">
        <f t="shared" si="85"/>
        <v>gis/WindModifier_cl11.asc</v>
      </c>
      <c r="AD306" s="16">
        <f t="shared" si="92"/>
        <v>6.8499999999999995E-4</v>
      </c>
      <c r="AE306" s="16" t="str">
        <f t="shared" si="89"/>
        <v>MPI-M-MPI-ESM-LR_historical_point29711</v>
      </c>
      <c r="AF306" s="16" t="str">
        <f t="shared" si="87"/>
        <v>wind_Events/cl11_repl2.txt</v>
      </c>
      <c r="AG306" s="16" t="str">
        <f t="shared" si="90"/>
        <v>MPI-M-MPI-ESM-LR_Cluster11_repl2</v>
      </c>
      <c r="AH306" s="16" t="s">
        <v>288</v>
      </c>
      <c r="AI306" s="16" t="s">
        <v>289</v>
      </c>
    </row>
    <row r="307" spans="1:35" ht="13.8">
      <c r="A307" s="7" t="str">
        <f t="shared" si="72"/>
        <v>NCC-NorESM1-M_Cluster11_repl2</v>
      </c>
      <c r="B307" s="8" t="s">
        <v>16</v>
      </c>
      <c r="C307" s="8"/>
      <c r="D307" s="9" t="s">
        <v>17</v>
      </c>
      <c r="E307" s="9" t="str">
        <f t="shared" si="73"/>
        <v>historical</v>
      </c>
      <c r="F307" s="8">
        <v>350</v>
      </c>
      <c r="G307" s="8" t="s">
        <v>60</v>
      </c>
      <c r="H307" s="8">
        <v>3</v>
      </c>
      <c r="I307" s="8">
        <v>1.2451908062161101E-5</v>
      </c>
      <c r="J307" s="8">
        <v>11</v>
      </c>
      <c r="K307" s="8" t="s">
        <v>179</v>
      </c>
      <c r="L307" s="8">
        <v>2</v>
      </c>
      <c r="M307" s="8"/>
      <c r="N307" s="8">
        <v>1</v>
      </c>
      <c r="O307" s="10" t="s">
        <v>21</v>
      </c>
      <c r="P307" s="17" t="s">
        <v>59</v>
      </c>
      <c r="Q307" s="10" t="str">
        <f t="shared" si="74"/>
        <v>NCC-NorESM1-M_Cluster11_repl2.sqlite</v>
      </c>
      <c r="R307" s="11">
        <f t="shared" si="75"/>
        <v>6</v>
      </c>
      <c r="S307" s="11">
        <v>0</v>
      </c>
      <c r="T307" s="16" t="str">
        <f t="shared" si="76"/>
        <v>climate_db_NCC-NorESM1-M_historical_v4.sqlite</v>
      </c>
      <c r="U307" s="16" t="str">
        <f t="shared" si="77"/>
        <v>log/NCC-NorESM1-M_Cluster11_repl2.txt</v>
      </c>
      <c r="V307" s="16" t="str">
        <f t="shared" si="78"/>
        <v>init/env_file_CLUSTER11_REPL2_NCC-NorESM1-M_historical.csv</v>
      </c>
      <c r="W307" s="16" t="str">
        <f t="shared" si="79"/>
        <v>init/env_grid_CLUSTER11_REPL2.asc</v>
      </c>
      <c r="X307" s="16" t="str">
        <f t="shared" si="80"/>
        <v>init/env_grid_CLUSTER11_REPL2.asc</v>
      </c>
      <c r="Y307" s="16" t="str">
        <f t="shared" si="81"/>
        <v>trees_CLUSTER11.csv</v>
      </c>
      <c r="Z307" s="16" t="str">
        <f t="shared" si="82"/>
        <v>saplings_CLUSTER11.csv</v>
      </c>
      <c r="AA307" s="16">
        <f t="shared" si="83"/>
        <v>350</v>
      </c>
      <c r="AB307" s="16" t="str">
        <f t="shared" si="84"/>
        <v>abe/no_mgmt.csv</v>
      </c>
      <c r="AC307" s="16" t="str">
        <f t="shared" si="85"/>
        <v>gis/WindModifier_cl11.asc</v>
      </c>
      <c r="AD307" s="16">
        <f t="shared" si="92"/>
        <v>6.8499999999999995E-4</v>
      </c>
      <c r="AE307" s="16" t="str">
        <f t="shared" si="89"/>
        <v>NCC-NorESM1-M_historical_point31713</v>
      </c>
      <c r="AF307" s="16" t="str">
        <f t="shared" si="87"/>
        <v>wind_Events/cl11_repl2.txt</v>
      </c>
      <c r="AG307" s="16" t="str">
        <f t="shared" si="90"/>
        <v>NCC-NorESM1-M_Cluster11_repl2</v>
      </c>
      <c r="AH307" s="16" t="s">
        <v>290</v>
      </c>
      <c r="AI307" s="16" t="s">
        <v>291</v>
      </c>
    </row>
    <row r="308" spans="1:35" ht="13.8">
      <c r="A308" s="7" t="str">
        <f t="shared" si="72"/>
        <v>ICHEC-EC-EARTH_Cluster11_repl3</v>
      </c>
      <c r="B308" s="8" t="s">
        <v>16</v>
      </c>
      <c r="C308" s="8"/>
      <c r="D308" s="9" t="s">
        <v>17</v>
      </c>
      <c r="E308" s="9" t="str">
        <f t="shared" si="73"/>
        <v>historical</v>
      </c>
      <c r="F308" s="8">
        <v>350</v>
      </c>
      <c r="G308" s="8" t="s">
        <v>18</v>
      </c>
      <c r="H308" s="8">
        <v>1</v>
      </c>
      <c r="I308" s="8">
        <v>1.2451908062161101E-5</v>
      </c>
      <c r="J308" s="8">
        <v>11</v>
      </c>
      <c r="K308" s="8" t="s">
        <v>165</v>
      </c>
      <c r="L308" s="8">
        <v>3</v>
      </c>
      <c r="M308" s="8"/>
      <c r="N308" s="8">
        <v>1</v>
      </c>
      <c r="O308" s="10" t="s">
        <v>21</v>
      </c>
      <c r="P308" s="17" t="s">
        <v>59</v>
      </c>
      <c r="Q308" s="10" t="str">
        <f t="shared" si="74"/>
        <v>ICHEC-EC-EARTH_Cluster11_repl3.sqlite</v>
      </c>
      <c r="R308" s="11">
        <f t="shared" si="75"/>
        <v>7</v>
      </c>
      <c r="S308" s="11">
        <v>0</v>
      </c>
      <c r="T308" s="16" t="str">
        <f t="shared" si="76"/>
        <v>climate_db_ICHEC-EC-EARTH_historical_v4.sqlite</v>
      </c>
      <c r="U308" s="16" t="str">
        <f t="shared" si="77"/>
        <v>log/ICHEC-EC-EARTH_Cluster11_repl3.txt</v>
      </c>
      <c r="V308" s="16" t="str">
        <f t="shared" si="78"/>
        <v>init/env_file_CLUSTER11_REPL3_ICHEC-EC-EARTH_historical.csv</v>
      </c>
      <c r="W308" s="16" t="str">
        <f t="shared" si="79"/>
        <v>init/env_grid_CLUSTER11_REPL3.asc</v>
      </c>
      <c r="X308" s="16" t="str">
        <f t="shared" si="80"/>
        <v>init/env_grid_CLUSTER11_REPL3.asc</v>
      </c>
      <c r="Y308" s="16" t="str">
        <f t="shared" si="81"/>
        <v>trees_CLUSTER11.csv</v>
      </c>
      <c r="Z308" s="16" t="str">
        <f t="shared" si="82"/>
        <v>saplings_CLUSTER11.csv</v>
      </c>
      <c r="AA308" s="16">
        <f t="shared" si="83"/>
        <v>350</v>
      </c>
      <c r="AB308" s="16" t="str">
        <f t="shared" si="84"/>
        <v>abe/no_mgmt.csv</v>
      </c>
      <c r="AC308" s="16" t="str">
        <f t="shared" si="85"/>
        <v>gis/WindModifier_cl11.asc</v>
      </c>
      <c r="AD308" s="16">
        <f t="shared" si="92"/>
        <v>6.8499999999999995E-4</v>
      </c>
      <c r="AE308" s="16" t="str">
        <f t="shared" si="89"/>
        <v>ICHEC-EC-EARTH_historical_point29711</v>
      </c>
      <c r="AF308" s="16" t="str">
        <f t="shared" si="87"/>
        <v>wind_Events/cl11_repl3.txt</v>
      </c>
      <c r="AG308" s="16" t="str">
        <f t="shared" si="90"/>
        <v>ICHEC-EC-EARTH_Cluster11_repl3</v>
      </c>
      <c r="AH308" s="16" t="s">
        <v>292</v>
      </c>
      <c r="AI308" s="16" t="s">
        <v>293</v>
      </c>
    </row>
    <row r="309" spans="1:35" ht="13.8">
      <c r="A309" s="7" t="str">
        <f t="shared" si="72"/>
        <v>MPI-M-MPI-ESM-LR_Cluster11_repl3</v>
      </c>
      <c r="B309" s="8" t="s">
        <v>16</v>
      </c>
      <c r="C309" s="8"/>
      <c r="D309" s="9" t="s">
        <v>17</v>
      </c>
      <c r="E309" s="9" t="str">
        <f t="shared" si="73"/>
        <v>historical</v>
      </c>
      <c r="F309" s="8">
        <v>350</v>
      </c>
      <c r="G309" s="8" t="s">
        <v>63</v>
      </c>
      <c r="H309" s="8">
        <v>2</v>
      </c>
      <c r="I309" s="8">
        <v>1.2451908062161101E-5</v>
      </c>
      <c r="J309" s="8">
        <v>11</v>
      </c>
      <c r="K309" s="8" t="s">
        <v>165</v>
      </c>
      <c r="L309" s="8">
        <v>3</v>
      </c>
      <c r="M309" s="8"/>
      <c r="N309" s="8">
        <v>1</v>
      </c>
      <c r="O309" s="10" t="s">
        <v>21</v>
      </c>
      <c r="P309" s="17" t="s">
        <v>59</v>
      </c>
      <c r="Q309" s="10" t="str">
        <f t="shared" si="74"/>
        <v>MPI-M-MPI-ESM-LR_Cluster11_repl3.sqlite</v>
      </c>
      <c r="R309" s="11">
        <f t="shared" si="75"/>
        <v>8</v>
      </c>
      <c r="S309" s="11">
        <v>0</v>
      </c>
      <c r="T309" s="16" t="str">
        <f t="shared" si="76"/>
        <v>climate_db_MPI-M-MPI-ESM-LR_historical_v4.sqlite</v>
      </c>
      <c r="U309" s="16" t="str">
        <f t="shared" si="77"/>
        <v>log/MPI-M-MPI-ESM-LR_Cluster11_repl3.txt</v>
      </c>
      <c r="V309" s="16" t="str">
        <f t="shared" si="78"/>
        <v>init/env_file_CLUSTER11_REPL3_MPI-M-MPI-ESM-LR_historical.csv</v>
      </c>
      <c r="W309" s="16" t="str">
        <f t="shared" si="79"/>
        <v>init/env_grid_CLUSTER11_REPL3.asc</v>
      </c>
      <c r="X309" s="16" t="str">
        <f t="shared" si="80"/>
        <v>init/env_grid_CLUSTER11_REPL3.asc</v>
      </c>
      <c r="Y309" s="16" t="str">
        <f t="shared" si="81"/>
        <v>trees_CLUSTER11.csv</v>
      </c>
      <c r="Z309" s="16" t="str">
        <f t="shared" si="82"/>
        <v>saplings_CLUSTER11.csv</v>
      </c>
      <c r="AA309" s="16">
        <f t="shared" si="83"/>
        <v>350</v>
      </c>
      <c r="AB309" s="16" t="str">
        <f t="shared" si="84"/>
        <v>abe/no_mgmt.csv</v>
      </c>
      <c r="AC309" s="16" t="str">
        <f t="shared" si="85"/>
        <v>gis/WindModifier_cl11.asc</v>
      </c>
      <c r="AD309" s="16">
        <f t="shared" si="92"/>
        <v>6.8499999999999995E-4</v>
      </c>
      <c r="AE309" s="16" t="str">
        <f t="shared" si="89"/>
        <v>MPI-M-MPI-ESM-LR_historical_point29711</v>
      </c>
      <c r="AF309" s="16" t="str">
        <f t="shared" si="87"/>
        <v>wind_Events/cl11_repl3.txt</v>
      </c>
      <c r="AG309" s="16" t="str">
        <f t="shared" si="90"/>
        <v>MPI-M-MPI-ESM-LR_Cluster11_repl3</v>
      </c>
      <c r="AH309" s="16" t="s">
        <v>294</v>
      </c>
      <c r="AI309" s="16" t="s">
        <v>295</v>
      </c>
    </row>
    <row r="310" spans="1:35" ht="13.8">
      <c r="A310" s="7" t="str">
        <f t="shared" si="72"/>
        <v>NCC-NorESM1-M_Cluster11_repl3</v>
      </c>
      <c r="B310" s="8" t="s">
        <v>16</v>
      </c>
      <c r="C310" s="8"/>
      <c r="D310" s="9" t="s">
        <v>17</v>
      </c>
      <c r="E310" s="9" t="str">
        <f t="shared" si="73"/>
        <v>historical</v>
      </c>
      <c r="F310" s="8">
        <v>350</v>
      </c>
      <c r="G310" s="8" t="s">
        <v>60</v>
      </c>
      <c r="H310" s="8">
        <v>3</v>
      </c>
      <c r="I310" s="8">
        <v>1.2451908062161101E-5</v>
      </c>
      <c r="J310" s="8">
        <v>11</v>
      </c>
      <c r="K310" s="8" t="s">
        <v>179</v>
      </c>
      <c r="L310" s="8">
        <v>3</v>
      </c>
      <c r="M310" s="8"/>
      <c r="N310" s="8">
        <v>1</v>
      </c>
      <c r="O310" s="10" t="s">
        <v>21</v>
      </c>
      <c r="P310" s="17" t="s">
        <v>59</v>
      </c>
      <c r="Q310" s="10" t="str">
        <f t="shared" si="74"/>
        <v>NCC-NorESM1-M_Cluster11_repl3.sqlite</v>
      </c>
      <c r="R310" s="11">
        <f t="shared" si="75"/>
        <v>9</v>
      </c>
      <c r="S310" s="11">
        <v>0</v>
      </c>
      <c r="T310" s="16" t="str">
        <f t="shared" si="76"/>
        <v>climate_db_NCC-NorESM1-M_historical_v4.sqlite</v>
      </c>
      <c r="U310" s="16" t="str">
        <f t="shared" si="77"/>
        <v>log/NCC-NorESM1-M_Cluster11_repl3.txt</v>
      </c>
      <c r="V310" s="16" t="str">
        <f t="shared" si="78"/>
        <v>init/env_file_CLUSTER11_REPL3_NCC-NorESM1-M_historical.csv</v>
      </c>
      <c r="W310" s="16" t="str">
        <f t="shared" si="79"/>
        <v>init/env_grid_CLUSTER11_REPL3.asc</v>
      </c>
      <c r="X310" s="16" t="str">
        <f t="shared" si="80"/>
        <v>init/env_grid_CLUSTER11_REPL3.asc</v>
      </c>
      <c r="Y310" s="16" t="str">
        <f t="shared" si="81"/>
        <v>trees_CLUSTER11.csv</v>
      </c>
      <c r="Z310" s="16" t="str">
        <f t="shared" si="82"/>
        <v>saplings_CLUSTER11.csv</v>
      </c>
      <c r="AA310" s="16">
        <f t="shared" si="83"/>
        <v>350</v>
      </c>
      <c r="AB310" s="16" t="str">
        <f t="shared" si="84"/>
        <v>abe/no_mgmt.csv</v>
      </c>
      <c r="AC310" s="16" t="str">
        <f t="shared" si="85"/>
        <v>gis/WindModifier_cl11.asc</v>
      </c>
      <c r="AD310" s="16">
        <f>IF(C310="Scaled_", I310+0.0000000001,  0.000685)</f>
        <v>6.8499999999999995E-4</v>
      </c>
      <c r="AE310" s="16" t="str">
        <f t="shared" si="89"/>
        <v>NCC-NorESM1-M_historical_point31713</v>
      </c>
      <c r="AF310" s="16" t="str">
        <f t="shared" si="87"/>
        <v>wind_Events/cl11_repl3.txt</v>
      </c>
      <c r="AG310" s="16" t="str">
        <f t="shared" si="90"/>
        <v>NCC-NorESM1-M_Cluster11_repl3</v>
      </c>
      <c r="AH310" s="16" t="s">
        <v>296</v>
      </c>
      <c r="AI310" s="16" t="s">
        <v>297</v>
      </c>
    </row>
    <row r="311" spans="1:35" ht="13.8">
      <c r="A311" s="7" t="str">
        <f t="shared" si="72"/>
        <v>ICHEC-EC-EARTH_Cluster11_repl4</v>
      </c>
      <c r="B311" s="8" t="s">
        <v>16</v>
      </c>
      <c r="C311" s="8"/>
      <c r="D311" s="9" t="s">
        <v>17</v>
      </c>
      <c r="E311" s="9" t="str">
        <f t="shared" si="73"/>
        <v>historical</v>
      </c>
      <c r="F311" s="8">
        <v>350</v>
      </c>
      <c r="G311" s="8" t="s">
        <v>18</v>
      </c>
      <c r="H311" s="8">
        <v>1</v>
      </c>
      <c r="I311" s="8">
        <v>1.2451908062161101E-5</v>
      </c>
      <c r="J311" s="8">
        <v>11</v>
      </c>
      <c r="K311" s="8" t="s">
        <v>165</v>
      </c>
      <c r="L311" s="8">
        <v>4</v>
      </c>
      <c r="M311" s="8"/>
      <c r="N311" s="8">
        <v>1</v>
      </c>
      <c r="O311" s="10" t="s">
        <v>21</v>
      </c>
      <c r="P311" s="17" t="s">
        <v>59</v>
      </c>
      <c r="Q311" s="10" t="str">
        <f t="shared" si="74"/>
        <v>ICHEC-EC-EARTH_Cluster11_repl4.sqlite</v>
      </c>
      <c r="R311" s="11">
        <f t="shared" si="75"/>
        <v>10</v>
      </c>
      <c r="S311" s="11">
        <v>0</v>
      </c>
      <c r="T311" s="16" t="str">
        <f t="shared" si="76"/>
        <v>climate_db_ICHEC-EC-EARTH_historical_v4.sqlite</v>
      </c>
      <c r="U311" s="16" t="str">
        <f t="shared" si="77"/>
        <v>log/ICHEC-EC-EARTH_Cluster11_repl4.txt</v>
      </c>
      <c r="V311" s="16" t="str">
        <f t="shared" si="78"/>
        <v>init/env_file_CLUSTER11_REPL4_ICHEC-EC-EARTH_historical.csv</v>
      </c>
      <c r="W311" s="16" t="str">
        <f t="shared" si="79"/>
        <v>init/env_grid_CLUSTER11_REPL4.asc</v>
      </c>
      <c r="X311" s="16" t="str">
        <f t="shared" si="80"/>
        <v>init/env_grid_CLUSTER11_REPL4.asc</v>
      </c>
      <c r="Y311" s="16" t="str">
        <f t="shared" si="81"/>
        <v>trees_CLUSTER11.csv</v>
      </c>
      <c r="Z311" s="16" t="str">
        <f t="shared" si="82"/>
        <v>saplings_CLUSTER11.csv</v>
      </c>
      <c r="AA311" s="16">
        <f t="shared" si="83"/>
        <v>350</v>
      </c>
      <c r="AB311" s="16" t="str">
        <f t="shared" si="84"/>
        <v>abe/no_mgmt.csv</v>
      </c>
      <c r="AC311" s="16" t="str">
        <f t="shared" si="85"/>
        <v>gis/WindModifier_cl11.asc</v>
      </c>
      <c r="AD311" s="16">
        <f t="shared" ref="AD311:AD320" si="93">IF(C311="Scaled_", I311+0.0000000001,  0.000685)</f>
        <v>6.8499999999999995E-4</v>
      </c>
      <c r="AE311" s="16" t="str">
        <f t="shared" si="89"/>
        <v>ICHEC-EC-EARTH_historical_point29711</v>
      </c>
      <c r="AF311" s="16" t="str">
        <f t="shared" si="87"/>
        <v>wind_Events/cl11_repl4.txt</v>
      </c>
      <c r="AG311" s="16" t="str">
        <f t="shared" si="90"/>
        <v>ICHEC-EC-EARTH_Cluster11_repl4</v>
      </c>
      <c r="AH311" s="16" t="s">
        <v>298</v>
      </c>
      <c r="AI311" s="16" t="s">
        <v>299</v>
      </c>
    </row>
    <row r="312" spans="1:35" ht="13.8">
      <c r="A312" s="7" t="str">
        <f t="shared" si="72"/>
        <v>MPI-M-MPI-ESM-LR_Cluster11_repl4</v>
      </c>
      <c r="B312" s="8" t="s">
        <v>16</v>
      </c>
      <c r="C312" s="8"/>
      <c r="D312" s="9" t="s">
        <v>17</v>
      </c>
      <c r="E312" s="9" t="str">
        <f t="shared" si="73"/>
        <v>historical</v>
      </c>
      <c r="F312" s="8">
        <v>350</v>
      </c>
      <c r="G312" s="8" t="s">
        <v>63</v>
      </c>
      <c r="H312" s="8">
        <v>2</v>
      </c>
      <c r="I312" s="8">
        <v>1.2451908062161101E-5</v>
      </c>
      <c r="J312" s="8">
        <v>11</v>
      </c>
      <c r="K312" s="8" t="s">
        <v>165</v>
      </c>
      <c r="L312" s="8">
        <v>4</v>
      </c>
      <c r="M312" s="8"/>
      <c r="N312" s="8">
        <v>1</v>
      </c>
      <c r="O312" s="10" t="s">
        <v>21</v>
      </c>
      <c r="P312" s="17" t="s">
        <v>59</v>
      </c>
      <c r="Q312" s="10" t="str">
        <f t="shared" si="74"/>
        <v>MPI-M-MPI-ESM-LR_Cluster11_repl4.sqlite</v>
      </c>
      <c r="R312" s="11">
        <f t="shared" si="75"/>
        <v>11</v>
      </c>
      <c r="S312" s="11">
        <v>0</v>
      </c>
      <c r="T312" s="16" t="str">
        <f t="shared" si="76"/>
        <v>climate_db_MPI-M-MPI-ESM-LR_historical_v4.sqlite</v>
      </c>
      <c r="U312" s="16" t="str">
        <f t="shared" si="77"/>
        <v>log/MPI-M-MPI-ESM-LR_Cluster11_repl4.txt</v>
      </c>
      <c r="V312" s="16" t="str">
        <f t="shared" si="78"/>
        <v>init/env_file_CLUSTER11_REPL4_MPI-M-MPI-ESM-LR_historical.csv</v>
      </c>
      <c r="W312" s="16" t="str">
        <f t="shared" si="79"/>
        <v>init/env_grid_CLUSTER11_REPL4.asc</v>
      </c>
      <c r="X312" s="16" t="str">
        <f t="shared" si="80"/>
        <v>init/env_grid_CLUSTER11_REPL4.asc</v>
      </c>
      <c r="Y312" s="16" t="str">
        <f t="shared" si="81"/>
        <v>trees_CLUSTER11.csv</v>
      </c>
      <c r="Z312" s="16" t="str">
        <f t="shared" si="82"/>
        <v>saplings_CLUSTER11.csv</v>
      </c>
      <c r="AA312" s="16">
        <f t="shared" si="83"/>
        <v>350</v>
      </c>
      <c r="AB312" s="16" t="str">
        <f t="shared" si="84"/>
        <v>abe/no_mgmt.csv</v>
      </c>
      <c r="AC312" s="16" t="str">
        <f t="shared" si="85"/>
        <v>gis/WindModifier_cl11.asc</v>
      </c>
      <c r="AD312" s="16">
        <f t="shared" si="93"/>
        <v>6.8499999999999995E-4</v>
      </c>
      <c r="AE312" s="16" t="str">
        <f t="shared" si="89"/>
        <v>MPI-M-MPI-ESM-LR_historical_point29711</v>
      </c>
      <c r="AF312" s="16" t="str">
        <f t="shared" si="87"/>
        <v>wind_Events/cl11_repl4.txt</v>
      </c>
      <c r="AG312" s="16" t="str">
        <f t="shared" si="90"/>
        <v>MPI-M-MPI-ESM-LR_Cluster11_repl4</v>
      </c>
      <c r="AH312" s="16" t="s">
        <v>300</v>
      </c>
      <c r="AI312" s="16" t="s">
        <v>301</v>
      </c>
    </row>
    <row r="313" spans="1:35" ht="13.8">
      <c r="A313" s="7" t="str">
        <f t="shared" si="72"/>
        <v>NCC-NorESM1-M_Cluster11_repl4</v>
      </c>
      <c r="B313" s="8" t="s">
        <v>16</v>
      </c>
      <c r="C313" s="8"/>
      <c r="D313" s="9" t="s">
        <v>17</v>
      </c>
      <c r="E313" s="9" t="str">
        <f t="shared" si="73"/>
        <v>historical</v>
      </c>
      <c r="F313" s="8">
        <v>350</v>
      </c>
      <c r="G313" s="8" t="s">
        <v>60</v>
      </c>
      <c r="H313" s="8">
        <v>3</v>
      </c>
      <c r="I313" s="8">
        <v>1.2451908062161101E-5</v>
      </c>
      <c r="J313" s="8">
        <v>11</v>
      </c>
      <c r="K313" s="8" t="s">
        <v>179</v>
      </c>
      <c r="L313" s="8">
        <v>4</v>
      </c>
      <c r="M313" s="8"/>
      <c r="N313" s="8">
        <v>1</v>
      </c>
      <c r="O313" s="10" t="s">
        <v>21</v>
      </c>
      <c r="P313" s="17" t="s">
        <v>59</v>
      </c>
      <c r="Q313" s="10" t="str">
        <f t="shared" si="74"/>
        <v>NCC-NorESM1-M_Cluster11_repl4.sqlite</v>
      </c>
      <c r="R313" s="11">
        <f t="shared" si="75"/>
        <v>12</v>
      </c>
      <c r="S313" s="11">
        <v>0</v>
      </c>
      <c r="T313" s="16" t="str">
        <f t="shared" si="76"/>
        <v>climate_db_NCC-NorESM1-M_historical_v4.sqlite</v>
      </c>
      <c r="U313" s="16" t="str">
        <f t="shared" si="77"/>
        <v>log/NCC-NorESM1-M_Cluster11_repl4.txt</v>
      </c>
      <c r="V313" s="16" t="str">
        <f t="shared" si="78"/>
        <v>init/env_file_CLUSTER11_REPL4_NCC-NorESM1-M_historical.csv</v>
      </c>
      <c r="W313" s="16" t="str">
        <f t="shared" si="79"/>
        <v>init/env_grid_CLUSTER11_REPL4.asc</v>
      </c>
      <c r="X313" s="16" t="str">
        <f t="shared" si="80"/>
        <v>init/env_grid_CLUSTER11_REPL4.asc</v>
      </c>
      <c r="Y313" s="16" t="str">
        <f t="shared" si="81"/>
        <v>trees_CLUSTER11.csv</v>
      </c>
      <c r="Z313" s="16" t="str">
        <f t="shared" si="82"/>
        <v>saplings_CLUSTER11.csv</v>
      </c>
      <c r="AA313" s="16">
        <f t="shared" si="83"/>
        <v>350</v>
      </c>
      <c r="AB313" s="16" t="str">
        <f t="shared" si="84"/>
        <v>abe/no_mgmt.csv</v>
      </c>
      <c r="AC313" s="16" t="str">
        <f t="shared" si="85"/>
        <v>gis/WindModifier_cl11.asc</v>
      </c>
      <c r="AD313" s="16">
        <f t="shared" si="93"/>
        <v>6.8499999999999995E-4</v>
      </c>
      <c r="AE313" s="16" t="str">
        <f t="shared" si="89"/>
        <v>NCC-NorESM1-M_historical_point31713</v>
      </c>
      <c r="AF313" s="16" t="str">
        <f t="shared" si="87"/>
        <v>wind_Events/cl11_repl4.txt</v>
      </c>
      <c r="AG313" s="16" t="str">
        <f t="shared" si="90"/>
        <v>NCC-NorESM1-M_Cluster11_repl4</v>
      </c>
      <c r="AH313" s="16" t="s">
        <v>302</v>
      </c>
      <c r="AI313" s="16" t="s">
        <v>303</v>
      </c>
    </row>
    <row r="314" spans="1:35" ht="13.8">
      <c r="A314" s="7" t="str">
        <f t="shared" si="72"/>
        <v>ICHEC-EC-EARTH_Cluster11_repl5</v>
      </c>
      <c r="B314" s="8" t="s">
        <v>16</v>
      </c>
      <c r="C314" s="8"/>
      <c r="D314" s="9" t="s">
        <v>17</v>
      </c>
      <c r="E314" s="9" t="str">
        <f t="shared" si="73"/>
        <v>historical</v>
      </c>
      <c r="F314" s="8">
        <v>350</v>
      </c>
      <c r="G314" s="8" t="s">
        <v>18</v>
      </c>
      <c r="H314" s="8">
        <v>1</v>
      </c>
      <c r="I314" s="8">
        <v>1.2451908062161101E-5</v>
      </c>
      <c r="J314" s="8">
        <v>11</v>
      </c>
      <c r="K314" s="8" t="s">
        <v>165</v>
      </c>
      <c r="L314" s="8">
        <v>5</v>
      </c>
      <c r="M314" s="8"/>
      <c r="N314" s="8">
        <v>1</v>
      </c>
      <c r="O314" s="10" t="s">
        <v>21</v>
      </c>
      <c r="P314" s="17" t="s">
        <v>59</v>
      </c>
      <c r="Q314" s="10" t="str">
        <f t="shared" si="74"/>
        <v>ICHEC-EC-EARTH_Cluster11_repl5.sqlite</v>
      </c>
      <c r="R314" s="11">
        <f t="shared" si="75"/>
        <v>13</v>
      </c>
      <c r="S314" s="11">
        <v>0</v>
      </c>
      <c r="T314" s="16" t="str">
        <f t="shared" si="76"/>
        <v>climate_db_ICHEC-EC-EARTH_historical_v4.sqlite</v>
      </c>
      <c r="U314" s="16" t="str">
        <f t="shared" si="77"/>
        <v>log/ICHEC-EC-EARTH_Cluster11_repl5.txt</v>
      </c>
      <c r="V314" s="16" t="str">
        <f t="shared" si="78"/>
        <v>init/env_file_CLUSTER11_REPL5_ICHEC-EC-EARTH_historical.csv</v>
      </c>
      <c r="W314" s="16" t="str">
        <f t="shared" si="79"/>
        <v>init/env_grid_CLUSTER11_REPL5.asc</v>
      </c>
      <c r="X314" s="16" t="str">
        <f t="shared" si="80"/>
        <v>init/env_grid_CLUSTER11_REPL5.asc</v>
      </c>
      <c r="Y314" s="16" t="str">
        <f t="shared" si="81"/>
        <v>trees_CLUSTER11.csv</v>
      </c>
      <c r="Z314" s="16" t="str">
        <f t="shared" si="82"/>
        <v>saplings_CLUSTER11.csv</v>
      </c>
      <c r="AA314" s="16">
        <f t="shared" si="83"/>
        <v>350</v>
      </c>
      <c r="AB314" s="16" t="str">
        <f t="shared" si="84"/>
        <v>abe/no_mgmt.csv</v>
      </c>
      <c r="AC314" s="16" t="str">
        <f t="shared" si="85"/>
        <v>gis/WindModifier_cl11.asc</v>
      </c>
      <c r="AD314" s="16">
        <f t="shared" si="93"/>
        <v>6.8499999999999995E-4</v>
      </c>
      <c r="AE314" s="16" t="str">
        <f t="shared" si="89"/>
        <v>ICHEC-EC-EARTH_historical_point29711</v>
      </c>
      <c r="AF314" s="16" t="str">
        <f t="shared" si="87"/>
        <v>wind_Events/cl11_repl5.txt</v>
      </c>
      <c r="AG314" s="16" t="str">
        <f t="shared" si="90"/>
        <v>ICHEC-EC-EARTH_Cluster11_repl5</v>
      </c>
      <c r="AH314" s="16" t="s">
        <v>304</v>
      </c>
      <c r="AI314" s="16" t="s">
        <v>305</v>
      </c>
    </row>
    <row r="315" spans="1:35" ht="13.8">
      <c r="A315" s="7" t="str">
        <f t="shared" si="72"/>
        <v>MPI-M-MPI-ESM-LR_Cluster11_repl5</v>
      </c>
      <c r="B315" s="8" t="s">
        <v>16</v>
      </c>
      <c r="C315" s="8"/>
      <c r="D315" s="9" t="s">
        <v>17</v>
      </c>
      <c r="E315" s="9" t="str">
        <f t="shared" si="73"/>
        <v>historical</v>
      </c>
      <c r="F315" s="8">
        <v>350</v>
      </c>
      <c r="G315" s="8" t="s">
        <v>63</v>
      </c>
      <c r="H315" s="8">
        <v>2</v>
      </c>
      <c r="I315" s="8">
        <v>1.2451908062161101E-5</v>
      </c>
      <c r="J315" s="8">
        <v>11</v>
      </c>
      <c r="K315" s="8" t="s">
        <v>165</v>
      </c>
      <c r="L315" s="8">
        <v>5</v>
      </c>
      <c r="M315" s="8"/>
      <c r="N315" s="8">
        <v>1</v>
      </c>
      <c r="O315" s="10" t="s">
        <v>21</v>
      </c>
      <c r="P315" s="17" t="s">
        <v>59</v>
      </c>
      <c r="Q315" s="10" t="str">
        <f t="shared" si="74"/>
        <v>MPI-M-MPI-ESM-LR_Cluster11_repl5.sqlite</v>
      </c>
      <c r="R315" s="11">
        <f t="shared" si="75"/>
        <v>14</v>
      </c>
      <c r="S315" s="11">
        <v>0</v>
      </c>
      <c r="T315" s="16" t="str">
        <f t="shared" si="76"/>
        <v>climate_db_MPI-M-MPI-ESM-LR_historical_v4.sqlite</v>
      </c>
      <c r="U315" s="16" t="str">
        <f t="shared" si="77"/>
        <v>log/MPI-M-MPI-ESM-LR_Cluster11_repl5.txt</v>
      </c>
      <c r="V315" s="16" t="str">
        <f t="shared" si="78"/>
        <v>init/env_file_CLUSTER11_REPL5_MPI-M-MPI-ESM-LR_historical.csv</v>
      </c>
      <c r="W315" s="16" t="str">
        <f t="shared" si="79"/>
        <v>init/env_grid_CLUSTER11_REPL5.asc</v>
      </c>
      <c r="X315" s="16" t="str">
        <f t="shared" si="80"/>
        <v>init/env_grid_CLUSTER11_REPL5.asc</v>
      </c>
      <c r="Y315" s="16" t="str">
        <f t="shared" si="81"/>
        <v>trees_CLUSTER11.csv</v>
      </c>
      <c r="Z315" s="16" t="str">
        <f t="shared" si="82"/>
        <v>saplings_CLUSTER11.csv</v>
      </c>
      <c r="AA315" s="16">
        <f t="shared" si="83"/>
        <v>350</v>
      </c>
      <c r="AB315" s="16" t="str">
        <f t="shared" si="84"/>
        <v>abe/no_mgmt.csv</v>
      </c>
      <c r="AC315" s="16" t="str">
        <f t="shared" si="85"/>
        <v>gis/WindModifier_cl11.asc</v>
      </c>
      <c r="AD315" s="16">
        <f t="shared" si="93"/>
        <v>6.8499999999999995E-4</v>
      </c>
      <c r="AE315" s="16" t="str">
        <f t="shared" si="89"/>
        <v>MPI-M-MPI-ESM-LR_historical_point29711</v>
      </c>
      <c r="AF315" s="16" t="str">
        <f t="shared" si="87"/>
        <v>wind_Events/cl11_repl5.txt</v>
      </c>
      <c r="AG315" s="16" t="str">
        <f t="shared" si="90"/>
        <v>MPI-M-MPI-ESM-LR_Cluster11_repl5</v>
      </c>
      <c r="AH315" s="16" t="s">
        <v>306</v>
      </c>
      <c r="AI315" s="16" t="s">
        <v>307</v>
      </c>
    </row>
    <row r="316" spans="1:35" ht="13.8">
      <c r="A316" s="7" t="str">
        <f t="shared" si="72"/>
        <v>NCC-NorESM1-M_Cluster11_repl5</v>
      </c>
      <c r="B316" s="8" t="s">
        <v>16</v>
      </c>
      <c r="C316" s="8"/>
      <c r="D316" s="9" t="s">
        <v>17</v>
      </c>
      <c r="E316" s="9" t="str">
        <f t="shared" si="73"/>
        <v>historical</v>
      </c>
      <c r="F316" s="8">
        <v>350</v>
      </c>
      <c r="G316" s="8" t="s">
        <v>60</v>
      </c>
      <c r="H316" s="8">
        <v>3</v>
      </c>
      <c r="I316" s="8">
        <v>1.2451908062161101E-5</v>
      </c>
      <c r="J316" s="8">
        <v>11</v>
      </c>
      <c r="K316" s="8" t="s">
        <v>179</v>
      </c>
      <c r="L316" s="8">
        <v>5</v>
      </c>
      <c r="M316" s="8"/>
      <c r="N316" s="8">
        <v>1</v>
      </c>
      <c r="O316" s="10" t="s">
        <v>21</v>
      </c>
      <c r="P316" s="17" t="s">
        <v>59</v>
      </c>
      <c r="Q316" s="10" t="str">
        <f t="shared" si="74"/>
        <v>NCC-NorESM1-M_Cluster11_repl5.sqlite</v>
      </c>
      <c r="R316" s="11">
        <f t="shared" si="75"/>
        <v>15</v>
      </c>
      <c r="S316" s="11">
        <v>0</v>
      </c>
      <c r="T316" s="16" t="str">
        <f t="shared" si="76"/>
        <v>climate_db_NCC-NorESM1-M_historical_v4.sqlite</v>
      </c>
      <c r="U316" s="16" t="str">
        <f t="shared" si="77"/>
        <v>log/NCC-NorESM1-M_Cluster11_repl5.txt</v>
      </c>
      <c r="V316" s="16" t="str">
        <f t="shared" si="78"/>
        <v>init/env_file_CLUSTER11_REPL5_NCC-NorESM1-M_historical.csv</v>
      </c>
      <c r="W316" s="16" t="str">
        <f t="shared" si="79"/>
        <v>init/env_grid_CLUSTER11_REPL5.asc</v>
      </c>
      <c r="X316" s="16" t="str">
        <f t="shared" si="80"/>
        <v>init/env_grid_CLUSTER11_REPL5.asc</v>
      </c>
      <c r="Y316" s="16" t="str">
        <f t="shared" si="81"/>
        <v>trees_CLUSTER11.csv</v>
      </c>
      <c r="Z316" s="16" t="str">
        <f t="shared" si="82"/>
        <v>saplings_CLUSTER11.csv</v>
      </c>
      <c r="AA316" s="16">
        <f t="shared" si="83"/>
        <v>350</v>
      </c>
      <c r="AB316" s="16" t="str">
        <f t="shared" si="84"/>
        <v>abe/no_mgmt.csv</v>
      </c>
      <c r="AC316" s="16" t="str">
        <f t="shared" si="85"/>
        <v>gis/WindModifier_cl11.asc</v>
      </c>
      <c r="AD316" s="16">
        <f t="shared" si="93"/>
        <v>6.8499999999999995E-4</v>
      </c>
      <c r="AE316" s="16" t="str">
        <f t="shared" si="89"/>
        <v>NCC-NorESM1-M_historical_point31713</v>
      </c>
      <c r="AF316" s="16" t="str">
        <f t="shared" si="87"/>
        <v>wind_Events/cl11_repl5.txt</v>
      </c>
      <c r="AG316" s="16" t="str">
        <f t="shared" si="90"/>
        <v>NCC-NorESM1-M_Cluster11_repl5</v>
      </c>
      <c r="AH316" s="16" t="s">
        <v>308</v>
      </c>
      <c r="AI316" s="16" t="s">
        <v>309</v>
      </c>
    </row>
    <row r="317" spans="1:35" ht="13.8">
      <c r="A317" s="7" t="str">
        <f t="shared" si="72"/>
        <v>ICHEC-EC-EARTH_Cluster12_repl1</v>
      </c>
      <c r="B317" s="8" t="s">
        <v>16</v>
      </c>
      <c r="C317" s="8"/>
      <c r="D317" s="9" t="s">
        <v>17</v>
      </c>
      <c r="E317" s="9" t="str">
        <f t="shared" si="73"/>
        <v>historical</v>
      </c>
      <c r="F317" s="8">
        <v>350</v>
      </c>
      <c r="G317" s="8" t="s">
        <v>18</v>
      </c>
      <c r="H317" s="8">
        <v>1</v>
      </c>
      <c r="I317" s="18">
        <v>6.8499999999999995E-4</v>
      </c>
      <c r="J317" s="8">
        <v>12</v>
      </c>
      <c r="K317" s="8" t="s">
        <v>166</v>
      </c>
      <c r="L317" s="8">
        <v>1</v>
      </c>
      <c r="M317" s="8"/>
      <c r="N317" s="8">
        <v>1</v>
      </c>
      <c r="O317" s="10" t="s">
        <v>21</v>
      </c>
      <c r="P317" s="17" t="s">
        <v>59</v>
      </c>
      <c r="Q317" s="10" t="str">
        <f t="shared" si="74"/>
        <v>ICHEC-EC-EARTH_Cluster12_repl1.sqlite</v>
      </c>
      <c r="R317" s="11">
        <f t="shared" si="75"/>
        <v>1</v>
      </c>
      <c r="S317" s="11">
        <v>0</v>
      </c>
      <c r="T317" s="16" t="str">
        <f t="shared" si="76"/>
        <v>climate_db_ICHEC-EC-EARTH_historical_v4.sqlite</v>
      </c>
      <c r="U317" s="16" t="str">
        <f t="shared" si="77"/>
        <v>log/ICHEC-EC-EARTH_Cluster12_repl1.txt</v>
      </c>
      <c r="V317" s="16" t="str">
        <f t="shared" si="78"/>
        <v>init/env_file_CLUSTER12_REPL1_ICHEC-EC-EARTH_historical.csv</v>
      </c>
      <c r="W317" s="16" t="str">
        <f t="shared" si="79"/>
        <v>init/env_grid_CLUSTER12_REPL1.asc</v>
      </c>
      <c r="X317" s="16" t="str">
        <f t="shared" si="80"/>
        <v>init/env_grid_CLUSTER12_REPL1.asc</v>
      </c>
      <c r="Y317" s="16" t="str">
        <f t="shared" si="81"/>
        <v>trees_CLUSTER12.csv</v>
      </c>
      <c r="Z317" s="16" t="str">
        <f t="shared" si="82"/>
        <v>saplings_CLUSTER12.csv</v>
      </c>
      <c r="AA317" s="16">
        <f t="shared" si="83"/>
        <v>350</v>
      </c>
      <c r="AB317" s="16" t="str">
        <f t="shared" si="84"/>
        <v>abe/no_mgmt.csv</v>
      </c>
      <c r="AC317" s="16" t="str">
        <f t="shared" si="85"/>
        <v>gis/WindModifier_cl12.asc</v>
      </c>
      <c r="AD317" s="16">
        <f t="shared" si="93"/>
        <v>6.8499999999999995E-4</v>
      </c>
      <c r="AE317" s="16" t="str">
        <f t="shared" si="89"/>
        <v>ICHEC-EC-EARTH_historical_point32670</v>
      </c>
      <c r="AF317" s="16" t="str">
        <f t="shared" si="87"/>
        <v>wind_Events/cl12_repl1.txt</v>
      </c>
      <c r="AG317" s="16" t="str">
        <f t="shared" si="90"/>
        <v>ICHEC-EC-EARTH_Cluster12_repl1</v>
      </c>
      <c r="AH317" s="16" t="s">
        <v>310</v>
      </c>
      <c r="AI317" s="16" t="s">
        <v>311</v>
      </c>
    </row>
    <row r="318" spans="1:35" ht="13.8">
      <c r="A318" s="7" t="str">
        <f t="shared" si="72"/>
        <v>MPI-M-MPI-ESM-LR_Cluster12_repl1</v>
      </c>
      <c r="B318" s="8" t="s">
        <v>16</v>
      </c>
      <c r="C318" s="8"/>
      <c r="D318" s="9" t="s">
        <v>17</v>
      </c>
      <c r="E318" s="9" t="str">
        <f t="shared" si="73"/>
        <v>historical</v>
      </c>
      <c r="F318" s="8">
        <v>350</v>
      </c>
      <c r="G318" s="8" t="s">
        <v>63</v>
      </c>
      <c r="H318" s="8">
        <v>2</v>
      </c>
      <c r="I318" s="18">
        <v>6.8499999999999995E-4</v>
      </c>
      <c r="J318" s="8">
        <v>12</v>
      </c>
      <c r="K318" s="8" t="s">
        <v>166</v>
      </c>
      <c r="L318" s="8">
        <v>1</v>
      </c>
      <c r="M318" s="8"/>
      <c r="N318" s="8">
        <v>1</v>
      </c>
      <c r="O318" s="10" t="s">
        <v>21</v>
      </c>
      <c r="P318" s="17" t="s">
        <v>59</v>
      </c>
      <c r="Q318" s="10" t="str">
        <f t="shared" si="74"/>
        <v>MPI-M-MPI-ESM-LR_Cluster12_repl1.sqlite</v>
      </c>
      <c r="R318" s="11">
        <f t="shared" si="75"/>
        <v>2</v>
      </c>
      <c r="S318" s="11">
        <v>0</v>
      </c>
      <c r="T318" s="16" t="str">
        <f t="shared" si="76"/>
        <v>climate_db_MPI-M-MPI-ESM-LR_historical_v4.sqlite</v>
      </c>
      <c r="U318" s="16" t="str">
        <f t="shared" si="77"/>
        <v>log/MPI-M-MPI-ESM-LR_Cluster12_repl1.txt</v>
      </c>
      <c r="V318" s="16" t="str">
        <f t="shared" si="78"/>
        <v>init/env_file_CLUSTER12_REPL1_MPI-M-MPI-ESM-LR_historical.csv</v>
      </c>
      <c r="W318" s="16" t="str">
        <f t="shared" si="79"/>
        <v>init/env_grid_CLUSTER12_REPL1.asc</v>
      </c>
      <c r="X318" s="16" t="str">
        <f t="shared" si="80"/>
        <v>init/env_grid_CLUSTER12_REPL1.asc</v>
      </c>
      <c r="Y318" s="16" t="str">
        <f t="shared" si="81"/>
        <v>trees_CLUSTER12.csv</v>
      </c>
      <c r="Z318" s="16" t="str">
        <f t="shared" si="82"/>
        <v>saplings_CLUSTER12.csv</v>
      </c>
      <c r="AA318" s="16">
        <f t="shared" si="83"/>
        <v>350</v>
      </c>
      <c r="AB318" s="16" t="str">
        <f t="shared" si="84"/>
        <v>abe/no_mgmt.csv</v>
      </c>
      <c r="AC318" s="16" t="str">
        <f t="shared" si="85"/>
        <v>gis/WindModifier_cl12.asc</v>
      </c>
      <c r="AD318" s="16">
        <f t="shared" si="93"/>
        <v>6.8499999999999995E-4</v>
      </c>
      <c r="AE318" s="16" t="str">
        <f t="shared" si="89"/>
        <v>MPI-M-MPI-ESM-LR_historical_point32670</v>
      </c>
      <c r="AF318" s="16" t="str">
        <f t="shared" si="87"/>
        <v>wind_Events/cl12_repl1.txt</v>
      </c>
      <c r="AG318" s="16" t="str">
        <f t="shared" si="90"/>
        <v>MPI-M-MPI-ESM-LR_Cluster12_repl1</v>
      </c>
      <c r="AH318" s="16" t="s">
        <v>312</v>
      </c>
      <c r="AI318" s="16" t="s">
        <v>313</v>
      </c>
    </row>
    <row r="319" spans="1:35" ht="13.8">
      <c r="A319" s="7" t="str">
        <f t="shared" si="72"/>
        <v>NCC-NorESM1-M_Cluster12_repl1</v>
      </c>
      <c r="B319" s="8" t="s">
        <v>16</v>
      </c>
      <c r="C319" s="8"/>
      <c r="D319" s="9" t="s">
        <v>17</v>
      </c>
      <c r="E319" s="9" t="str">
        <f t="shared" si="73"/>
        <v>historical</v>
      </c>
      <c r="F319" s="8">
        <v>350</v>
      </c>
      <c r="G319" s="8" t="s">
        <v>60</v>
      </c>
      <c r="H319" s="8">
        <v>3</v>
      </c>
      <c r="I319" s="18">
        <v>6.8499999999999995E-4</v>
      </c>
      <c r="J319" s="8">
        <v>12</v>
      </c>
      <c r="K319" s="8" t="s">
        <v>166</v>
      </c>
      <c r="L319" s="8">
        <v>1</v>
      </c>
      <c r="M319" s="8"/>
      <c r="N319" s="8">
        <v>1</v>
      </c>
      <c r="O319" s="10" t="s">
        <v>21</v>
      </c>
      <c r="P319" s="17" t="s">
        <v>59</v>
      </c>
      <c r="Q319" s="10" t="str">
        <f t="shared" si="74"/>
        <v>NCC-NorESM1-M_Cluster12_repl1.sqlite</v>
      </c>
      <c r="R319" s="11">
        <f t="shared" si="75"/>
        <v>3</v>
      </c>
      <c r="S319" s="11">
        <v>0</v>
      </c>
      <c r="T319" s="16" t="str">
        <f t="shared" si="76"/>
        <v>climate_db_NCC-NorESM1-M_historical_v4.sqlite</v>
      </c>
      <c r="U319" s="16" t="str">
        <f t="shared" si="77"/>
        <v>log/NCC-NorESM1-M_Cluster12_repl1.txt</v>
      </c>
      <c r="V319" s="16" t="str">
        <f t="shared" si="78"/>
        <v>init/env_file_CLUSTER12_REPL1_NCC-NorESM1-M_historical.csv</v>
      </c>
      <c r="W319" s="16" t="str">
        <f t="shared" si="79"/>
        <v>init/env_grid_CLUSTER12_REPL1.asc</v>
      </c>
      <c r="X319" s="16" t="str">
        <f t="shared" si="80"/>
        <v>init/env_grid_CLUSTER12_REPL1.asc</v>
      </c>
      <c r="Y319" s="16" t="str">
        <f t="shared" si="81"/>
        <v>trees_CLUSTER12.csv</v>
      </c>
      <c r="Z319" s="16" t="str">
        <f t="shared" si="82"/>
        <v>saplings_CLUSTER12.csv</v>
      </c>
      <c r="AA319" s="16">
        <f t="shared" si="83"/>
        <v>350</v>
      </c>
      <c r="AB319" s="16" t="str">
        <f t="shared" si="84"/>
        <v>abe/no_mgmt.csv</v>
      </c>
      <c r="AC319" s="16" t="str">
        <f t="shared" si="85"/>
        <v>gis/WindModifier_cl12.asc</v>
      </c>
      <c r="AD319" s="16">
        <f t="shared" si="93"/>
        <v>6.8499999999999995E-4</v>
      </c>
      <c r="AE319" s="16" t="str">
        <f t="shared" si="89"/>
        <v>NCC-NorESM1-M_historical_point32670</v>
      </c>
      <c r="AF319" s="16" t="str">
        <f t="shared" si="87"/>
        <v>wind_Events/cl12_repl1.txt</v>
      </c>
      <c r="AG319" s="16" t="str">
        <f t="shared" si="90"/>
        <v>NCC-NorESM1-M_Cluster12_repl1</v>
      </c>
      <c r="AH319" s="16" t="s">
        <v>314</v>
      </c>
      <c r="AI319" s="16" t="s">
        <v>315</v>
      </c>
    </row>
    <row r="320" spans="1:35" ht="13.8">
      <c r="A320" s="7" t="str">
        <f t="shared" si="72"/>
        <v>ICHEC-EC-EARTH_Cluster12_repl2</v>
      </c>
      <c r="B320" s="8" t="s">
        <v>16</v>
      </c>
      <c r="C320" s="8"/>
      <c r="D320" s="9" t="s">
        <v>17</v>
      </c>
      <c r="E320" s="9" t="str">
        <f t="shared" si="73"/>
        <v>historical</v>
      </c>
      <c r="F320" s="8">
        <v>350</v>
      </c>
      <c r="G320" s="8" t="s">
        <v>18</v>
      </c>
      <c r="H320" s="8">
        <v>1</v>
      </c>
      <c r="I320" s="18">
        <v>6.8499999999999995E-4</v>
      </c>
      <c r="J320" s="8">
        <v>12</v>
      </c>
      <c r="K320" s="8" t="s">
        <v>166</v>
      </c>
      <c r="L320" s="8">
        <v>2</v>
      </c>
      <c r="M320" s="8"/>
      <c r="N320" s="8">
        <v>1</v>
      </c>
      <c r="O320" s="10" t="s">
        <v>21</v>
      </c>
      <c r="P320" s="17" t="s">
        <v>59</v>
      </c>
      <c r="Q320" s="10" t="str">
        <f t="shared" si="74"/>
        <v>ICHEC-EC-EARTH_Cluster12_repl2.sqlite</v>
      </c>
      <c r="R320" s="11">
        <f t="shared" si="75"/>
        <v>4</v>
      </c>
      <c r="S320" s="11">
        <v>0</v>
      </c>
      <c r="T320" s="16" t="str">
        <f t="shared" si="76"/>
        <v>climate_db_ICHEC-EC-EARTH_historical_v4.sqlite</v>
      </c>
      <c r="U320" s="16" t="str">
        <f t="shared" si="77"/>
        <v>log/ICHEC-EC-EARTH_Cluster12_repl2.txt</v>
      </c>
      <c r="V320" s="16" t="str">
        <f t="shared" si="78"/>
        <v>init/env_file_CLUSTER12_REPL2_ICHEC-EC-EARTH_historical.csv</v>
      </c>
      <c r="W320" s="16" t="str">
        <f t="shared" si="79"/>
        <v>init/env_grid_CLUSTER12_REPL2.asc</v>
      </c>
      <c r="X320" s="16" t="str">
        <f t="shared" si="80"/>
        <v>init/env_grid_CLUSTER12_REPL2.asc</v>
      </c>
      <c r="Y320" s="16" t="str">
        <f t="shared" si="81"/>
        <v>trees_CLUSTER12.csv</v>
      </c>
      <c r="Z320" s="16" t="str">
        <f t="shared" si="82"/>
        <v>saplings_CLUSTER12.csv</v>
      </c>
      <c r="AA320" s="16">
        <f t="shared" si="83"/>
        <v>350</v>
      </c>
      <c r="AB320" s="16" t="str">
        <f t="shared" si="84"/>
        <v>abe/no_mgmt.csv</v>
      </c>
      <c r="AC320" s="16" t="str">
        <f t="shared" si="85"/>
        <v>gis/WindModifier_cl12.asc</v>
      </c>
      <c r="AD320" s="16">
        <f t="shared" si="93"/>
        <v>6.8499999999999995E-4</v>
      </c>
      <c r="AE320" s="16" t="str">
        <f t="shared" si="89"/>
        <v>ICHEC-EC-EARTH_historical_point32670</v>
      </c>
      <c r="AF320" s="16" t="str">
        <f t="shared" si="87"/>
        <v>wind_Events/cl12_repl2.txt</v>
      </c>
      <c r="AG320" s="16" t="str">
        <f t="shared" si="90"/>
        <v>ICHEC-EC-EARTH_Cluster12_repl2</v>
      </c>
      <c r="AH320" s="16" t="s">
        <v>316</v>
      </c>
      <c r="AI320" s="16" t="s">
        <v>317</v>
      </c>
    </row>
    <row r="321" spans="1:35" ht="13.8">
      <c r="A321" s="7" t="str">
        <f t="shared" si="72"/>
        <v>MPI-M-MPI-ESM-LR_Cluster12_repl2</v>
      </c>
      <c r="B321" s="8" t="s">
        <v>16</v>
      </c>
      <c r="C321" s="8"/>
      <c r="D321" s="9" t="s">
        <v>17</v>
      </c>
      <c r="E321" s="9" t="str">
        <f t="shared" si="73"/>
        <v>historical</v>
      </c>
      <c r="F321" s="8">
        <v>350</v>
      </c>
      <c r="G321" s="8" t="s">
        <v>63</v>
      </c>
      <c r="H321" s="8">
        <v>2</v>
      </c>
      <c r="I321" s="18">
        <v>6.8499999999999995E-4</v>
      </c>
      <c r="J321" s="8">
        <v>12</v>
      </c>
      <c r="K321" s="8" t="s">
        <v>166</v>
      </c>
      <c r="L321" s="8">
        <v>2</v>
      </c>
      <c r="M321" s="8"/>
      <c r="N321" s="8">
        <v>1</v>
      </c>
      <c r="O321" s="10" t="s">
        <v>21</v>
      </c>
      <c r="P321" s="17" t="s">
        <v>59</v>
      </c>
      <c r="Q321" s="10" t="str">
        <f t="shared" si="74"/>
        <v>MPI-M-MPI-ESM-LR_Cluster12_repl2.sqlite</v>
      </c>
      <c r="R321" s="11">
        <f t="shared" si="75"/>
        <v>5</v>
      </c>
      <c r="S321" s="11">
        <v>0</v>
      </c>
      <c r="T321" s="16" t="str">
        <f t="shared" si="76"/>
        <v>climate_db_MPI-M-MPI-ESM-LR_historical_v4.sqlite</v>
      </c>
      <c r="U321" s="16" t="str">
        <f t="shared" si="77"/>
        <v>log/MPI-M-MPI-ESM-LR_Cluster12_repl2.txt</v>
      </c>
      <c r="V321" s="16" t="str">
        <f t="shared" si="78"/>
        <v>init/env_file_CLUSTER12_REPL2_MPI-M-MPI-ESM-LR_historical.csv</v>
      </c>
      <c r="W321" s="16" t="str">
        <f t="shared" si="79"/>
        <v>init/env_grid_CLUSTER12_REPL2.asc</v>
      </c>
      <c r="X321" s="16" t="str">
        <f t="shared" si="80"/>
        <v>init/env_grid_CLUSTER12_REPL2.asc</v>
      </c>
      <c r="Y321" s="16" t="str">
        <f t="shared" si="81"/>
        <v>trees_CLUSTER12.csv</v>
      </c>
      <c r="Z321" s="16" t="str">
        <f t="shared" si="82"/>
        <v>saplings_CLUSTER12.csv</v>
      </c>
      <c r="AA321" s="16">
        <f t="shared" si="83"/>
        <v>350</v>
      </c>
      <c r="AB321" s="16" t="str">
        <f t="shared" si="84"/>
        <v>abe/no_mgmt.csv</v>
      </c>
      <c r="AC321" s="16" t="str">
        <f t="shared" si="85"/>
        <v>gis/WindModifier_cl12.asc</v>
      </c>
      <c r="AD321" s="16">
        <f>IF(C321="Scaled_", I321+0.0000000001,  0.000685)</f>
        <v>6.8499999999999995E-4</v>
      </c>
      <c r="AE321" s="16" t="str">
        <f t="shared" si="89"/>
        <v>MPI-M-MPI-ESM-LR_historical_point32670</v>
      </c>
      <c r="AF321" s="16" t="str">
        <f t="shared" si="87"/>
        <v>wind_Events/cl12_repl2.txt</v>
      </c>
      <c r="AG321" s="16" t="str">
        <f t="shared" si="90"/>
        <v>MPI-M-MPI-ESM-LR_Cluster12_repl2</v>
      </c>
      <c r="AH321" s="16" t="s">
        <v>318</v>
      </c>
      <c r="AI321" s="16" t="s">
        <v>319</v>
      </c>
    </row>
    <row r="322" spans="1:35" ht="13.8">
      <c r="A322" s="7" t="str">
        <f t="shared" ref="A322:A361" si="94" xml:space="preserve"> G322 &amp; "_" &amp; C322 &amp;"Cluster" &amp; J322 &amp; "_repl" &amp; L322</f>
        <v>NCC-NorESM1-M_Cluster12_repl2</v>
      </c>
      <c r="B322" s="8" t="s">
        <v>16</v>
      </c>
      <c r="C322" s="8"/>
      <c r="D322" s="9" t="s">
        <v>17</v>
      </c>
      <c r="E322" s="9" t="str">
        <f t="shared" ref="E322:E361" si="95">IF(D322="historical", "historical", IF(D322="RCP26", "rcp_2_6", IF(D322="RCP45", "rcp_4_5", "rcp_8_5")))</f>
        <v>historical</v>
      </c>
      <c r="F322" s="8">
        <v>350</v>
      </c>
      <c r="G322" s="8" t="s">
        <v>60</v>
      </c>
      <c r="H322" s="8">
        <v>3</v>
      </c>
      <c r="I322" s="18">
        <v>6.8499999999999995E-4</v>
      </c>
      <c r="J322" s="8">
        <v>12</v>
      </c>
      <c r="K322" s="8" t="s">
        <v>166</v>
      </c>
      <c r="L322" s="8">
        <v>2</v>
      </c>
      <c r="M322" s="8"/>
      <c r="N322" s="8">
        <v>1</v>
      </c>
      <c r="O322" s="10" t="s">
        <v>21</v>
      </c>
      <c r="P322" s="17" t="s">
        <v>59</v>
      </c>
      <c r="Q322" s="10" t="str">
        <f t="shared" ref="Q322:Q361" si="96">A322  &amp; ".sqlite"</f>
        <v>NCC-NorESM1-M_Cluster12_repl2.sqlite</v>
      </c>
      <c r="R322" s="11">
        <f t="shared" ref="R322:R361" si="97">(L322-1)*3+H322</f>
        <v>6</v>
      </c>
      <c r="S322" s="11">
        <v>0</v>
      </c>
      <c r="T322" s="16" t="str">
        <f t="shared" ref="T322:T361" si="98">"climate_db_" &amp; G322&amp; "_" &amp;  E322&amp; "_v4.sqlite"</f>
        <v>climate_db_NCC-NorESM1-M_historical_v4.sqlite</v>
      </c>
      <c r="U322" s="16" t="str">
        <f t="shared" ref="U322:U361" si="99">"log/" &amp;A322  &amp; ".txt"</f>
        <v>log/NCC-NorESM1-M_Cluster12_repl2.txt</v>
      </c>
      <c r="V322" s="16" t="str">
        <f t="shared" ref="V322:V361" si="100">"init/env_file_CLUSTER" &amp; TEXT(J322, "00") &amp; "_REPL" &amp; L322 &amp; "_" &amp; G322 &amp; "_" &amp; E322 &amp; ".csv"</f>
        <v>init/env_file_CLUSTER12_REPL2_NCC-NorESM1-M_historical.csv</v>
      </c>
      <c r="W322" s="16" t="str">
        <f t="shared" ref="W322:W361" si="101">"init/env_grid_CLUSTER" &amp; TEXT(J322, "00") &amp; "_REPL" &amp; L322 &amp; ".asc"</f>
        <v>init/env_grid_CLUSTER12_REPL2.asc</v>
      </c>
      <c r="X322" s="16" t="str">
        <f t="shared" ref="X322:X361" si="102">W322</f>
        <v>init/env_grid_CLUSTER12_REPL2.asc</v>
      </c>
      <c r="Y322" s="16" t="str">
        <f t="shared" ref="Y322:Y361" si="103">"trees_CLUSTER" &amp; TEXT(J322, "00")  &amp; ".csv"</f>
        <v>trees_CLUSTER12.csv</v>
      </c>
      <c r="Z322" s="16" t="str">
        <f t="shared" ref="Z322:Z361" si="104">"saplings_CLUSTER" &amp; TEXT(J322, "00")  &amp; ".csv"</f>
        <v>saplings_CLUSTER12.csv</v>
      </c>
      <c r="AA322" s="16">
        <f t="shared" ref="AA322:AA361" si="105">F322</f>
        <v>350</v>
      </c>
      <c r="AB322" s="16" t="str">
        <f t="shared" ref="AB322:AB361" si="106">"abe/no_mgmt.csv"</f>
        <v>abe/no_mgmt.csv</v>
      </c>
      <c r="AC322" s="16" t="str">
        <f t="shared" ref="AC322:AC361" si="107">"gis/WindModifier_cl" &amp; J322 &amp; ".asc"</f>
        <v>gis/WindModifier_cl12.asc</v>
      </c>
      <c r="AD322" s="16">
        <f t="shared" ref="AD322:AD331" si="108">IF(C322="Scaled_", I322+0.0000000001,  0.000685)</f>
        <v>6.8499999999999995E-4</v>
      </c>
      <c r="AE322" s="16" t="str">
        <f t="shared" si="89"/>
        <v>NCC-NorESM1-M_historical_point32670</v>
      </c>
      <c r="AF322" s="16" t="str">
        <f t="shared" ref="AF322:AF331" si="109">"wind_Events/" &amp; C322 &amp; "cl" &amp; J322 &amp; "_repl" &amp; L322 &amp; ".txt"</f>
        <v>wind_Events/cl12_repl2.txt</v>
      </c>
      <c r="AG322" s="16" t="str">
        <f t="shared" si="90"/>
        <v>NCC-NorESM1-M_Cluster12_repl2</v>
      </c>
      <c r="AH322" s="16" t="s">
        <v>320</v>
      </c>
      <c r="AI322" s="16" t="s">
        <v>321</v>
      </c>
    </row>
    <row r="323" spans="1:35" ht="13.8">
      <c r="A323" s="7" t="str">
        <f t="shared" si="94"/>
        <v>ICHEC-EC-EARTH_Cluster12_repl3</v>
      </c>
      <c r="B323" s="8" t="s">
        <v>16</v>
      </c>
      <c r="C323" s="8"/>
      <c r="D323" s="9" t="s">
        <v>17</v>
      </c>
      <c r="E323" s="9" t="str">
        <f t="shared" si="95"/>
        <v>historical</v>
      </c>
      <c r="F323" s="8">
        <v>350</v>
      </c>
      <c r="G323" s="8" t="s">
        <v>18</v>
      </c>
      <c r="H323" s="8">
        <v>1</v>
      </c>
      <c r="I323" s="18">
        <v>6.8499999999999995E-4</v>
      </c>
      <c r="J323" s="8">
        <v>12</v>
      </c>
      <c r="K323" s="8" t="s">
        <v>166</v>
      </c>
      <c r="L323" s="8">
        <v>3</v>
      </c>
      <c r="M323" s="8"/>
      <c r="N323" s="8">
        <v>1</v>
      </c>
      <c r="O323" s="10" t="s">
        <v>21</v>
      </c>
      <c r="P323" s="17" t="s">
        <v>59</v>
      </c>
      <c r="Q323" s="10" t="str">
        <f t="shared" si="96"/>
        <v>ICHEC-EC-EARTH_Cluster12_repl3.sqlite</v>
      </c>
      <c r="R323" s="11">
        <f t="shared" si="97"/>
        <v>7</v>
      </c>
      <c r="S323" s="11">
        <v>0</v>
      </c>
      <c r="T323" s="16" t="str">
        <f t="shared" si="98"/>
        <v>climate_db_ICHEC-EC-EARTH_historical_v4.sqlite</v>
      </c>
      <c r="U323" s="16" t="str">
        <f t="shared" si="99"/>
        <v>log/ICHEC-EC-EARTH_Cluster12_repl3.txt</v>
      </c>
      <c r="V323" s="16" t="str">
        <f t="shared" si="100"/>
        <v>init/env_file_CLUSTER12_REPL3_ICHEC-EC-EARTH_historical.csv</v>
      </c>
      <c r="W323" s="16" t="str">
        <f t="shared" si="101"/>
        <v>init/env_grid_CLUSTER12_REPL3.asc</v>
      </c>
      <c r="X323" s="16" t="str">
        <f t="shared" si="102"/>
        <v>init/env_grid_CLUSTER12_REPL3.asc</v>
      </c>
      <c r="Y323" s="16" t="str">
        <f t="shared" si="103"/>
        <v>trees_CLUSTER12.csv</v>
      </c>
      <c r="Z323" s="16" t="str">
        <f t="shared" si="104"/>
        <v>saplings_CLUSTER12.csv</v>
      </c>
      <c r="AA323" s="16">
        <f t="shared" si="105"/>
        <v>350</v>
      </c>
      <c r="AB323" s="16" t="str">
        <f t="shared" si="106"/>
        <v>abe/no_mgmt.csv</v>
      </c>
      <c r="AC323" s="16" t="str">
        <f t="shared" si="107"/>
        <v>gis/WindModifier_cl12.asc</v>
      </c>
      <c r="AD323" s="16">
        <f t="shared" si="108"/>
        <v>6.8499999999999995E-4</v>
      </c>
      <c r="AE323" s="16" t="str">
        <f t="shared" ref="AE323:AE361" si="110">G323 &amp; "_" &amp; E323 &amp; "_point" &amp; K323</f>
        <v>ICHEC-EC-EARTH_historical_point32670</v>
      </c>
      <c r="AF323" s="16" t="str">
        <f t="shared" si="109"/>
        <v>wind_Events/cl12_repl3.txt</v>
      </c>
      <c r="AG323" s="16" t="str">
        <f t="shared" si="90"/>
        <v>ICHEC-EC-EARTH_Cluster12_repl3</v>
      </c>
      <c r="AH323" s="16" t="s">
        <v>322</v>
      </c>
      <c r="AI323" s="16" t="s">
        <v>323</v>
      </c>
    </row>
    <row r="324" spans="1:35" ht="13.8">
      <c r="A324" s="7" t="str">
        <f t="shared" si="94"/>
        <v>MPI-M-MPI-ESM-LR_Cluster12_repl3</v>
      </c>
      <c r="B324" s="8" t="s">
        <v>16</v>
      </c>
      <c r="C324" s="8"/>
      <c r="D324" s="9" t="s">
        <v>17</v>
      </c>
      <c r="E324" s="9" t="str">
        <f t="shared" si="95"/>
        <v>historical</v>
      </c>
      <c r="F324" s="8">
        <v>350</v>
      </c>
      <c r="G324" s="8" t="s">
        <v>63</v>
      </c>
      <c r="H324" s="8">
        <v>2</v>
      </c>
      <c r="I324" s="18">
        <v>6.8499999999999995E-4</v>
      </c>
      <c r="J324" s="8">
        <v>12</v>
      </c>
      <c r="K324" s="8" t="s">
        <v>166</v>
      </c>
      <c r="L324" s="8">
        <v>3</v>
      </c>
      <c r="M324" s="8"/>
      <c r="N324" s="8">
        <v>1</v>
      </c>
      <c r="O324" s="10" t="s">
        <v>21</v>
      </c>
      <c r="P324" s="17" t="s">
        <v>59</v>
      </c>
      <c r="Q324" s="10" t="str">
        <f t="shared" si="96"/>
        <v>MPI-M-MPI-ESM-LR_Cluster12_repl3.sqlite</v>
      </c>
      <c r="R324" s="11">
        <f t="shared" si="97"/>
        <v>8</v>
      </c>
      <c r="S324" s="11">
        <v>0</v>
      </c>
      <c r="T324" s="16" t="str">
        <f t="shared" si="98"/>
        <v>climate_db_MPI-M-MPI-ESM-LR_historical_v4.sqlite</v>
      </c>
      <c r="U324" s="16" t="str">
        <f t="shared" si="99"/>
        <v>log/MPI-M-MPI-ESM-LR_Cluster12_repl3.txt</v>
      </c>
      <c r="V324" s="16" t="str">
        <f t="shared" si="100"/>
        <v>init/env_file_CLUSTER12_REPL3_MPI-M-MPI-ESM-LR_historical.csv</v>
      </c>
      <c r="W324" s="16" t="str">
        <f t="shared" si="101"/>
        <v>init/env_grid_CLUSTER12_REPL3.asc</v>
      </c>
      <c r="X324" s="16" t="str">
        <f t="shared" si="102"/>
        <v>init/env_grid_CLUSTER12_REPL3.asc</v>
      </c>
      <c r="Y324" s="16" t="str">
        <f t="shared" si="103"/>
        <v>trees_CLUSTER12.csv</v>
      </c>
      <c r="Z324" s="16" t="str">
        <f t="shared" si="104"/>
        <v>saplings_CLUSTER12.csv</v>
      </c>
      <c r="AA324" s="16">
        <f t="shared" si="105"/>
        <v>350</v>
      </c>
      <c r="AB324" s="16" t="str">
        <f t="shared" si="106"/>
        <v>abe/no_mgmt.csv</v>
      </c>
      <c r="AC324" s="16" t="str">
        <f t="shared" si="107"/>
        <v>gis/WindModifier_cl12.asc</v>
      </c>
      <c r="AD324" s="16">
        <f t="shared" si="108"/>
        <v>6.8499999999999995E-4</v>
      </c>
      <c r="AE324" s="16" t="str">
        <f t="shared" si="110"/>
        <v>MPI-M-MPI-ESM-LR_historical_point32670</v>
      </c>
      <c r="AF324" s="16" t="str">
        <f t="shared" si="109"/>
        <v>wind_Events/cl12_repl3.txt</v>
      </c>
      <c r="AG324" s="16" t="str">
        <f t="shared" si="90"/>
        <v>MPI-M-MPI-ESM-LR_Cluster12_repl3</v>
      </c>
      <c r="AH324" s="16" t="s">
        <v>324</v>
      </c>
      <c r="AI324" s="16" t="s">
        <v>325</v>
      </c>
    </row>
    <row r="325" spans="1:35" ht="13.8">
      <c r="A325" s="7" t="str">
        <f t="shared" si="94"/>
        <v>NCC-NorESM1-M_Cluster12_repl3</v>
      </c>
      <c r="B325" s="8" t="s">
        <v>16</v>
      </c>
      <c r="C325" s="8"/>
      <c r="D325" s="9" t="s">
        <v>17</v>
      </c>
      <c r="E325" s="9" t="str">
        <f t="shared" si="95"/>
        <v>historical</v>
      </c>
      <c r="F325" s="8">
        <v>350</v>
      </c>
      <c r="G325" s="8" t="s">
        <v>60</v>
      </c>
      <c r="H325" s="8">
        <v>3</v>
      </c>
      <c r="I325" s="18">
        <v>6.8499999999999995E-4</v>
      </c>
      <c r="J325" s="8">
        <v>12</v>
      </c>
      <c r="K325" s="8" t="s">
        <v>166</v>
      </c>
      <c r="L325" s="8">
        <v>3</v>
      </c>
      <c r="M325" s="8"/>
      <c r="N325" s="8">
        <v>1</v>
      </c>
      <c r="O325" s="10" t="s">
        <v>21</v>
      </c>
      <c r="P325" s="17" t="s">
        <v>59</v>
      </c>
      <c r="Q325" s="10" t="str">
        <f t="shared" si="96"/>
        <v>NCC-NorESM1-M_Cluster12_repl3.sqlite</v>
      </c>
      <c r="R325" s="11">
        <f t="shared" si="97"/>
        <v>9</v>
      </c>
      <c r="S325" s="11">
        <v>0</v>
      </c>
      <c r="T325" s="16" t="str">
        <f t="shared" si="98"/>
        <v>climate_db_NCC-NorESM1-M_historical_v4.sqlite</v>
      </c>
      <c r="U325" s="16" t="str">
        <f t="shared" si="99"/>
        <v>log/NCC-NorESM1-M_Cluster12_repl3.txt</v>
      </c>
      <c r="V325" s="16" t="str">
        <f t="shared" si="100"/>
        <v>init/env_file_CLUSTER12_REPL3_NCC-NorESM1-M_historical.csv</v>
      </c>
      <c r="W325" s="16" t="str">
        <f t="shared" si="101"/>
        <v>init/env_grid_CLUSTER12_REPL3.asc</v>
      </c>
      <c r="X325" s="16" t="str">
        <f t="shared" si="102"/>
        <v>init/env_grid_CLUSTER12_REPL3.asc</v>
      </c>
      <c r="Y325" s="16" t="str">
        <f t="shared" si="103"/>
        <v>trees_CLUSTER12.csv</v>
      </c>
      <c r="Z325" s="16" t="str">
        <f t="shared" si="104"/>
        <v>saplings_CLUSTER12.csv</v>
      </c>
      <c r="AA325" s="16">
        <f t="shared" si="105"/>
        <v>350</v>
      </c>
      <c r="AB325" s="16" t="str">
        <f t="shared" si="106"/>
        <v>abe/no_mgmt.csv</v>
      </c>
      <c r="AC325" s="16" t="str">
        <f t="shared" si="107"/>
        <v>gis/WindModifier_cl12.asc</v>
      </c>
      <c r="AD325" s="16">
        <f t="shared" si="108"/>
        <v>6.8499999999999995E-4</v>
      </c>
      <c r="AE325" s="16" t="str">
        <f t="shared" si="110"/>
        <v>NCC-NorESM1-M_historical_point32670</v>
      </c>
      <c r="AF325" s="16" t="str">
        <f t="shared" si="109"/>
        <v>wind_Events/cl12_repl3.txt</v>
      </c>
      <c r="AG325" s="16" t="str">
        <f t="shared" si="90"/>
        <v>NCC-NorESM1-M_Cluster12_repl3</v>
      </c>
      <c r="AH325" s="16" t="s">
        <v>326</v>
      </c>
      <c r="AI325" s="16" t="s">
        <v>327</v>
      </c>
    </row>
    <row r="326" spans="1:35" ht="13.8">
      <c r="A326" s="7" t="str">
        <f t="shared" si="94"/>
        <v>ICHEC-EC-EARTH_Cluster12_repl4</v>
      </c>
      <c r="B326" s="8" t="s">
        <v>16</v>
      </c>
      <c r="C326" s="8"/>
      <c r="D326" s="9" t="s">
        <v>17</v>
      </c>
      <c r="E326" s="9" t="str">
        <f t="shared" si="95"/>
        <v>historical</v>
      </c>
      <c r="F326" s="8">
        <v>350</v>
      </c>
      <c r="G326" s="8" t="s">
        <v>18</v>
      </c>
      <c r="H326" s="8">
        <v>1</v>
      </c>
      <c r="I326" s="18">
        <v>6.8499999999999995E-4</v>
      </c>
      <c r="J326" s="8">
        <v>12</v>
      </c>
      <c r="K326" s="8" t="s">
        <v>166</v>
      </c>
      <c r="L326" s="8">
        <v>4</v>
      </c>
      <c r="M326" s="8"/>
      <c r="N326" s="8">
        <v>1</v>
      </c>
      <c r="O326" s="10" t="s">
        <v>21</v>
      </c>
      <c r="P326" s="17" t="s">
        <v>59</v>
      </c>
      <c r="Q326" s="10" t="str">
        <f t="shared" si="96"/>
        <v>ICHEC-EC-EARTH_Cluster12_repl4.sqlite</v>
      </c>
      <c r="R326" s="11">
        <f t="shared" si="97"/>
        <v>10</v>
      </c>
      <c r="S326" s="11">
        <v>0</v>
      </c>
      <c r="T326" s="16" t="str">
        <f t="shared" si="98"/>
        <v>climate_db_ICHEC-EC-EARTH_historical_v4.sqlite</v>
      </c>
      <c r="U326" s="16" t="str">
        <f t="shared" si="99"/>
        <v>log/ICHEC-EC-EARTH_Cluster12_repl4.txt</v>
      </c>
      <c r="V326" s="16" t="str">
        <f t="shared" si="100"/>
        <v>init/env_file_CLUSTER12_REPL4_ICHEC-EC-EARTH_historical.csv</v>
      </c>
      <c r="W326" s="16" t="str">
        <f t="shared" si="101"/>
        <v>init/env_grid_CLUSTER12_REPL4.asc</v>
      </c>
      <c r="X326" s="16" t="str">
        <f t="shared" si="102"/>
        <v>init/env_grid_CLUSTER12_REPL4.asc</v>
      </c>
      <c r="Y326" s="16" t="str">
        <f t="shared" si="103"/>
        <v>trees_CLUSTER12.csv</v>
      </c>
      <c r="Z326" s="16" t="str">
        <f t="shared" si="104"/>
        <v>saplings_CLUSTER12.csv</v>
      </c>
      <c r="AA326" s="16">
        <f t="shared" si="105"/>
        <v>350</v>
      </c>
      <c r="AB326" s="16" t="str">
        <f t="shared" si="106"/>
        <v>abe/no_mgmt.csv</v>
      </c>
      <c r="AC326" s="16" t="str">
        <f t="shared" si="107"/>
        <v>gis/WindModifier_cl12.asc</v>
      </c>
      <c r="AD326" s="16">
        <f t="shared" si="108"/>
        <v>6.8499999999999995E-4</v>
      </c>
      <c r="AE326" s="16" t="str">
        <f t="shared" si="110"/>
        <v>ICHEC-EC-EARTH_historical_point32670</v>
      </c>
      <c r="AF326" s="16" t="str">
        <f t="shared" si="109"/>
        <v>wind_Events/cl12_repl4.txt</v>
      </c>
      <c r="AG326" s="16" t="str">
        <f t="shared" si="90"/>
        <v>ICHEC-EC-EARTH_Cluster12_repl4</v>
      </c>
      <c r="AH326" s="16" t="s">
        <v>256</v>
      </c>
      <c r="AI326" s="16" t="s">
        <v>257</v>
      </c>
    </row>
    <row r="327" spans="1:35" ht="13.8">
      <c r="A327" s="7" t="str">
        <f t="shared" si="94"/>
        <v>MPI-M-MPI-ESM-LR_Cluster12_repl4</v>
      </c>
      <c r="B327" s="8" t="s">
        <v>16</v>
      </c>
      <c r="C327" s="8"/>
      <c r="D327" s="9" t="s">
        <v>17</v>
      </c>
      <c r="E327" s="9" t="str">
        <f t="shared" si="95"/>
        <v>historical</v>
      </c>
      <c r="F327" s="8">
        <v>350</v>
      </c>
      <c r="G327" s="8" t="s">
        <v>63</v>
      </c>
      <c r="H327" s="8">
        <v>2</v>
      </c>
      <c r="I327" s="18">
        <v>6.8499999999999995E-4</v>
      </c>
      <c r="J327" s="8">
        <v>12</v>
      </c>
      <c r="K327" s="8" t="s">
        <v>166</v>
      </c>
      <c r="L327" s="8">
        <v>4</v>
      </c>
      <c r="M327" s="8"/>
      <c r="N327" s="8">
        <v>1</v>
      </c>
      <c r="O327" s="10" t="s">
        <v>21</v>
      </c>
      <c r="P327" s="17" t="s">
        <v>59</v>
      </c>
      <c r="Q327" s="10" t="str">
        <f t="shared" si="96"/>
        <v>MPI-M-MPI-ESM-LR_Cluster12_repl4.sqlite</v>
      </c>
      <c r="R327" s="11">
        <f t="shared" si="97"/>
        <v>11</v>
      </c>
      <c r="S327" s="11">
        <v>0</v>
      </c>
      <c r="T327" s="16" t="str">
        <f t="shared" si="98"/>
        <v>climate_db_MPI-M-MPI-ESM-LR_historical_v4.sqlite</v>
      </c>
      <c r="U327" s="16" t="str">
        <f t="shared" si="99"/>
        <v>log/MPI-M-MPI-ESM-LR_Cluster12_repl4.txt</v>
      </c>
      <c r="V327" s="16" t="str">
        <f t="shared" si="100"/>
        <v>init/env_file_CLUSTER12_REPL4_MPI-M-MPI-ESM-LR_historical.csv</v>
      </c>
      <c r="W327" s="16" t="str">
        <f t="shared" si="101"/>
        <v>init/env_grid_CLUSTER12_REPL4.asc</v>
      </c>
      <c r="X327" s="16" t="str">
        <f t="shared" si="102"/>
        <v>init/env_grid_CLUSTER12_REPL4.asc</v>
      </c>
      <c r="Y327" s="16" t="str">
        <f t="shared" si="103"/>
        <v>trees_CLUSTER12.csv</v>
      </c>
      <c r="Z327" s="16" t="str">
        <f t="shared" si="104"/>
        <v>saplings_CLUSTER12.csv</v>
      </c>
      <c r="AA327" s="16">
        <f t="shared" si="105"/>
        <v>350</v>
      </c>
      <c r="AB327" s="16" t="str">
        <f t="shared" si="106"/>
        <v>abe/no_mgmt.csv</v>
      </c>
      <c r="AC327" s="16" t="str">
        <f t="shared" si="107"/>
        <v>gis/WindModifier_cl12.asc</v>
      </c>
      <c r="AD327" s="16">
        <f t="shared" si="108"/>
        <v>6.8499999999999995E-4</v>
      </c>
      <c r="AE327" s="16" t="str">
        <f t="shared" si="110"/>
        <v>MPI-M-MPI-ESM-LR_historical_point32670</v>
      </c>
      <c r="AF327" s="16" t="str">
        <f t="shared" si="109"/>
        <v>wind_Events/cl12_repl4.txt</v>
      </c>
      <c r="AG327" s="16" t="str">
        <f t="shared" si="90"/>
        <v>MPI-M-MPI-ESM-LR_Cluster12_repl4</v>
      </c>
      <c r="AH327" s="16" t="s">
        <v>258</v>
      </c>
      <c r="AI327" s="16" t="s">
        <v>259</v>
      </c>
    </row>
    <row r="328" spans="1:35" ht="13.8">
      <c r="A328" s="7" t="str">
        <f t="shared" si="94"/>
        <v>NCC-NorESM1-M_Cluster12_repl4</v>
      </c>
      <c r="B328" s="8" t="s">
        <v>16</v>
      </c>
      <c r="C328" s="8"/>
      <c r="D328" s="9" t="s">
        <v>17</v>
      </c>
      <c r="E328" s="9" t="str">
        <f t="shared" si="95"/>
        <v>historical</v>
      </c>
      <c r="F328" s="8">
        <v>350</v>
      </c>
      <c r="G328" s="8" t="s">
        <v>60</v>
      </c>
      <c r="H328" s="8">
        <v>3</v>
      </c>
      <c r="I328" s="18">
        <v>6.8499999999999995E-4</v>
      </c>
      <c r="J328" s="8">
        <v>12</v>
      </c>
      <c r="K328" s="8" t="s">
        <v>166</v>
      </c>
      <c r="L328" s="8">
        <v>4</v>
      </c>
      <c r="M328" s="8"/>
      <c r="N328" s="8">
        <v>1</v>
      </c>
      <c r="O328" s="10" t="s">
        <v>21</v>
      </c>
      <c r="P328" s="17" t="s">
        <v>59</v>
      </c>
      <c r="Q328" s="10" t="str">
        <f t="shared" si="96"/>
        <v>NCC-NorESM1-M_Cluster12_repl4.sqlite</v>
      </c>
      <c r="R328" s="11">
        <f t="shared" si="97"/>
        <v>12</v>
      </c>
      <c r="S328" s="11">
        <v>0</v>
      </c>
      <c r="T328" s="16" t="str">
        <f t="shared" si="98"/>
        <v>climate_db_NCC-NorESM1-M_historical_v4.sqlite</v>
      </c>
      <c r="U328" s="16" t="str">
        <f t="shared" si="99"/>
        <v>log/NCC-NorESM1-M_Cluster12_repl4.txt</v>
      </c>
      <c r="V328" s="16" t="str">
        <f t="shared" si="100"/>
        <v>init/env_file_CLUSTER12_REPL4_NCC-NorESM1-M_historical.csv</v>
      </c>
      <c r="W328" s="16" t="str">
        <f t="shared" si="101"/>
        <v>init/env_grid_CLUSTER12_REPL4.asc</v>
      </c>
      <c r="X328" s="16" t="str">
        <f t="shared" si="102"/>
        <v>init/env_grid_CLUSTER12_REPL4.asc</v>
      </c>
      <c r="Y328" s="16" t="str">
        <f t="shared" si="103"/>
        <v>trees_CLUSTER12.csv</v>
      </c>
      <c r="Z328" s="16" t="str">
        <f t="shared" si="104"/>
        <v>saplings_CLUSTER12.csv</v>
      </c>
      <c r="AA328" s="16">
        <f t="shared" si="105"/>
        <v>350</v>
      </c>
      <c r="AB328" s="16" t="str">
        <f t="shared" si="106"/>
        <v>abe/no_mgmt.csv</v>
      </c>
      <c r="AC328" s="16" t="str">
        <f t="shared" si="107"/>
        <v>gis/WindModifier_cl12.asc</v>
      </c>
      <c r="AD328" s="16">
        <f t="shared" si="108"/>
        <v>6.8499999999999995E-4</v>
      </c>
      <c r="AE328" s="16" t="str">
        <f t="shared" si="110"/>
        <v>NCC-NorESM1-M_historical_point32670</v>
      </c>
      <c r="AF328" s="16" t="str">
        <f t="shared" si="109"/>
        <v>wind_Events/cl12_repl4.txt</v>
      </c>
      <c r="AG328" s="16" t="str">
        <f t="shared" si="90"/>
        <v>NCC-NorESM1-M_Cluster12_repl4</v>
      </c>
      <c r="AH328" s="16" t="s">
        <v>260</v>
      </c>
      <c r="AI328" s="16" t="s">
        <v>261</v>
      </c>
    </row>
    <row r="329" spans="1:35" ht="13.8">
      <c r="A329" s="7" t="str">
        <f t="shared" si="94"/>
        <v>ICHEC-EC-EARTH_Cluster12_repl5</v>
      </c>
      <c r="B329" s="8" t="s">
        <v>16</v>
      </c>
      <c r="C329" s="8"/>
      <c r="D329" s="9" t="s">
        <v>17</v>
      </c>
      <c r="E329" s="9" t="str">
        <f t="shared" si="95"/>
        <v>historical</v>
      </c>
      <c r="F329" s="8">
        <v>350</v>
      </c>
      <c r="G329" s="8" t="s">
        <v>18</v>
      </c>
      <c r="H329" s="8">
        <v>1</v>
      </c>
      <c r="I329" s="18">
        <v>6.8499999999999995E-4</v>
      </c>
      <c r="J329" s="8">
        <v>12</v>
      </c>
      <c r="K329" s="8" t="s">
        <v>166</v>
      </c>
      <c r="L329" s="8">
        <v>5</v>
      </c>
      <c r="M329" s="8"/>
      <c r="N329" s="8">
        <v>1</v>
      </c>
      <c r="O329" s="10" t="s">
        <v>21</v>
      </c>
      <c r="P329" s="17" t="s">
        <v>59</v>
      </c>
      <c r="Q329" s="10" t="str">
        <f t="shared" si="96"/>
        <v>ICHEC-EC-EARTH_Cluster12_repl5.sqlite</v>
      </c>
      <c r="R329" s="11">
        <f t="shared" si="97"/>
        <v>13</v>
      </c>
      <c r="S329" s="11">
        <v>0</v>
      </c>
      <c r="T329" s="16" t="str">
        <f t="shared" si="98"/>
        <v>climate_db_ICHEC-EC-EARTH_historical_v4.sqlite</v>
      </c>
      <c r="U329" s="16" t="str">
        <f t="shared" si="99"/>
        <v>log/ICHEC-EC-EARTH_Cluster12_repl5.txt</v>
      </c>
      <c r="V329" s="16" t="str">
        <f t="shared" si="100"/>
        <v>init/env_file_CLUSTER12_REPL5_ICHEC-EC-EARTH_historical.csv</v>
      </c>
      <c r="W329" s="16" t="str">
        <f t="shared" si="101"/>
        <v>init/env_grid_CLUSTER12_REPL5.asc</v>
      </c>
      <c r="X329" s="16" t="str">
        <f t="shared" si="102"/>
        <v>init/env_grid_CLUSTER12_REPL5.asc</v>
      </c>
      <c r="Y329" s="16" t="str">
        <f t="shared" si="103"/>
        <v>trees_CLUSTER12.csv</v>
      </c>
      <c r="Z329" s="16" t="str">
        <f t="shared" si="104"/>
        <v>saplings_CLUSTER12.csv</v>
      </c>
      <c r="AA329" s="16">
        <f t="shared" si="105"/>
        <v>350</v>
      </c>
      <c r="AB329" s="16" t="str">
        <f t="shared" si="106"/>
        <v>abe/no_mgmt.csv</v>
      </c>
      <c r="AC329" s="16" t="str">
        <f t="shared" si="107"/>
        <v>gis/WindModifier_cl12.asc</v>
      </c>
      <c r="AD329" s="16">
        <f t="shared" si="108"/>
        <v>6.8499999999999995E-4</v>
      </c>
      <c r="AE329" s="16" t="str">
        <f t="shared" si="110"/>
        <v>ICHEC-EC-EARTH_historical_point32670</v>
      </c>
      <c r="AF329" s="16" t="str">
        <f t="shared" si="109"/>
        <v>wind_Events/cl12_repl5.txt</v>
      </c>
      <c r="AG329" s="16" t="str">
        <f t="shared" si="90"/>
        <v>ICHEC-EC-EARTH_Cluster12_repl5</v>
      </c>
      <c r="AH329" s="16" t="s">
        <v>262</v>
      </c>
      <c r="AI329" s="16" t="s">
        <v>263</v>
      </c>
    </row>
    <row r="330" spans="1:35" ht="13.8">
      <c r="A330" s="7" t="str">
        <f t="shared" si="94"/>
        <v>MPI-M-MPI-ESM-LR_Cluster12_repl5</v>
      </c>
      <c r="B330" s="8" t="s">
        <v>16</v>
      </c>
      <c r="C330" s="8"/>
      <c r="D330" s="9" t="s">
        <v>17</v>
      </c>
      <c r="E330" s="9" t="str">
        <f t="shared" si="95"/>
        <v>historical</v>
      </c>
      <c r="F330" s="8">
        <v>350</v>
      </c>
      <c r="G330" s="8" t="s">
        <v>63</v>
      </c>
      <c r="H330" s="8">
        <v>2</v>
      </c>
      <c r="I330" s="18">
        <v>6.8499999999999995E-4</v>
      </c>
      <c r="J330" s="8">
        <v>12</v>
      </c>
      <c r="K330" s="8" t="s">
        <v>166</v>
      </c>
      <c r="L330" s="8">
        <v>5</v>
      </c>
      <c r="M330" s="8"/>
      <c r="N330" s="8">
        <v>1</v>
      </c>
      <c r="O330" s="10" t="s">
        <v>21</v>
      </c>
      <c r="P330" s="17" t="s">
        <v>59</v>
      </c>
      <c r="Q330" s="10" t="str">
        <f t="shared" si="96"/>
        <v>MPI-M-MPI-ESM-LR_Cluster12_repl5.sqlite</v>
      </c>
      <c r="R330" s="11">
        <f t="shared" si="97"/>
        <v>14</v>
      </c>
      <c r="S330" s="11">
        <v>0</v>
      </c>
      <c r="T330" s="16" t="str">
        <f t="shared" si="98"/>
        <v>climate_db_MPI-M-MPI-ESM-LR_historical_v4.sqlite</v>
      </c>
      <c r="U330" s="16" t="str">
        <f t="shared" si="99"/>
        <v>log/MPI-M-MPI-ESM-LR_Cluster12_repl5.txt</v>
      </c>
      <c r="V330" s="16" t="str">
        <f t="shared" si="100"/>
        <v>init/env_file_CLUSTER12_REPL5_MPI-M-MPI-ESM-LR_historical.csv</v>
      </c>
      <c r="W330" s="16" t="str">
        <f t="shared" si="101"/>
        <v>init/env_grid_CLUSTER12_REPL5.asc</v>
      </c>
      <c r="X330" s="16" t="str">
        <f t="shared" si="102"/>
        <v>init/env_grid_CLUSTER12_REPL5.asc</v>
      </c>
      <c r="Y330" s="16" t="str">
        <f t="shared" si="103"/>
        <v>trees_CLUSTER12.csv</v>
      </c>
      <c r="Z330" s="16" t="str">
        <f t="shared" si="104"/>
        <v>saplings_CLUSTER12.csv</v>
      </c>
      <c r="AA330" s="16">
        <f t="shared" si="105"/>
        <v>350</v>
      </c>
      <c r="AB330" s="16" t="str">
        <f t="shared" si="106"/>
        <v>abe/no_mgmt.csv</v>
      </c>
      <c r="AC330" s="16" t="str">
        <f t="shared" si="107"/>
        <v>gis/WindModifier_cl12.asc</v>
      </c>
      <c r="AD330" s="16">
        <f t="shared" si="108"/>
        <v>6.8499999999999995E-4</v>
      </c>
      <c r="AE330" s="16" t="str">
        <f t="shared" si="110"/>
        <v>MPI-M-MPI-ESM-LR_historical_point32670</v>
      </c>
      <c r="AF330" s="16" t="str">
        <f t="shared" si="109"/>
        <v>wind_Events/cl12_repl5.txt</v>
      </c>
      <c r="AG330" s="16" t="str">
        <f t="shared" si="90"/>
        <v>MPI-M-MPI-ESM-LR_Cluster12_repl5</v>
      </c>
      <c r="AH330" s="16" t="s">
        <v>264</v>
      </c>
      <c r="AI330" s="16" t="s">
        <v>265</v>
      </c>
    </row>
    <row r="331" spans="1:35" ht="13.8">
      <c r="A331" s="7" t="str">
        <f t="shared" si="94"/>
        <v>NCC-NorESM1-M_Cluster12_repl5</v>
      </c>
      <c r="B331" s="8" t="s">
        <v>16</v>
      </c>
      <c r="C331" s="8"/>
      <c r="D331" s="9" t="s">
        <v>17</v>
      </c>
      <c r="E331" s="9" t="str">
        <f t="shared" si="95"/>
        <v>historical</v>
      </c>
      <c r="F331" s="8">
        <v>350</v>
      </c>
      <c r="G331" s="8" t="s">
        <v>60</v>
      </c>
      <c r="H331" s="8">
        <v>3</v>
      </c>
      <c r="I331" s="18">
        <v>6.8499999999999995E-4</v>
      </c>
      <c r="J331" s="8">
        <v>12</v>
      </c>
      <c r="K331" s="8" t="s">
        <v>166</v>
      </c>
      <c r="L331" s="8">
        <v>5</v>
      </c>
      <c r="M331" s="8"/>
      <c r="N331" s="8">
        <v>1</v>
      </c>
      <c r="O331" s="10" t="s">
        <v>21</v>
      </c>
      <c r="P331" s="17" t="s">
        <v>59</v>
      </c>
      <c r="Q331" s="10" t="str">
        <f t="shared" si="96"/>
        <v>NCC-NorESM1-M_Cluster12_repl5.sqlite</v>
      </c>
      <c r="R331" s="11">
        <f t="shared" si="97"/>
        <v>15</v>
      </c>
      <c r="S331" s="11">
        <v>0</v>
      </c>
      <c r="T331" s="16" t="str">
        <f t="shared" si="98"/>
        <v>climate_db_NCC-NorESM1-M_historical_v4.sqlite</v>
      </c>
      <c r="U331" s="16" t="str">
        <f t="shared" si="99"/>
        <v>log/NCC-NorESM1-M_Cluster12_repl5.txt</v>
      </c>
      <c r="V331" s="16" t="str">
        <f t="shared" si="100"/>
        <v>init/env_file_CLUSTER12_REPL5_NCC-NorESM1-M_historical.csv</v>
      </c>
      <c r="W331" s="16" t="str">
        <f t="shared" si="101"/>
        <v>init/env_grid_CLUSTER12_REPL5.asc</v>
      </c>
      <c r="X331" s="16" t="str">
        <f t="shared" si="102"/>
        <v>init/env_grid_CLUSTER12_REPL5.asc</v>
      </c>
      <c r="Y331" s="16" t="str">
        <f t="shared" si="103"/>
        <v>trees_CLUSTER12.csv</v>
      </c>
      <c r="Z331" s="16" t="str">
        <f t="shared" si="104"/>
        <v>saplings_CLUSTER12.csv</v>
      </c>
      <c r="AA331" s="16">
        <f t="shared" si="105"/>
        <v>350</v>
      </c>
      <c r="AB331" s="16" t="str">
        <f t="shared" si="106"/>
        <v>abe/no_mgmt.csv</v>
      </c>
      <c r="AC331" s="16" t="str">
        <f t="shared" si="107"/>
        <v>gis/WindModifier_cl12.asc</v>
      </c>
      <c r="AD331" s="16">
        <f t="shared" si="108"/>
        <v>6.8499999999999995E-4</v>
      </c>
      <c r="AE331" s="16" t="str">
        <f t="shared" si="110"/>
        <v>NCC-NorESM1-M_historical_point32670</v>
      </c>
      <c r="AF331" s="16" t="str">
        <f t="shared" si="109"/>
        <v>wind_Events/cl12_repl5.txt</v>
      </c>
      <c r="AG331" s="16" t="str">
        <f t="shared" si="90"/>
        <v>NCC-NorESM1-M_Cluster12_repl5</v>
      </c>
      <c r="AH331" s="16" t="s">
        <v>266</v>
      </c>
      <c r="AI331" s="16" t="s">
        <v>267</v>
      </c>
    </row>
    <row r="332" spans="1:35" ht="13.8">
      <c r="A332" s="7" t="str">
        <f t="shared" si="94"/>
        <v>ICHEC-EC-EARTH_Cluster13_repl1</v>
      </c>
      <c r="B332" s="8" t="s">
        <v>16</v>
      </c>
      <c r="C332" s="8"/>
      <c r="D332" s="9" t="s">
        <v>17</v>
      </c>
      <c r="E332" s="9" t="str">
        <f t="shared" si="95"/>
        <v>historical</v>
      </c>
      <c r="F332" s="8">
        <v>350</v>
      </c>
      <c r="G332" s="8" t="s">
        <v>18</v>
      </c>
      <c r="H332" s="8">
        <v>1</v>
      </c>
      <c r="I332" s="18">
        <v>6.8499999999999995E-4</v>
      </c>
      <c r="J332" s="8">
        <v>13</v>
      </c>
      <c r="K332" s="8" t="s">
        <v>167</v>
      </c>
      <c r="L332" s="8">
        <v>1</v>
      </c>
      <c r="M332" s="8"/>
      <c r="N332" s="8">
        <v>1</v>
      </c>
      <c r="O332" s="10" t="s">
        <v>21</v>
      </c>
      <c r="P332" s="17" t="s">
        <v>59</v>
      </c>
      <c r="Q332" s="10" t="str">
        <f t="shared" si="96"/>
        <v>ICHEC-EC-EARTH_Cluster13_repl1.sqlite</v>
      </c>
      <c r="R332" s="11">
        <f t="shared" si="97"/>
        <v>1</v>
      </c>
      <c r="S332" s="11">
        <v>0</v>
      </c>
      <c r="T332" s="16" t="str">
        <f t="shared" si="98"/>
        <v>climate_db_ICHEC-EC-EARTH_historical_v4.sqlite</v>
      </c>
      <c r="U332" s="16" t="str">
        <f t="shared" si="99"/>
        <v>log/ICHEC-EC-EARTH_Cluster13_repl1.txt</v>
      </c>
      <c r="V332" s="16" t="str">
        <f t="shared" si="100"/>
        <v>init/env_file_CLUSTER13_REPL1_ICHEC-EC-EARTH_historical.csv</v>
      </c>
      <c r="W332" s="16" t="str">
        <f t="shared" si="101"/>
        <v>init/env_grid_CLUSTER13_REPL1.asc</v>
      </c>
      <c r="X332" s="16" t="str">
        <f t="shared" si="102"/>
        <v>init/env_grid_CLUSTER13_REPL1.asc</v>
      </c>
      <c r="Y332" s="16" t="str">
        <f t="shared" si="103"/>
        <v>trees_CLUSTER13.csv</v>
      </c>
      <c r="Z332" s="16" t="str">
        <f t="shared" si="104"/>
        <v>saplings_CLUSTER13.csv</v>
      </c>
      <c r="AA332" s="16">
        <f t="shared" si="105"/>
        <v>350</v>
      </c>
      <c r="AB332" s="16" t="str">
        <f t="shared" si="106"/>
        <v>abe/no_mgmt.csv</v>
      </c>
      <c r="AC332" s="16" t="str">
        <f t="shared" si="107"/>
        <v>gis/WindModifier_cl13.asc</v>
      </c>
      <c r="AD332" s="16">
        <f t="shared" ref="AD332:AD333" si="111">IF(C332="Scaled_", I332+0.0000000001,  0.000685)</f>
        <v>6.8499999999999995E-4</v>
      </c>
      <c r="AE332" s="16" t="str">
        <f t="shared" si="110"/>
        <v>ICHEC-EC-EARTH_historical_point33292</v>
      </c>
      <c r="AF332" s="16" t="str">
        <f t="shared" ref="AF332:AF333" si="112">"wind_Events/" &amp; C332 &amp; "cl" &amp; J332 &amp; "_repl" &amp; L332 &amp; ".txt"</f>
        <v>wind_Events/cl13_repl1.txt</v>
      </c>
      <c r="AG332" s="16" t="str">
        <f t="shared" ref="AG332:AG333" si="113">A332</f>
        <v>ICHEC-EC-EARTH_Cluster13_repl1</v>
      </c>
      <c r="AH332" s="16" t="s">
        <v>268</v>
      </c>
      <c r="AI332" s="16" t="s">
        <v>269</v>
      </c>
    </row>
    <row r="333" spans="1:35" ht="13.8">
      <c r="A333" s="7" t="str">
        <f t="shared" si="94"/>
        <v>MPI-M-MPI-ESM-LR_Cluster13_repl1</v>
      </c>
      <c r="B333" s="8" t="s">
        <v>16</v>
      </c>
      <c r="C333" s="8"/>
      <c r="D333" s="9" t="s">
        <v>17</v>
      </c>
      <c r="E333" s="9" t="str">
        <f t="shared" si="95"/>
        <v>historical</v>
      </c>
      <c r="F333" s="8">
        <v>350</v>
      </c>
      <c r="G333" s="8" t="s">
        <v>63</v>
      </c>
      <c r="H333" s="8">
        <v>2</v>
      </c>
      <c r="I333" s="18">
        <v>6.8499999999999995E-4</v>
      </c>
      <c r="J333" s="8">
        <v>13</v>
      </c>
      <c r="K333" s="8" t="s">
        <v>167</v>
      </c>
      <c r="L333" s="8">
        <v>1</v>
      </c>
      <c r="M333" s="8"/>
      <c r="N333" s="8">
        <v>1</v>
      </c>
      <c r="O333" s="10" t="s">
        <v>21</v>
      </c>
      <c r="P333" s="17" t="s">
        <v>59</v>
      </c>
      <c r="Q333" s="10" t="str">
        <f t="shared" si="96"/>
        <v>MPI-M-MPI-ESM-LR_Cluster13_repl1.sqlite</v>
      </c>
      <c r="R333" s="11">
        <f t="shared" si="97"/>
        <v>2</v>
      </c>
      <c r="S333" s="11">
        <v>0</v>
      </c>
      <c r="T333" s="16" t="str">
        <f t="shared" si="98"/>
        <v>climate_db_MPI-M-MPI-ESM-LR_historical_v4.sqlite</v>
      </c>
      <c r="U333" s="16" t="str">
        <f t="shared" si="99"/>
        <v>log/MPI-M-MPI-ESM-LR_Cluster13_repl1.txt</v>
      </c>
      <c r="V333" s="16" t="str">
        <f t="shared" si="100"/>
        <v>init/env_file_CLUSTER13_REPL1_MPI-M-MPI-ESM-LR_historical.csv</v>
      </c>
      <c r="W333" s="16" t="str">
        <f t="shared" si="101"/>
        <v>init/env_grid_CLUSTER13_REPL1.asc</v>
      </c>
      <c r="X333" s="16" t="str">
        <f t="shared" si="102"/>
        <v>init/env_grid_CLUSTER13_REPL1.asc</v>
      </c>
      <c r="Y333" s="16" t="str">
        <f t="shared" si="103"/>
        <v>trees_CLUSTER13.csv</v>
      </c>
      <c r="Z333" s="16" t="str">
        <f t="shared" si="104"/>
        <v>saplings_CLUSTER13.csv</v>
      </c>
      <c r="AA333" s="16">
        <f t="shared" si="105"/>
        <v>350</v>
      </c>
      <c r="AB333" s="16" t="str">
        <f t="shared" si="106"/>
        <v>abe/no_mgmt.csv</v>
      </c>
      <c r="AC333" s="16" t="str">
        <f t="shared" si="107"/>
        <v>gis/WindModifier_cl13.asc</v>
      </c>
      <c r="AD333" s="16">
        <f t="shared" si="111"/>
        <v>6.8499999999999995E-4</v>
      </c>
      <c r="AE333" s="16" t="str">
        <f t="shared" si="110"/>
        <v>MPI-M-MPI-ESM-LR_historical_point33292</v>
      </c>
      <c r="AF333" s="16" t="str">
        <f t="shared" si="112"/>
        <v>wind_Events/cl13_repl1.txt</v>
      </c>
      <c r="AG333" s="16" t="str">
        <f t="shared" si="113"/>
        <v>MPI-M-MPI-ESM-LR_Cluster13_repl1</v>
      </c>
      <c r="AH333" s="16" t="s">
        <v>270</v>
      </c>
      <c r="AI333" s="16" t="s">
        <v>271</v>
      </c>
    </row>
    <row r="334" spans="1:35" ht="15.75" customHeight="1">
      <c r="A334" s="7" t="str">
        <f t="shared" si="94"/>
        <v>NCC-NorESM1-M_Cluster13_repl1</v>
      </c>
      <c r="B334" s="8" t="s">
        <v>16</v>
      </c>
      <c r="C334" s="8"/>
      <c r="D334" s="9" t="s">
        <v>17</v>
      </c>
      <c r="E334" s="9" t="str">
        <f t="shared" si="95"/>
        <v>historical</v>
      </c>
      <c r="F334" s="8">
        <v>350</v>
      </c>
      <c r="G334" s="8" t="s">
        <v>60</v>
      </c>
      <c r="H334" s="8">
        <v>3</v>
      </c>
      <c r="I334" s="18">
        <v>6.8499999999999995E-4</v>
      </c>
      <c r="J334" s="8">
        <v>13</v>
      </c>
      <c r="K334" s="8" t="s">
        <v>167</v>
      </c>
      <c r="L334" s="8">
        <v>1</v>
      </c>
      <c r="M334" s="8"/>
      <c r="N334" s="8">
        <v>1</v>
      </c>
      <c r="O334" s="10" t="s">
        <v>21</v>
      </c>
      <c r="P334" s="17" t="s">
        <v>59</v>
      </c>
      <c r="Q334" s="10" t="str">
        <f t="shared" si="96"/>
        <v>NCC-NorESM1-M_Cluster13_repl1.sqlite</v>
      </c>
      <c r="R334" s="11">
        <f t="shared" si="97"/>
        <v>3</v>
      </c>
      <c r="S334" s="11">
        <v>0</v>
      </c>
      <c r="T334" s="16" t="str">
        <f t="shared" si="98"/>
        <v>climate_db_NCC-NorESM1-M_historical_v4.sqlite</v>
      </c>
      <c r="U334" s="16" t="str">
        <f t="shared" si="99"/>
        <v>log/NCC-NorESM1-M_Cluster13_repl1.txt</v>
      </c>
      <c r="V334" s="16" t="str">
        <f t="shared" si="100"/>
        <v>init/env_file_CLUSTER13_REPL1_NCC-NorESM1-M_historical.csv</v>
      </c>
      <c r="W334" s="16" t="str">
        <f t="shared" si="101"/>
        <v>init/env_grid_CLUSTER13_REPL1.asc</v>
      </c>
      <c r="X334" s="16" t="str">
        <f t="shared" si="102"/>
        <v>init/env_grid_CLUSTER13_REPL1.asc</v>
      </c>
      <c r="Y334" s="16" t="str">
        <f t="shared" si="103"/>
        <v>trees_CLUSTER13.csv</v>
      </c>
      <c r="Z334" s="16" t="str">
        <f t="shared" si="104"/>
        <v>saplings_CLUSTER13.csv</v>
      </c>
      <c r="AA334" s="16">
        <f t="shared" si="105"/>
        <v>350</v>
      </c>
      <c r="AB334" s="16" t="str">
        <f t="shared" si="106"/>
        <v>abe/no_mgmt.csv</v>
      </c>
      <c r="AC334" s="16" t="str">
        <f t="shared" si="107"/>
        <v>gis/WindModifier_cl13.asc</v>
      </c>
      <c r="AD334" s="16">
        <f t="shared" ref="AD334:AD343" si="114">IF(C334="Scaled_", I334+0.0000000001,  0.000685)</f>
        <v>6.8499999999999995E-4</v>
      </c>
      <c r="AE334" s="16" t="str">
        <f t="shared" si="110"/>
        <v>NCC-NorESM1-M_historical_point33292</v>
      </c>
      <c r="AF334" s="16" t="str">
        <f t="shared" ref="AF334:AF343" si="115">"wind_Events/" &amp; C334 &amp; "cl" &amp; J334 &amp; "_repl" &amp; L334 &amp; ".txt"</f>
        <v>wind_Events/cl13_repl1.txt</v>
      </c>
      <c r="AG334" s="16" t="str">
        <f t="shared" ref="AG334:AG343" si="116">A334</f>
        <v>NCC-NorESM1-M_Cluster13_repl1</v>
      </c>
      <c r="AH334" s="16" t="s">
        <v>272</v>
      </c>
      <c r="AI334" s="16" t="s">
        <v>273</v>
      </c>
    </row>
    <row r="335" spans="1:35" ht="15.75" customHeight="1">
      <c r="A335" s="7" t="str">
        <f t="shared" si="94"/>
        <v>ICHEC-EC-EARTH_Cluster13_repl2</v>
      </c>
      <c r="B335" s="8" t="s">
        <v>16</v>
      </c>
      <c r="C335" s="8"/>
      <c r="D335" s="9" t="s">
        <v>17</v>
      </c>
      <c r="E335" s="9" t="str">
        <f t="shared" si="95"/>
        <v>historical</v>
      </c>
      <c r="F335" s="8">
        <v>350</v>
      </c>
      <c r="G335" s="8" t="s">
        <v>18</v>
      </c>
      <c r="H335" s="8">
        <v>1</v>
      </c>
      <c r="I335" s="18">
        <v>6.8499999999999995E-4</v>
      </c>
      <c r="J335" s="8">
        <v>13</v>
      </c>
      <c r="K335" s="8" t="s">
        <v>167</v>
      </c>
      <c r="L335" s="8">
        <v>2</v>
      </c>
      <c r="M335" s="8"/>
      <c r="N335" s="8">
        <v>1</v>
      </c>
      <c r="O335" s="10" t="s">
        <v>21</v>
      </c>
      <c r="P335" s="17" t="s">
        <v>59</v>
      </c>
      <c r="Q335" s="10" t="str">
        <f t="shared" si="96"/>
        <v>ICHEC-EC-EARTH_Cluster13_repl2.sqlite</v>
      </c>
      <c r="R335" s="11">
        <f t="shared" si="97"/>
        <v>4</v>
      </c>
      <c r="S335" s="11">
        <v>0</v>
      </c>
      <c r="T335" s="16" t="str">
        <f t="shared" si="98"/>
        <v>climate_db_ICHEC-EC-EARTH_historical_v4.sqlite</v>
      </c>
      <c r="U335" s="16" t="str">
        <f t="shared" si="99"/>
        <v>log/ICHEC-EC-EARTH_Cluster13_repl2.txt</v>
      </c>
      <c r="V335" s="16" t="str">
        <f t="shared" si="100"/>
        <v>init/env_file_CLUSTER13_REPL2_ICHEC-EC-EARTH_historical.csv</v>
      </c>
      <c r="W335" s="16" t="str">
        <f t="shared" si="101"/>
        <v>init/env_grid_CLUSTER13_REPL2.asc</v>
      </c>
      <c r="X335" s="16" t="str">
        <f t="shared" si="102"/>
        <v>init/env_grid_CLUSTER13_REPL2.asc</v>
      </c>
      <c r="Y335" s="16" t="str">
        <f t="shared" si="103"/>
        <v>trees_CLUSTER13.csv</v>
      </c>
      <c r="Z335" s="16" t="str">
        <f t="shared" si="104"/>
        <v>saplings_CLUSTER13.csv</v>
      </c>
      <c r="AA335" s="16">
        <f t="shared" si="105"/>
        <v>350</v>
      </c>
      <c r="AB335" s="16" t="str">
        <f t="shared" si="106"/>
        <v>abe/no_mgmt.csv</v>
      </c>
      <c r="AC335" s="16" t="str">
        <f t="shared" si="107"/>
        <v>gis/WindModifier_cl13.asc</v>
      </c>
      <c r="AD335" s="16">
        <f t="shared" si="114"/>
        <v>6.8499999999999995E-4</v>
      </c>
      <c r="AE335" s="16" t="str">
        <f t="shared" si="110"/>
        <v>ICHEC-EC-EARTH_historical_point33292</v>
      </c>
      <c r="AF335" s="16" t="str">
        <f t="shared" si="115"/>
        <v>wind_Events/cl13_repl2.txt</v>
      </c>
      <c r="AG335" s="16" t="str">
        <f t="shared" si="116"/>
        <v>ICHEC-EC-EARTH_Cluster13_repl2</v>
      </c>
      <c r="AH335" s="16" t="s">
        <v>274</v>
      </c>
      <c r="AI335" s="16" t="s">
        <v>275</v>
      </c>
    </row>
    <row r="336" spans="1:35" ht="15.75" customHeight="1">
      <c r="A336" s="7" t="str">
        <f t="shared" si="94"/>
        <v>MPI-M-MPI-ESM-LR_Cluster13_repl2</v>
      </c>
      <c r="B336" s="8" t="s">
        <v>16</v>
      </c>
      <c r="C336" s="8"/>
      <c r="D336" s="9" t="s">
        <v>17</v>
      </c>
      <c r="E336" s="9" t="str">
        <f t="shared" si="95"/>
        <v>historical</v>
      </c>
      <c r="F336" s="8">
        <v>350</v>
      </c>
      <c r="G336" s="8" t="s">
        <v>63</v>
      </c>
      <c r="H336" s="8">
        <v>2</v>
      </c>
      <c r="I336" s="18">
        <v>6.8499999999999995E-4</v>
      </c>
      <c r="J336" s="8">
        <v>13</v>
      </c>
      <c r="K336" s="8" t="s">
        <v>167</v>
      </c>
      <c r="L336" s="8">
        <v>2</v>
      </c>
      <c r="M336" s="8"/>
      <c r="N336" s="8">
        <v>1</v>
      </c>
      <c r="O336" s="10" t="s">
        <v>21</v>
      </c>
      <c r="P336" s="17" t="s">
        <v>59</v>
      </c>
      <c r="Q336" s="10" t="str">
        <f t="shared" si="96"/>
        <v>MPI-M-MPI-ESM-LR_Cluster13_repl2.sqlite</v>
      </c>
      <c r="R336" s="11">
        <f t="shared" si="97"/>
        <v>5</v>
      </c>
      <c r="S336" s="11">
        <v>0</v>
      </c>
      <c r="T336" s="16" t="str">
        <f t="shared" si="98"/>
        <v>climate_db_MPI-M-MPI-ESM-LR_historical_v4.sqlite</v>
      </c>
      <c r="U336" s="16" t="str">
        <f t="shared" si="99"/>
        <v>log/MPI-M-MPI-ESM-LR_Cluster13_repl2.txt</v>
      </c>
      <c r="V336" s="16" t="str">
        <f t="shared" si="100"/>
        <v>init/env_file_CLUSTER13_REPL2_MPI-M-MPI-ESM-LR_historical.csv</v>
      </c>
      <c r="W336" s="16" t="str">
        <f t="shared" si="101"/>
        <v>init/env_grid_CLUSTER13_REPL2.asc</v>
      </c>
      <c r="X336" s="16" t="str">
        <f t="shared" si="102"/>
        <v>init/env_grid_CLUSTER13_REPL2.asc</v>
      </c>
      <c r="Y336" s="16" t="str">
        <f t="shared" si="103"/>
        <v>trees_CLUSTER13.csv</v>
      </c>
      <c r="Z336" s="16" t="str">
        <f t="shared" si="104"/>
        <v>saplings_CLUSTER13.csv</v>
      </c>
      <c r="AA336" s="16">
        <f t="shared" si="105"/>
        <v>350</v>
      </c>
      <c r="AB336" s="16" t="str">
        <f t="shared" si="106"/>
        <v>abe/no_mgmt.csv</v>
      </c>
      <c r="AC336" s="16" t="str">
        <f t="shared" si="107"/>
        <v>gis/WindModifier_cl13.asc</v>
      </c>
      <c r="AD336" s="16">
        <f t="shared" si="114"/>
        <v>6.8499999999999995E-4</v>
      </c>
      <c r="AE336" s="16" t="str">
        <f t="shared" si="110"/>
        <v>MPI-M-MPI-ESM-LR_historical_point33292</v>
      </c>
      <c r="AF336" s="16" t="str">
        <f t="shared" si="115"/>
        <v>wind_Events/cl13_repl2.txt</v>
      </c>
      <c r="AG336" s="16" t="str">
        <f t="shared" si="116"/>
        <v>MPI-M-MPI-ESM-LR_Cluster13_repl2</v>
      </c>
      <c r="AH336" s="16" t="s">
        <v>276</v>
      </c>
      <c r="AI336" s="16" t="s">
        <v>277</v>
      </c>
    </row>
    <row r="337" spans="1:35" ht="15.75" customHeight="1">
      <c r="A337" s="7" t="str">
        <f t="shared" si="94"/>
        <v>NCC-NorESM1-M_Cluster13_repl2</v>
      </c>
      <c r="B337" s="8" t="s">
        <v>16</v>
      </c>
      <c r="C337" s="8"/>
      <c r="D337" s="9" t="s">
        <v>17</v>
      </c>
      <c r="E337" s="9" t="str">
        <f t="shared" si="95"/>
        <v>historical</v>
      </c>
      <c r="F337" s="8">
        <v>350</v>
      </c>
      <c r="G337" s="8" t="s">
        <v>60</v>
      </c>
      <c r="H337" s="8">
        <v>3</v>
      </c>
      <c r="I337" s="18">
        <v>6.8499999999999995E-4</v>
      </c>
      <c r="J337" s="8">
        <v>13</v>
      </c>
      <c r="K337" s="8" t="s">
        <v>167</v>
      </c>
      <c r="L337" s="8">
        <v>2</v>
      </c>
      <c r="M337" s="8"/>
      <c r="N337" s="8">
        <v>1</v>
      </c>
      <c r="O337" s="10" t="s">
        <v>21</v>
      </c>
      <c r="P337" s="17" t="s">
        <v>59</v>
      </c>
      <c r="Q337" s="10" t="str">
        <f t="shared" si="96"/>
        <v>NCC-NorESM1-M_Cluster13_repl2.sqlite</v>
      </c>
      <c r="R337" s="11">
        <f t="shared" si="97"/>
        <v>6</v>
      </c>
      <c r="S337" s="11">
        <v>0</v>
      </c>
      <c r="T337" s="16" t="str">
        <f t="shared" si="98"/>
        <v>climate_db_NCC-NorESM1-M_historical_v4.sqlite</v>
      </c>
      <c r="U337" s="16" t="str">
        <f t="shared" si="99"/>
        <v>log/NCC-NorESM1-M_Cluster13_repl2.txt</v>
      </c>
      <c r="V337" s="16" t="str">
        <f t="shared" si="100"/>
        <v>init/env_file_CLUSTER13_REPL2_NCC-NorESM1-M_historical.csv</v>
      </c>
      <c r="W337" s="16" t="str">
        <f t="shared" si="101"/>
        <v>init/env_grid_CLUSTER13_REPL2.asc</v>
      </c>
      <c r="X337" s="16" t="str">
        <f t="shared" si="102"/>
        <v>init/env_grid_CLUSTER13_REPL2.asc</v>
      </c>
      <c r="Y337" s="16" t="str">
        <f t="shared" si="103"/>
        <v>trees_CLUSTER13.csv</v>
      </c>
      <c r="Z337" s="16" t="str">
        <f t="shared" si="104"/>
        <v>saplings_CLUSTER13.csv</v>
      </c>
      <c r="AA337" s="16">
        <f t="shared" si="105"/>
        <v>350</v>
      </c>
      <c r="AB337" s="16" t="str">
        <f t="shared" si="106"/>
        <v>abe/no_mgmt.csv</v>
      </c>
      <c r="AC337" s="16" t="str">
        <f t="shared" si="107"/>
        <v>gis/WindModifier_cl13.asc</v>
      </c>
      <c r="AD337" s="16">
        <f t="shared" si="114"/>
        <v>6.8499999999999995E-4</v>
      </c>
      <c r="AE337" s="16" t="str">
        <f t="shared" si="110"/>
        <v>NCC-NorESM1-M_historical_point33292</v>
      </c>
      <c r="AF337" s="16" t="str">
        <f t="shared" si="115"/>
        <v>wind_Events/cl13_repl2.txt</v>
      </c>
      <c r="AG337" s="16" t="str">
        <f t="shared" si="116"/>
        <v>NCC-NorESM1-M_Cluster13_repl2</v>
      </c>
      <c r="AH337" s="16" t="s">
        <v>278</v>
      </c>
      <c r="AI337" s="16" t="s">
        <v>279</v>
      </c>
    </row>
    <row r="338" spans="1:35" ht="15.75" customHeight="1">
      <c r="A338" s="7" t="str">
        <f t="shared" si="94"/>
        <v>ICHEC-EC-EARTH_Cluster13_repl3</v>
      </c>
      <c r="B338" s="8" t="s">
        <v>16</v>
      </c>
      <c r="C338" s="8"/>
      <c r="D338" s="9" t="s">
        <v>17</v>
      </c>
      <c r="E338" s="9" t="str">
        <f t="shared" si="95"/>
        <v>historical</v>
      </c>
      <c r="F338" s="8">
        <v>350</v>
      </c>
      <c r="G338" s="8" t="s">
        <v>18</v>
      </c>
      <c r="H338" s="8">
        <v>1</v>
      </c>
      <c r="I338" s="18">
        <v>6.8499999999999995E-4</v>
      </c>
      <c r="J338" s="8">
        <v>13</v>
      </c>
      <c r="K338" s="8" t="s">
        <v>167</v>
      </c>
      <c r="L338" s="8">
        <v>3</v>
      </c>
      <c r="M338" s="8"/>
      <c r="N338" s="8">
        <v>1</v>
      </c>
      <c r="O338" s="10" t="s">
        <v>21</v>
      </c>
      <c r="P338" s="17" t="s">
        <v>59</v>
      </c>
      <c r="Q338" s="10" t="str">
        <f t="shared" si="96"/>
        <v>ICHEC-EC-EARTH_Cluster13_repl3.sqlite</v>
      </c>
      <c r="R338" s="11">
        <f t="shared" si="97"/>
        <v>7</v>
      </c>
      <c r="S338" s="11">
        <v>0</v>
      </c>
      <c r="T338" s="16" t="str">
        <f t="shared" si="98"/>
        <v>climate_db_ICHEC-EC-EARTH_historical_v4.sqlite</v>
      </c>
      <c r="U338" s="16" t="str">
        <f t="shared" si="99"/>
        <v>log/ICHEC-EC-EARTH_Cluster13_repl3.txt</v>
      </c>
      <c r="V338" s="16" t="str">
        <f t="shared" si="100"/>
        <v>init/env_file_CLUSTER13_REPL3_ICHEC-EC-EARTH_historical.csv</v>
      </c>
      <c r="W338" s="16" t="str">
        <f t="shared" si="101"/>
        <v>init/env_grid_CLUSTER13_REPL3.asc</v>
      </c>
      <c r="X338" s="16" t="str">
        <f t="shared" si="102"/>
        <v>init/env_grid_CLUSTER13_REPL3.asc</v>
      </c>
      <c r="Y338" s="16" t="str">
        <f t="shared" si="103"/>
        <v>trees_CLUSTER13.csv</v>
      </c>
      <c r="Z338" s="16" t="str">
        <f t="shared" si="104"/>
        <v>saplings_CLUSTER13.csv</v>
      </c>
      <c r="AA338" s="16">
        <f t="shared" si="105"/>
        <v>350</v>
      </c>
      <c r="AB338" s="16" t="str">
        <f t="shared" si="106"/>
        <v>abe/no_mgmt.csv</v>
      </c>
      <c r="AC338" s="16" t="str">
        <f t="shared" si="107"/>
        <v>gis/WindModifier_cl13.asc</v>
      </c>
      <c r="AD338" s="16">
        <f t="shared" si="114"/>
        <v>6.8499999999999995E-4</v>
      </c>
      <c r="AE338" s="16" t="str">
        <f t="shared" si="110"/>
        <v>ICHEC-EC-EARTH_historical_point33292</v>
      </c>
      <c r="AF338" s="16" t="str">
        <f t="shared" si="115"/>
        <v>wind_Events/cl13_repl3.txt</v>
      </c>
      <c r="AG338" s="16" t="str">
        <f t="shared" si="116"/>
        <v>ICHEC-EC-EARTH_Cluster13_repl3</v>
      </c>
      <c r="AH338" s="16" t="s">
        <v>280</v>
      </c>
      <c r="AI338" s="16" t="s">
        <v>281</v>
      </c>
    </row>
    <row r="339" spans="1:35" ht="15.75" customHeight="1">
      <c r="A339" s="7" t="str">
        <f t="shared" si="94"/>
        <v>MPI-M-MPI-ESM-LR_Cluster13_repl3</v>
      </c>
      <c r="B339" s="8" t="s">
        <v>16</v>
      </c>
      <c r="C339" s="8"/>
      <c r="D339" s="9" t="s">
        <v>17</v>
      </c>
      <c r="E339" s="9" t="str">
        <f t="shared" si="95"/>
        <v>historical</v>
      </c>
      <c r="F339" s="8">
        <v>350</v>
      </c>
      <c r="G339" s="8" t="s">
        <v>63</v>
      </c>
      <c r="H339" s="8">
        <v>2</v>
      </c>
      <c r="I339" s="18">
        <v>6.8499999999999995E-4</v>
      </c>
      <c r="J339" s="8">
        <v>13</v>
      </c>
      <c r="K339" s="8" t="s">
        <v>167</v>
      </c>
      <c r="L339" s="8">
        <v>3</v>
      </c>
      <c r="M339" s="8"/>
      <c r="N339" s="8">
        <v>1</v>
      </c>
      <c r="O339" s="10" t="s">
        <v>21</v>
      </c>
      <c r="P339" s="17" t="s">
        <v>59</v>
      </c>
      <c r="Q339" s="10" t="str">
        <f t="shared" si="96"/>
        <v>MPI-M-MPI-ESM-LR_Cluster13_repl3.sqlite</v>
      </c>
      <c r="R339" s="11">
        <f t="shared" si="97"/>
        <v>8</v>
      </c>
      <c r="S339" s="11">
        <v>0</v>
      </c>
      <c r="T339" s="16" t="str">
        <f t="shared" si="98"/>
        <v>climate_db_MPI-M-MPI-ESM-LR_historical_v4.sqlite</v>
      </c>
      <c r="U339" s="16" t="str">
        <f t="shared" si="99"/>
        <v>log/MPI-M-MPI-ESM-LR_Cluster13_repl3.txt</v>
      </c>
      <c r="V339" s="16" t="str">
        <f t="shared" si="100"/>
        <v>init/env_file_CLUSTER13_REPL3_MPI-M-MPI-ESM-LR_historical.csv</v>
      </c>
      <c r="W339" s="16" t="str">
        <f t="shared" si="101"/>
        <v>init/env_grid_CLUSTER13_REPL3.asc</v>
      </c>
      <c r="X339" s="16" t="str">
        <f t="shared" si="102"/>
        <v>init/env_grid_CLUSTER13_REPL3.asc</v>
      </c>
      <c r="Y339" s="16" t="str">
        <f t="shared" si="103"/>
        <v>trees_CLUSTER13.csv</v>
      </c>
      <c r="Z339" s="16" t="str">
        <f t="shared" si="104"/>
        <v>saplings_CLUSTER13.csv</v>
      </c>
      <c r="AA339" s="16">
        <f t="shared" si="105"/>
        <v>350</v>
      </c>
      <c r="AB339" s="16" t="str">
        <f t="shared" si="106"/>
        <v>abe/no_mgmt.csv</v>
      </c>
      <c r="AC339" s="16" t="str">
        <f t="shared" si="107"/>
        <v>gis/WindModifier_cl13.asc</v>
      </c>
      <c r="AD339" s="16">
        <f t="shared" si="114"/>
        <v>6.8499999999999995E-4</v>
      </c>
      <c r="AE339" s="16" t="str">
        <f t="shared" si="110"/>
        <v>MPI-M-MPI-ESM-LR_historical_point33292</v>
      </c>
      <c r="AF339" s="16" t="str">
        <f t="shared" si="115"/>
        <v>wind_Events/cl13_repl3.txt</v>
      </c>
      <c r="AG339" s="16" t="str">
        <f t="shared" si="116"/>
        <v>MPI-M-MPI-ESM-LR_Cluster13_repl3</v>
      </c>
      <c r="AH339" s="16" t="s">
        <v>282</v>
      </c>
      <c r="AI339" s="16" t="s">
        <v>283</v>
      </c>
    </row>
    <row r="340" spans="1:35" ht="15.75" customHeight="1">
      <c r="A340" s="7" t="str">
        <f t="shared" si="94"/>
        <v>NCC-NorESM1-M_Cluster13_repl3</v>
      </c>
      <c r="B340" s="8" t="s">
        <v>16</v>
      </c>
      <c r="C340" s="8"/>
      <c r="D340" s="9" t="s">
        <v>17</v>
      </c>
      <c r="E340" s="9" t="str">
        <f t="shared" si="95"/>
        <v>historical</v>
      </c>
      <c r="F340" s="8">
        <v>350</v>
      </c>
      <c r="G340" s="8" t="s">
        <v>60</v>
      </c>
      <c r="H340" s="8">
        <v>3</v>
      </c>
      <c r="I340" s="18">
        <v>6.8499999999999995E-4</v>
      </c>
      <c r="J340" s="8">
        <v>13</v>
      </c>
      <c r="K340" s="8" t="s">
        <v>167</v>
      </c>
      <c r="L340" s="8">
        <v>3</v>
      </c>
      <c r="M340" s="8"/>
      <c r="N340" s="8">
        <v>1</v>
      </c>
      <c r="O340" s="10" t="s">
        <v>21</v>
      </c>
      <c r="P340" s="17" t="s">
        <v>59</v>
      </c>
      <c r="Q340" s="10" t="str">
        <f t="shared" si="96"/>
        <v>NCC-NorESM1-M_Cluster13_repl3.sqlite</v>
      </c>
      <c r="R340" s="11">
        <f t="shared" si="97"/>
        <v>9</v>
      </c>
      <c r="S340" s="11">
        <v>0</v>
      </c>
      <c r="T340" s="16" t="str">
        <f t="shared" si="98"/>
        <v>climate_db_NCC-NorESM1-M_historical_v4.sqlite</v>
      </c>
      <c r="U340" s="16" t="str">
        <f t="shared" si="99"/>
        <v>log/NCC-NorESM1-M_Cluster13_repl3.txt</v>
      </c>
      <c r="V340" s="16" t="str">
        <f t="shared" si="100"/>
        <v>init/env_file_CLUSTER13_REPL3_NCC-NorESM1-M_historical.csv</v>
      </c>
      <c r="W340" s="16" t="str">
        <f t="shared" si="101"/>
        <v>init/env_grid_CLUSTER13_REPL3.asc</v>
      </c>
      <c r="X340" s="16" t="str">
        <f t="shared" si="102"/>
        <v>init/env_grid_CLUSTER13_REPL3.asc</v>
      </c>
      <c r="Y340" s="16" t="str">
        <f t="shared" si="103"/>
        <v>trees_CLUSTER13.csv</v>
      </c>
      <c r="Z340" s="16" t="str">
        <f t="shared" si="104"/>
        <v>saplings_CLUSTER13.csv</v>
      </c>
      <c r="AA340" s="16">
        <f t="shared" si="105"/>
        <v>350</v>
      </c>
      <c r="AB340" s="16" t="str">
        <f t="shared" si="106"/>
        <v>abe/no_mgmt.csv</v>
      </c>
      <c r="AC340" s="16" t="str">
        <f t="shared" si="107"/>
        <v>gis/WindModifier_cl13.asc</v>
      </c>
      <c r="AD340" s="16">
        <f t="shared" si="114"/>
        <v>6.8499999999999995E-4</v>
      </c>
      <c r="AE340" s="16" t="str">
        <f t="shared" si="110"/>
        <v>NCC-NorESM1-M_historical_point33292</v>
      </c>
      <c r="AF340" s="16" t="str">
        <f t="shared" si="115"/>
        <v>wind_Events/cl13_repl3.txt</v>
      </c>
      <c r="AG340" s="16" t="str">
        <f t="shared" si="116"/>
        <v>NCC-NorESM1-M_Cluster13_repl3</v>
      </c>
      <c r="AH340" s="16" t="s">
        <v>284</v>
      </c>
      <c r="AI340" s="16" t="s">
        <v>285</v>
      </c>
    </row>
    <row r="341" spans="1:35" ht="15.75" customHeight="1">
      <c r="A341" s="7" t="str">
        <f t="shared" si="94"/>
        <v>ICHEC-EC-EARTH_Cluster13_repl4</v>
      </c>
      <c r="B341" s="8" t="s">
        <v>16</v>
      </c>
      <c r="C341" s="8"/>
      <c r="D341" s="9" t="s">
        <v>17</v>
      </c>
      <c r="E341" s="9" t="str">
        <f t="shared" si="95"/>
        <v>historical</v>
      </c>
      <c r="F341" s="8">
        <v>350</v>
      </c>
      <c r="G341" s="8" t="s">
        <v>18</v>
      </c>
      <c r="H341" s="8">
        <v>1</v>
      </c>
      <c r="I341" s="18">
        <v>6.8499999999999995E-4</v>
      </c>
      <c r="J341" s="8">
        <v>13</v>
      </c>
      <c r="K341" s="8" t="s">
        <v>167</v>
      </c>
      <c r="L341" s="8">
        <v>4</v>
      </c>
      <c r="M341" s="8"/>
      <c r="N341" s="8">
        <v>1</v>
      </c>
      <c r="O341" s="10" t="s">
        <v>21</v>
      </c>
      <c r="P341" s="17" t="s">
        <v>59</v>
      </c>
      <c r="Q341" s="10" t="str">
        <f t="shared" si="96"/>
        <v>ICHEC-EC-EARTH_Cluster13_repl4.sqlite</v>
      </c>
      <c r="R341" s="11">
        <f t="shared" si="97"/>
        <v>10</v>
      </c>
      <c r="S341" s="11">
        <v>0</v>
      </c>
      <c r="T341" s="16" t="str">
        <f t="shared" si="98"/>
        <v>climate_db_ICHEC-EC-EARTH_historical_v4.sqlite</v>
      </c>
      <c r="U341" s="16" t="str">
        <f t="shared" si="99"/>
        <v>log/ICHEC-EC-EARTH_Cluster13_repl4.txt</v>
      </c>
      <c r="V341" s="16" t="str">
        <f t="shared" si="100"/>
        <v>init/env_file_CLUSTER13_REPL4_ICHEC-EC-EARTH_historical.csv</v>
      </c>
      <c r="W341" s="16" t="str">
        <f t="shared" si="101"/>
        <v>init/env_grid_CLUSTER13_REPL4.asc</v>
      </c>
      <c r="X341" s="16" t="str">
        <f t="shared" si="102"/>
        <v>init/env_grid_CLUSTER13_REPL4.asc</v>
      </c>
      <c r="Y341" s="16" t="str">
        <f t="shared" si="103"/>
        <v>trees_CLUSTER13.csv</v>
      </c>
      <c r="Z341" s="16" t="str">
        <f t="shared" si="104"/>
        <v>saplings_CLUSTER13.csv</v>
      </c>
      <c r="AA341" s="16">
        <f t="shared" si="105"/>
        <v>350</v>
      </c>
      <c r="AB341" s="16" t="str">
        <f t="shared" si="106"/>
        <v>abe/no_mgmt.csv</v>
      </c>
      <c r="AC341" s="16" t="str">
        <f t="shared" si="107"/>
        <v>gis/WindModifier_cl13.asc</v>
      </c>
      <c r="AD341" s="16">
        <f t="shared" si="114"/>
        <v>6.8499999999999995E-4</v>
      </c>
      <c r="AE341" s="16" t="str">
        <f t="shared" si="110"/>
        <v>ICHEC-EC-EARTH_historical_point33292</v>
      </c>
      <c r="AF341" s="16" t="str">
        <f t="shared" si="115"/>
        <v>wind_Events/cl13_repl4.txt</v>
      </c>
      <c r="AG341" s="16" t="str">
        <f t="shared" si="116"/>
        <v>ICHEC-EC-EARTH_Cluster13_repl4</v>
      </c>
      <c r="AH341" s="16" t="s">
        <v>286</v>
      </c>
      <c r="AI341" s="16" t="s">
        <v>287</v>
      </c>
    </row>
    <row r="342" spans="1:35" ht="15.75" customHeight="1">
      <c r="A342" s="7" t="str">
        <f t="shared" si="94"/>
        <v>MPI-M-MPI-ESM-LR_Cluster13_repl4</v>
      </c>
      <c r="B342" s="8" t="s">
        <v>16</v>
      </c>
      <c r="C342" s="8"/>
      <c r="D342" s="9" t="s">
        <v>17</v>
      </c>
      <c r="E342" s="9" t="str">
        <f t="shared" si="95"/>
        <v>historical</v>
      </c>
      <c r="F342" s="8">
        <v>350</v>
      </c>
      <c r="G342" s="8" t="s">
        <v>63</v>
      </c>
      <c r="H342" s="8">
        <v>2</v>
      </c>
      <c r="I342" s="18">
        <v>6.8499999999999995E-4</v>
      </c>
      <c r="J342" s="8">
        <v>13</v>
      </c>
      <c r="K342" s="8" t="s">
        <v>167</v>
      </c>
      <c r="L342" s="8">
        <v>4</v>
      </c>
      <c r="M342" s="8"/>
      <c r="N342" s="8">
        <v>1</v>
      </c>
      <c r="O342" s="10" t="s">
        <v>21</v>
      </c>
      <c r="P342" s="17" t="s">
        <v>59</v>
      </c>
      <c r="Q342" s="10" t="str">
        <f t="shared" si="96"/>
        <v>MPI-M-MPI-ESM-LR_Cluster13_repl4.sqlite</v>
      </c>
      <c r="R342" s="11">
        <f t="shared" si="97"/>
        <v>11</v>
      </c>
      <c r="S342" s="11">
        <v>0</v>
      </c>
      <c r="T342" s="16" t="str">
        <f t="shared" si="98"/>
        <v>climate_db_MPI-M-MPI-ESM-LR_historical_v4.sqlite</v>
      </c>
      <c r="U342" s="16" t="str">
        <f t="shared" si="99"/>
        <v>log/MPI-M-MPI-ESM-LR_Cluster13_repl4.txt</v>
      </c>
      <c r="V342" s="16" t="str">
        <f t="shared" si="100"/>
        <v>init/env_file_CLUSTER13_REPL4_MPI-M-MPI-ESM-LR_historical.csv</v>
      </c>
      <c r="W342" s="16" t="str">
        <f t="shared" si="101"/>
        <v>init/env_grid_CLUSTER13_REPL4.asc</v>
      </c>
      <c r="X342" s="16" t="str">
        <f t="shared" si="102"/>
        <v>init/env_grid_CLUSTER13_REPL4.asc</v>
      </c>
      <c r="Y342" s="16" t="str">
        <f t="shared" si="103"/>
        <v>trees_CLUSTER13.csv</v>
      </c>
      <c r="Z342" s="16" t="str">
        <f t="shared" si="104"/>
        <v>saplings_CLUSTER13.csv</v>
      </c>
      <c r="AA342" s="16">
        <f t="shared" si="105"/>
        <v>350</v>
      </c>
      <c r="AB342" s="16" t="str">
        <f t="shared" si="106"/>
        <v>abe/no_mgmt.csv</v>
      </c>
      <c r="AC342" s="16" t="str">
        <f t="shared" si="107"/>
        <v>gis/WindModifier_cl13.asc</v>
      </c>
      <c r="AD342" s="16">
        <f t="shared" si="114"/>
        <v>6.8499999999999995E-4</v>
      </c>
      <c r="AE342" s="16" t="str">
        <f t="shared" si="110"/>
        <v>MPI-M-MPI-ESM-LR_historical_point33292</v>
      </c>
      <c r="AF342" s="16" t="str">
        <f t="shared" si="115"/>
        <v>wind_Events/cl13_repl4.txt</v>
      </c>
      <c r="AG342" s="16" t="str">
        <f t="shared" si="116"/>
        <v>MPI-M-MPI-ESM-LR_Cluster13_repl4</v>
      </c>
      <c r="AH342" s="16" t="s">
        <v>288</v>
      </c>
      <c r="AI342" s="16" t="s">
        <v>289</v>
      </c>
    </row>
    <row r="343" spans="1:35" ht="15.75" customHeight="1">
      <c r="A343" s="7" t="str">
        <f t="shared" si="94"/>
        <v>NCC-NorESM1-M_Cluster13_repl4</v>
      </c>
      <c r="B343" s="8" t="s">
        <v>16</v>
      </c>
      <c r="C343" s="8"/>
      <c r="D343" s="9" t="s">
        <v>17</v>
      </c>
      <c r="E343" s="9" t="str">
        <f t="shared" si="95"/>
        <v>historical</v>
      </c>
      <c r="F343" s="8">
        <v>350</v>
      </c>
      <c r="G343" s="8" t="s">
        <v>60</v>
      </c>
      <c r="H343" s="8">
        <v>3</v>
      </c>
      <c r="I343" s="18">
        <v>6.8499999999999995E-4</v>
      </c>
      <c r="J343" s="8">
        <v>13</v>
      </c>
      <c r="K343" s="8" t="s">
        <v>167</v>
      </c>
      <c r="L343" s="8">
        <v>4</v>
      </c>
      <c r="M343" s="8"/>
      <c r="N343" s="8">
        <v>1</v>
      </c>
      <c r="O343" s="10" t="s">
        <v>21</v>
      </c>
      <c r="P343" s="17" t="s">
        <v>59</v>
      </c>
      <c r="Q343" s="10" t="str">
        <f t="shared" si="96"/>
        <v>NCC-NorESM1-M_Cluster13_repl4.sqlite</v>
      </c>
      <c r="R343" s="11">
        <f t="shared" si="97"/>
        <v>12</v>
      </c>
      <c r="S343" s="11">
        <v>0</v>
      </c>
      <c r="T343" s="16" t="str">
        <f t="shared" si="98"/>
        <v>climate_db_NCC-NorESM1-M_historical_v4.sqlite</v>
      </c>
      <c r="U343" s="16" t="str">
        <f t="shared" si="99"/>
        <v>log/NCC-NorESM1-M_Cluster13_repl4.txt</v>
      </c>
      <c r="V343" s="16" t="str">
        <f t="shared" si="100"/>
        <v>init/env_file_CLUSTER13_REPL4_NCC-NorESM1-M_historical.csv</v>
      </c>
      <c r="W343" s="16" t="str">
        <f t="shared" si="101"/>
        <v>init/env_grid_CLUSTER13_REPL4.asc</v>
      </c>
      <c r="X343" s="16" t="str">
        <f t="shared" si="102"/>
        <v>init/env_grid_CLUSTER13_REPL4.asc</v>
      </c>
      <c r="Y343" s="16" t="str">
        <f t="shared" si="103"/>
        <v>trees_CLUSTER13.csv</v>
      </c>
      <c r="Z343" s="16" t="str">
        <f t="shared" si="104"/>
        <v>saplings_CLUSTER13.csv</v>
      </c>
      <c r="AA343" s="16">
        <f t="shared" si="105"/>
        <v>350</v>
      </c>
      <c r="AB343" s="16" t="str">
        <f t="shared" si="106"/>
        <v>abe/no_mgmt.csv</v>
      </c>
      <c r="AC343" s="16" t="str">
        <f t="shared" si="107"/>
        <v>gis/WindModifier_cl13.asc</v>
      </c>
      <c r="AD343" s="16">
        <f t="shared" si="114"/>
        <v>6.8499999999999995E-4</v>
      </c>
      <c r="AE343" s="16" t="str">
        <f t="shared" si="110"/>
        <v>NCC-NorESM1-M_historical_point33292</v>
      </c>
      <c r="AF343" s="16" t="str">
        <f t="shared" si="115"/>
        <v>wind_Events/cl13_repl4.txt</v>
      </c>
      <c r="AG343" s="16" t="str">
        <f t="shared" si="116"/>
        <v>NCC-NorESM1-M_Cluster13_repl4</v>
      </c>
      <c r="AH343" s="16" t="s">
        <v>290</v>
      </c>
      <c r="AI343" s="16" t="s">
        <v>291</v>
      </c>
    </row>
    <row r="344" spans="1:35" ht="15.75" customHeight="1">
      <c r="A344" s="7" t="str">
        <f t="shared" si="94"/>
        <v>ICHEC-EC-EARTH_Cluster13_repl5</v>
      </c>
      <c r="B344" s="8" t="s">
        <v>16</v>
      </c>
      <c r="C344" s="8"/>
      <c r="D344" s="9" t="s">
        <v>17</v>
      </c>
      <c r="E344" s="9" t="str">
        <f t="shared" si="95"/>
        <v>historical</v>
      </c>
      <c r="F344" s="8">
        <v>350</v>
      </c>
      <c r="G344" s="8" t="s">
        <v>18</v>
      </c>
      <c r="H344" s="8">
        <v>1</v>
      </c>
      <c r="I344" s="18">
        <v>6.8499999999999995E-4</v>
      </c>
      <c r="J344" s="8">
        <v>13</v>
      </c>
      <c r="K344" s="8" t="s">
        <v>167</v>
      </c>
      <c r="L344" s="8">
        <v>5</v>
      </c>
      <c r="M344" s="8"/>
      <c r="N344" s="8">
        <v>1</v>
      </c>
      <c r="O344" s="10" t="s">
        <v>21</v>
      </c>
      <c r="P344" s="17" t="s">
        <v>59</v>
      </c>
      <c r="Q344" s="10" t="str">
        <f t="shared" si="96"/>
        <v>ICHEC-EC-EARTH_Cluster13_repl5.sqlite</v>
      </c>
      <c r="R344" s="11">
        <f t="shared" si="97"/>
        <v>13</v>
      </c>
      <c r="S344" s="11">
        <v>0</v>
      </c>
      <c r="T344" s="16" t="str">
        <f t="shared" si="98"/>
        <v>climate_db_ICHEC-EC-EARTH_historical_v4.sqlite</v>
      </c>
      <c r="U344" s="16" t="str">
        <f t="shared" si="99"/>
        <v>log/ICHEC-EC-EARTH_Cluster13_repl5.txt</v>
      </c>
      <c r="V344" s="16" t="str">
        <f t="shared" si="100"/>
        <v>init/env_file_CLUSTER13_REPL5_ICHEC-EC-EARTH_historical.csv</v>
      </c>
      <c r="W344" s="16" t="str">
        <f t="shared" si="101"/>
        <v>init/env_grid_CLUSTER13_REPL5.asc</v>
      </c>
      <c r="X344" s="16" t="str">
        <f t="shared" si="102"/>
        <v>init/env_grid_CLUSTER13_REPL5.asc</v>
      </c>
      <c r="Y344" s="16" t="str">
        <f t="shared" si="103"/>
        <v>trees_CLUSTER13.csv</v>
      </c>
      <c r="Z344" s="16" t="str">
        <f t="shared" si="104"/>
        <v>saplings_CLUSTER13.csv</v>
      </c>
      <c r="AA344" s="16">
        <f t="shared" si="105"/>
        <v>350</v>
      </c>
      <c r="AB344" s="16" t="str">
        <f t="shared" si="106"/>
        <v>abe/no_mgmt.csv</v>
      </c>
      <c r="AC344" s="16" t="str">
        <f t="shared" si="107"/>
        <v>gis/WindModifier_cl13.asc</v>
      </c>
      <c r="AD344" s="16">
        <f t="shared" ref="AD344:AD361" si="117">IF(C344="Scaled_", I344+0.0000000001,  0.000685)</f>
        <v>6.8499999999999995E-4</v>
      </c>
      <c r="AE344" s="16" t="str">
        <f t="shared" si="110"/>
        <v>ICHEC-EC-EARTH_historical_point33292</v>
      </c>
      <c r="AF344" s="16" t="str">
        <f t="shared" ref="AF344:AF361" si="118">"wind_Events/" &amp; C344 &amp; "cl" &amp; J344 &amp; "_repl" &amp; L344 &amp; ".txt"</f>
        <v>wind_Events/cl13_repl5.txt</v>
      </c>
      <c r="AG344" s="16" t="str">
        <f t="shared" ref="AG344:AG361" si="119">A344</f>
        <v>ICHEC-EC-EARTH_Cluster13_repl5</v>
      </c>
      <c r="AH344" s="16" t="s">
        <v>292</v>
      </c>
      <c r="AI344" s="16" t="s">
        <v>293</v>
      </c>
    </row>
    <row r="345" spans="1:35" ht="15.75" customHeight="1">
      <c r="A345" s="7" t="str">
        <f t="shared" si="94"/>
        <v>MPI-M-MPI-ESM-LR_Cluster13_repl5</v>
      </c>
      <c r="B345" s="8" t="s">
        <v>16</v>
      </c>
      <c r="C345" s="8"/>
      <c r="D345" s="9" t="s">
        <v>17</v>
      </c>
      <c r="E345" s="9" t="str">
        <f t="shared" si="95"/>
        <v>historical</v>
      </c>
      <c r="F345" s="8">
        <v>350</v>
      </c>
      <c r="G345" s="8" t="s">
        <v>63</v>
      </c>
      <c r="H345" s="8">
        <v>2</v>
      </c>
      <c r="I345" s="18">
        <v>6.8499999999999995E-4</v>
      </c>
      <c r="J345" s="8">
        <v>13</v>
      </c>
      <c r="K345" s="8" t="s">
        <v>167</v>
      </c>
      <c r="L345" s="8">
        <v>5</v>
      </c>
      <c r="M345" s="8"/>
      <c r="N345" s="8">
        <v>1</v>
      </c>
      <c r="O345" s="10" t="s">
        <v>21</v>
      </c>
      <c r="P345" s="17" t="s">
        <v>59</v>
      </c>
      <c r="Q345" s="10" t="str">
        <f t="shared" si="96"/>
        <v>MPI-M-MPI-ESM-LR_Cluster13_repl5.sqlite</v>
      </c>
      <c r="R345" s="11">
        <f t="shared" si="97"/>
        <v>14</v>
      </c>
      <c r="S345" s="11">
        <v>0</v>
      </c>
      <c r="T345" s="16" t="str">
        <f t="shared" si="98"/>
        <v>climate_db_MPI-M-MPI-ESM-LR_historical_v4.sqlite</v>
      </c>
      <c r="U345" s="16" t="str">
        <f t="shared" si="99"/>
        <v>log/MPI-M-MPI-ESM-LR_Cluster13_repl5.txt</v>
      </c>
      <c r="V345" s="16" t="str">
        <f t="shared" si="100"/>
        <v>init/env_file_CLUSTER13_REPL5_MPI-M-MPI-ESM-LR_historical.csv</v>
      </c>
      <c r="W345" s="16" t="str">
        <f t="shared" si="101"/>
        <v>init/env_grid_CLUSTER13_REPL5.asc</v>
      </c>
      <c r="X345" s="16" t="str">
        <f t="shared" si="102"/>
        <v>init/env_grid_CLUSTER13_REPL5.asc</v>
      </c>
      <c r="Y345" s="16" t="str">
        <f t="shared" si="103"/>
        <v>trees_CLUSTER13.csv</v>
      </c>
      <c r="Z345" s="16" t="str">
        <f t="shared" si="104"/>
        <v>saplings_CLUSTER13.csv</v>
      </c>
      <c r="AA345" s="16">
        <f t="shared" si="105"/>
        <v>350</v>
      </c>
      <c r="AB345" s="16" t="str">
        <f t="shared" si="106"/>
        <v>abe/no_mgmt.csv</v>
      </c>
      <c r="AC345" s="16" t="str">
        <f t="shared" si="107"/>
        <v>gis/WindModifier_cl13.asc</v>
      </c>
      <c r="AD345" s="16">
        <f t="shared" si="117"/>
        <v>6.8499999999999995E-4</v>
      </c>
      <c r="AE345" s="16" t="str">
        <f t="shared" si="110"/>
        <v>MPI-M-MPI-ESM-LR_historical_point33292</v>
      </c>
      <c r="AF345" s="16" t="str">
        <f t="shared" si="118"/>
        <v>wind_Events/cl13_repl5.txt</v>
      </c>
      <c r="AG345" s="16" t="str">
        <f t="shared" si="119"/>
        <v>MPI-M-MPI-ESM-LR_Cluster13_repl5</v>
      </c>
      <c r="AH345" s="16" t="s">
        <v>294</v>
      </c>
      <c r="AI345" s="16" t="s">
        <v>295</v>
      </c>
    </row>
    <row r="346" spans="1:35" ht="15.75" customHeight="1">
      <c r="A346" s="7" t="str">
        <f t="shared" si="94"/>
        <v>NCC-NorESM1-M_Cluster13_repl5</v>
      </c>
      <c r="B346" s="8" t="s">
        <v>16</v>
      </c>
      <c r="C346" s="8"/>
      <c r="D346" s="9" t="s">
        <v>17</v>
      </c>
      <c r="E346" s="9" t="str">
        <f t="shared" si="95"/>
        <v>historical</v>
      </c>
      <c r="F346" s="8">
        <v>350</v>
      </c>
      <c r="G346" s="8" t="s">
        <v>60</v>
      </c>
      <c r="H346" s="8">
        <v>3</v>
      </c>
      <c r="I346" s="18">
        <v>6.8499999999999995E-4</v>
      </c>
      <c r="J346" s="8">
        <v>13</v>
      </c>
      <c r="K346" s="8" t="s">
        <v>167</v>
      </c>
      <c r="L346" s="8">
        <v>5</v>
      </c>
      <c r="M346" s="8"/>
      <c r="N346" s="8">
        <v>1</v>
      </c>
      <c r="O346" s="10" t="s">
        <v>21</v>
      </c>
      <c r="P346" s="17" t="s">
        <v>59</v>
      </c>
      <c r="Q346" s="10" t="str">
        <f t="shared" si="96"/>
        <v>NCC-NorESM1-M_Cluster13_repl5.sqlite</v>
      </c>
      <c r="R346" s="11">
        <f t="shared" si="97"/>
        <v>15</v>
      </c>
      <c r="S346" s="11">
        <v>0</v>
      </c>
      <c r="T346" s="16" t="str">
        <f t="shared" si="98"/>
        <v>climate_db_NCC-NorESM1-M_historical_v4.sqlite</v>
      </c>
      <c r="U346" s="16" t="str">
        <f t="shared" si="99"/>
        <v>log/NCC-NorESM1-M_Cluster13_repl5.txt</v>
      </c>
      <c r="V346" s="16" t="str">
        <f t="shared" si="100"/>
        <v>init/env_file_CLUSTER13_REPL5_NCC-NorESM1-M_historical.csv</v>
      </c>
      <c r="W346" s="16" t="str">
        <f t="shared" si="101"/>
        <v>init/env_grid_CLUSTER13_REPL5.asc</v>
      </c>
      <c r="X346" s="16" t="str">
        <f t="shared" si="102"/>
        <v>init/env_grid_CLUSTER13_REPL5.asc</v>
      </c>
      <c r="Y346" s="16" t="str">
        <f t="shared" si="103"/>
        <v>trees_CLUSTER13.csv</v>
      </c>
      <c r="Z346" s="16" t="str">
        <f t="shared" si="104"/>
        <v>saplings_CLUSTER13.csv</v>
      </c>
      <c r="AA346" s="16">
        <f t="shared" si="105"/>
        <v>350</v>
      </c>
      <c r="AB346" s="16" t="str">
        <f t="shared" si="106"/>
        <v>abe/no_mgmt.csv</v>
      </c>
      <c r="AC346" s="16" t="str">
        <f t="shared" si="107"/>
        <v>gis/WindModifier_cl13.asc</v>
      </c>
      <c r="AD346" s="16">
        <f t="shared" si="117"/>
        <v>6.8499999999999995E-4</v>
      </c>
      <c r="AE346" s="16" t="str">
        <f t="shared" si="110"/>
        <v>NCC-NorESM1-M_historical_point33292</v>
      </c>
      <c r="AF346" s="16" t="str">
        <f t="shared" si="118"/>
        <v>wind_Events/cl13_repl5.txt</v>
      </c>
      <c r="AG346" s="16" t="str">
        <f t="shared" si="119"/>
        <v>NCC-NorESM1-M_Cluster13_repl5</v>
      </c>
      <c r="AH346" s="16" t="s">
        <v>296</v>
      </c>
      <c r="AI346" s="16" t="s">
        <v>297</v>
      </c>
    </row>
    <row r="347" spans="1:35" ht="15.75" customHeight="1">
      <c r="A347" s="7" t="str">
        <f t="shared" si="94"/>
        <v>ICHEC-EC-EARTH_Cluster14_repl1</v>
      </c>
      <c r="B347" s="8" t="s">
        <v>16</v>
      </c>
      <c r="C347" s="8"/>
      <c r="D347" s="9" t="s">
        <v>17</v>
      </c>
      <c r="E347" s="9" t="str">
        <f t="shared" si="95"/>
        <v>historical</v>
      </c>
      <c r="F347" s="8">
        <v>350</v>
      </c>
      <c r="G347" s="8" t="s">
        <v>18</v>
      </c>
      <c r="H347" s="8">
        <v>1</v>
      </c>
      <c r="I347" s="18">
        <v>6.8499999999999995E-4</v>
      </c>
      <c r="J347" s="8">
        <v>14</v>
      </c>
      <c r="K347" s="8" t="s">
        <v>168</v>
      </c>
      <c r="L347" s="8">
        <v>1</v>
      </c>
      <c r="M347" s="8"/>
      <c r="N347" s="8">
        <v>1</v>
      </c>
      <c r="O347" s="10" t="s">
        <v>21</v>
      </c>
      <c r="P347" s="17" t="s">
        <v>59</v>
      </c>
      <c r="Q347" s="10" t="str">
        <f t="shared" si="96"/>
        <v>ICHEC-EC-EARTH_Cluster14_repl1.sqlite</v>
      </c>
      <c r="R347" s="11">
        <f t="shared" si="97"/>
        <v>1</v>
      </c>
      <c r="S347" s="11">
        <v>0</v>
      </c>
      <c r="T347" s="16" t="str">
        <f t="shared" si="98"/>
        <v>climate_db_ICHEC-EC-EARTH_historical_v4.sqlite</v>
      </c>
      <c r="U347" s="16" t="str">
        <f t="shared" si="99"/>
        <v>log/ICHEC-EC-EARTH_Cluster14_repl1.txt</v>
      </c>
      <c r="V347" s="16" t="str">
        <f t="shared" si="100"/>
        <v>init/env_file_CLUSTER14_REPL1_ICHEC-EC-EARTH_historical.csv</v>
      </c>
      <c r="W347" s="16" t="str">
        <f t="shared" si="101"/>
        <v>init/env_grid_CLUSTER14_REPL1.asc</v>
      </c>
      <c r="X347" s="16" t="str">
        <f t="shared" si="102"/>
        <v>init/env_grid_CLUSTER14_REPL1.asc</v>
      </c>
      <c r="Y347" s="16" t="str">
        <f t="shared" si="103"/>
        <v>trees_CLUSTER14.csv</v>
      </c>
      <c r="Z347" s="16" t="str">
        <f t="shared" si="104"/>
        <v>saplings_CLUSTER14.csv</v>
      </c>
      <c r="AA347" s="16">
        <f t="shared" si="105"/>
        <v>350</v>
      </c>
      <c r="AB347" s="16" t="str">
        <f t="shared" si="106"/>
        <v>abe/no_mgmt.csv</v>
      </c>
      <c r="AC347" s="16" t="str">
        <f t="shared" si="107"/>
        <v>gis/WindModifier_cl14.asc</v>
      </c>
      <c r="AD347" s="16">
        <f t="shared" si="117"/>
        <v>6.8499999999999995E-4</v>
      </c>
      <c r="AE347" s="16" t="str">
        <f t="shared" si="110"/>
        <v>ICHEC-EC-EARTH_historical_point34874</v>
      </c>
      <c r="AF347" s="16" t="str">
        <f t="shared" si="118"/>
        <v>wind_Events/cl14_repl1.txt</v>
      </c>
      <c r="AG347" s="16" t="str">
        <f t="shared" si="119"/>
        <v>ICHEC-EC-EARTH_Cluster14_repl1</v>
      </c>
      <c r="AH347" s="16" t="s">
        <v>298</v>
      </c>
      <c r="AI347" s="16" t="s">
        <v>299</v>
      </c>
    </row>
    <row r="348" spans="1:35" ht="15.75" customHeight="1">
      <c r="A348" s="7" t="str">
        <f t="shared" si="94"/>
        <v>MPI-M-MPI-ESM-LR_Cluster14_repl1</v>
      </c>
      <c r="B348" s="8" t="s">
        <v>16</v>
      </c>
      <c r="C348" s="8"/>
      <c r="D348" s="9" t="s">
        <v>17</v>
      </c>
      <c r="E348" s="9" t="str">
        <f t="shared" si="95"/>
        <v>historical</v>
      </c>
      <c r="F348" s="8">
        <v>350</v>
      </c>
      <c r="G348" s="8" t="s">
        <v>63</v>
      </c>
      <c r="H348" s="8">
        <v>2</v>
      </c>
      <c r="I348" s="18">
        <v>6.8499999999999995E-4</v>
      </c>
      <c r="J348" s="8">
        <v>14</v>
      </c>
      <c r="K348" s="8" t="s">
        <v>173</v>
      </c>
      <c r="L348" s="8">
        <v>1</v>
      </c>
      <c r="M348" s="8"/>
      <c r="N348" s="8">
        <v>1</v>
      </c>
      <c r="O348" s="10" t="s">
        <v>21</v>
      </c>
      <c r="P348" s="17" t="s">
        <v>59</v>
      </c>
      <c r="Q348" s="10" t="str">
        <f t="shared" si="96"/>
        <v>MPI-M-MPI-ESM-LR_Cluster14_repl1.sqlite</v>
      </c>
      <c r="R348" s="11">
        <f t="shared" si="97"/>
        <v>2</v>
      </c>
      <c r="S348" s="11">
        <v>0</v>
      </c>
      <c r="T348" s="16" t="str">
        <f t="shared" si="98"/>
        <v>climate_db_MPI-M-MPI-ESM-LR_historical_v4.sqlite</v>
      </c>
      <c r="U348" s="16" t="str">
        <f t="shared" si="99"/>
        <v>log/MPI-M-MPI-ESM-LR_Cluster14_repl1.txt</v>
      </c>
      <c r="V348" s="16" t="str">
        <f t="shared" si="100"/>
        <v>init/env_file_CLUSTER14_REPL1_MPI-M-MPI-ESM-LR_historical.csv</v>
      </c>
      <c r="W348" s="16" t="str">
        <f t="shared" si="101"/>
        <v>init/env_grid_CLUSTER14_REPL1.asc</v>
      </c>
      <c r="X348" s="16" t="str">
        <f t="shared" si="102"/>
        <v>init/env_grid_CLUSTER14_REPL1.asc</v>
      </c>
      <c r="Y348" s="16" t="str">
        <f t="shared" si="103"/>
        <v>trees_CLUSTER14.csv</v>
      </c>
      <c r="Z348" s="16" t="str">
        <f t="shared" si="104"/>
        <v>saplings_CLUSTER14.csv</v>
      </c>
      <c r="AA348" s="16">
        <f t="shared" si="105"/>
        <v>350</v>
      </c>
      <c r="AB348" s="16" t="str">
        <f t="shared" si="106"/>
        <v>abe/no_mgmt.csv</v>
      </c>
      <c r="AC348" s="16" t="str">
        <f t="shared" si="107"/>
        <v>gis/WindModifier_cl14.asc</v>
      </c>
      <c r="AD348" s="16">
        <f t="shared" si="117"/>
        <v>6.8499999999999995E-4</v>
      </c>
      <c r="AE348" s="16" t="str">
        <f t="shared" si="110"/>
        <v>MPI-M-MPI-ESM-LR_historical_point36494</v>
      </c>
      <c r="AF348" s="16" t="str">
        <f t="shared" si="118"/>
        <v>wind_Events/cl14_repl1.txt</v>
      </c>
      <c r="AG348" s="16" t="str">
        <f t="shared" si="119"/>
        <v>MPI-M-MPI-ESM-LR_Cluster14_repl1</v>
      </c>
      <c r="AH348" s="16" t="s">
        <v>300</v>
      </c>
      <c r="AI348" s="16" t="s">
        <v>301</v>
      </c>
    </row>
    <row r="349" spans="1:35" ht="15.75" customHeight="1">
      <c r="A349" s="7" t="str">
        <f t="shared" si="94"/>
        <v>NCC-NorESM1-M_Cluster14_repl1</v>
      </c>
      <c r="B349" s="8" t="s">
        <v>16</v>
      </c>
      <c r="C349" s="8"/>
      <c r="D349" s="9" t="s">
        <v>17</v>
      </c>
      <c r="E349" s="9" t="str">
        <f t="shared" si="95"/>
        <v>historical</v>
      </c>
      <c r="F349" s="8">
        <v>350</v>
      </c>
      <c r="G349" s="8" t="s">
        <v>60</v>
      </c>
      <c r="H349" s="8">
        <v>3</v>
      </c>
      <c r="I349" s="18">
        <v>6.8499999999999995E-4</v>
      </c>
      <c r="J349" s="8">
        <v>14</v>
      </c>
      <c r="K349" s="8" t="s">
        <v>180</v>
      </c>
      <c r="L349" s="8">
        <v>1</v>
      </c>
      <c r="M349" s="8"/>
      <c r="N349" s="8">
        <v>1</v>
      </c>
      <c r="O349" s="10" t="s">
        <v>21</v>
      </c>
      <c r="P349" s="17" t="s">
        <v>59</v>
      </c>
      <c r="Q349" s="10" t="str">
        <f t="shared" si="96"/>
        <v>NCC-NorESM1-M_Cluster14_repl1.sqlite</v>
      </c>
      <c r="R349" s="11">
        <f t="shared" si="97"/>
        <v>3</v>
      </c>
      <c r="S349" s="11">
        <v>0</v>
      </c>
      <c r="T349" s="16" t="str">
        <f t="shared" si="98"/>
        <v>climate_db_NCC-NorESM1-M_historical_v4.sqlite</v>
      </c>
      <c r="U349" s="16" t="str">
        <f t="shared" si="99"/>
        <v>log/NCC-NorESM1-M_Cluster14_repl1.txt</v>
      </c>
      <c r="V349" s="16" t="str">
        <f t="shared" si="100"/>
        <v>init/env_file_CLUSTER14_REPL1_NCC-NorESM1-M_historical.csv</v>
      </c>
      <c r="W349" s="16" t="str">
        <f t="shared" si="101"/>
        <v>init/env_grid_CLUSTER14_REPL1.asc</v>
      </c>
      <c r="X349" s="16" t="str">
        <f t="shared" si="102"/>
        <v>init/env_grid_CLUSTER14_REPL1.asc</v>
      </c>
      <c r="Y349" s="16" t="str">
        <f t="shared" si="103"/>
        <v>trees_CLUSTER14.csv</v>
      </c>
      <c r="Z349" s="16" t="str">
        <f t="shared" si="104"/>
        <v>saplings_CLUSTER14.csv</v>
      </c>
      <c r="AA349" s="16">
        <f t="shared" si="105"/>
        <v>350</v>
      </c>
      <c r="AB349" s="16" t="str">
        <f t="shared" si="106"/>
        <v>abe/no_mgmt.csv</v>
      </c>
      <c r="AC349" s="16" t="str">
        <f t="shared" si="107"/>
        <v>gis/WindModifier_cl14.asc</v>
      </c>
      <c r="AD349" s="16">
        <f t="shared" si="117"/>
        <v>6.8499999999999995E-4</v>
      </c>
      <c r="AE349" s="16" t="str">
        <f t="shared" si="110"/>
        <v>NCC-NorESM1-M_historical_point34873</v>
      </c>
      <c r="AF349" s="16" t="str">
        <f t="shared" si="118"/>
        <v>wind_Events/cl14_repl1.txt</v>
      </c>
      <c r="AG349" s="16" t="str">
        <f t="shared" si="119"/>
        <v>NCC-NorESM1-M_Cluster14_repl1</v>
      </c>
      <c r="AH349" s="16" t="s">
        <v>302</v>
      </c>
      <c r="AI349" s="16" t="s">
        <v>303</v>
      </c>
    </row>
    <row r="350" spans="1:35" ht="15.75" customHeight="1">
      <c r="A350" s="7" t="str">
        <f t="shared" si="94"/>
        <v>ICHEC-EC-EARTH_Cluster14_repl2</v>
      </c>
      <c r="B350" s="8" t="s">
        <v>16</v>
      </c>
      <c r="C350" s="8"/>
      <c r="D350" s="9" t="s">
        <v>17</v>
      </c>
      <c r="E350" s="9" t="str">
        <f t="shared" si="95"/>
        <v>historical</v>
      </c>
      <c r="F350" s="8">
        <v>350</v>
      </c>
      <c r="G350" s="8" t="s">
        <v>18</v>
      </c>
      <c r="H350" s="8">
        <v>1</v>
      </c>
      <c r="I350" s="18">
        <v>6.8499999999999995E-4</v>
      </c>
      <c r="J350" s="8">
        <v>14</v>
      </c>
      <c r="K350" s="8" t="s">
        <v>168</v>
      </c>
      <c r="L350" s="8">
        <v>2</v>
      </c>
      <c r="M350" s="8"/>
      <c r="N350" s="8">
        <v>1</v>
      </c>
      <c r="O350" s="10" t="s">
        <v>21</v>
      </c>
      <c r="P350" s="17" t="s">
        <v>59</v>
      </c>
      <c r="Q350" s="10" t="str">
        <f t="shared" si="96"/>
        <v>ICHEC-EC-EARTH_Cluster14_repl2.sqlite</v>
      </c>
      <c r="R350" s="11">
        <f t="shared" si="97"/>
        <v>4</v>
      </c>
      <c r="S350" s="11">
        <v>0</v>
      </c>
      <c r="T350" s="16" t="str">
        <f t="shared" si="98"/>
        <v>climate_db_ICHEC-EC-EARTH_historical_v4.sqlite</v>
      </c>
      <c r="U350" s="16" t="str">
        <f t="shared" si="99"/>
        <v>log/ICHEC-EC-EARTH_Cluster14_repl2.txt</v>
      </c>
      <c r="V350" s="16" t="str">
        <f t="shared" si="100"/>
        <v>init/env_file_CLUSTER14_REPL2_ICHEC-EC-EARTH_historical.csv</v>
      </c>
      <c r="W350" s="16" t="str">
        <f t="shared" si="101"/>
        <v>init/env_grid_CLUSTER14_REPL2.asc</v>
      </c>
      <c r="X350" s="16" t="str">
        <f t="shared" si="102"/>
        <v>init/env_grid_CLUSTER14_REPL2.asc</v>
      </c>
      <c r="Y350" s="16" t="str">
        <f t="shared" si="103"/>
        <v>trees_CLUSTER14.csv</v>
      </c>
      <c r="Z350" s="16" t="str">
        <f t="shared" si="104"/>
        <v>saplings_CLUSTER14.csv</v>
      </c>
      <c r="AA350" s="16">
        <f t="shared" si="105"/>
        <v>350</v>
      </c>
      <c r="AB350" s="16" t="str">
        <f t="shared" si="106"/>
        <v>abe/no_mgmt.csv</v>
      </c>
      <c r="AC350" s="16" t="str">
        <f t="shared" si="107"/>
        <v>gis/WindModifier_cl14.asc</v>
      </c>
      <c r="AD350" s="16">
        <f t="shared" si="117"/>
        <v>6.8499999999999995E-4</v>
      </c>
      <c r="AE350" s="16" t="str">
        <f t="shared" si="110"/>
        <v>ICHEC-EC-EARTH_historical_point34874</v>
      </c>
      <c r="AF350" s="16" t="str">
        <f t="shared" si="118"/>
        <v>wind_Events/cl14_repl2.txt</v>
      </c>
      <c r="AG350" s="16" t="str">
        <f t="shared" si="119"/>
        <v>ICHEC-EC-EARTH_Cluster14_repl2</v>
      </c>
      <c r="AH350" s="16" t="s">
        <v>304</v>
      </c>
      <c r="AI350" s="16" t="s">
        <v>305</v>
      </c>
    </row>
    <row r="351" spans="1:35" ht="15.75" customHeight="1">
      <c r="A351" s="7" t="str">
        <f t="shared" si="94"/>
        <v>MPI-M-MPI-ESM-LR_Cluster14_repl2</v>
      </c>
      <c r="B351" s="8" t="s">
        <v>16</v>
      </c>
      <c r="C351" s="8"/>
      <c r="D351" s="9" t="s">
        <v>17</v>
      </c>
      <c r="E351" s="9" t="str">
        <f t="shared" si="95"/>
        <v>historical</v>
      </c>
      <c r="F351" s="8">
        <v>350</v>
      </c>
      <c r="G351" s="8" t="s">
        <v>63</v>
      </c>
      <c r="H351" s="8">
        <v>2</v>
      </c>
      <c r="I351" s="18">
        <v>6.8499999999999995E-4</v>
      </c>
      <c r="J351" s="8">
        <v>14</v>
      </c>
      <c r="K351" s="8" t="s">
        <v>173</v>
      </c>
      <c r="L351" s="8">
        <v>2</v>
      </c>
      <c r="M351" s="8"/>
      <c r="N351" s="8">
        <v>1</v>
      </c>
      <c r="O351" s="10" t="s">
        <v>21</v>
      </c>
      <c r="P351" s="17" t="s">
        <v>59</v>
      </c>
      <c r="Q351" s="10" t="str">
        <f t="shared" si="96"/>
        <v>MPI-M-MPI-ESM-LR_Cluster14_repl2.sqlite</v>
      </c>
      <c r="R351" s="11">
        <f t="shared" si="97"/>
        <v>5</v>
      </c>
      <c r="S351" s="11">
        <v>0</v>
      </c>
      <c r="T351" s="16" t="str">
        <f t="shared" si="98"/>
        <v>climate_db_MPI-M-MPI-ESM-LR_historical_v4.sqlite</v>
      </c>
      <c r="U351" s="16" t="str">
        <f t="shared" si="99"/>
        <v>log/MPI-M-MPI-ESM-LR_Cluster14_repl2.txt</v>
      </c>
      <c r="V351" s="16" t="str">
        <f t="shared" si="100"/>
        <v>init/env_file_CLUSTER14_REPL2_MPI-M-MPI-ESM-LR_historical.csv</v>
      </c>
      <c r="W351" s="16" t="str">
        <f t="shared" si="101"/>
        <v>init/env_grid_CLUSTER14_REPL2.asc</v>
      </c>
      <c r="X351" s="16" t="str">
        <f t="shared" si="102"/>
        <v>init/env_grid_CLUSTER14_REPL2.asc</v>
      </c>
      <c r="Y351" s="16" t="str">
        <f t="shared" si="103"/>
        <v>trees_CLUSTER14.csv</v>
      </c>
      <c r="Z351" s="16" t="str">
        <f t="shared" si="104"/>
        <v>saplings_CLUSTER14.csv</v>
      </c>
      <c r="AA351" s="16">
        <f t="shared" si="105"/>
        <v>350</v>
      </c>
      <c r="AB351" s="16" t="str">
        <f t="shared" si="106"/>
        <v>abe/no_mgmt.csv</v>
      </c>
      <c r="AC351" s="16" t="str">
        <f t="shared" si="107"/>
        <v>gis/WindModifier_cl14.asc</v>
      </c>
      <c r="AD351" s="16">
        <f t="shared" si="117"/>
        <v>6.8499999999999995E-4</v>
      </c>
      <c r="AE351" s="16" t="str">
        <f t="shared" si="110"/>
        <v>MPI-M-MPI-ESM-LR_historical_point36494</v>
      </c>
      <c r="AF351" s="16" t="str">
        <f t="shared" si="118"/>
        <v>wind_Events/cl14_repl2.txt</v>
      </c>
      <c r="AG351" s="16" t="str">
        <f t="shared" si="119"/>
        <v>MPI-M-MPI-ESM-LR_Cluster14_repl2</v>
      </c>
      <c r="AH351" s="16" t="s">
        <v>306</v>
      </c>
      <c r="AI351" s="16" t="s">
        <v>307</v>
      </c>
    </row>
    <row r="352" spans="1:35" ht="15.75" customHeight="1">
      <c r="A352" s="7" t="str">
        <f t="shared" si="94"/>
        <v>NCC-NorESM1-M_Cluster14_repl2</v>
      </c>
      <c r="B352" s="8" t="s">
        <v>16</v>
      </c>
      <c r="C352" s="8"/>
      <c r="D352" s="9" t="s">
        <v>17</v>
      </c>
      <c r="E352" s="9" t="str">
        <f t="shared" si="95"/>
        <v>historical</v>
      </c>
      <c r="F352" s="8">
        <v>350</v>
      </c>
      <c r="G352" s="8" t="s">
        <v>60</v>
      </c>
      <c r="H352" s="8">
        <v>3</v>
      </c>
      <c r="I352" s="18">
        <v>6.8499999999999995E-4</v>
      </c>
      <c r="J352" s="8">
        <v>14</v>
      </c>
      <c r="K352" s="8" t="s">
        <v>180</v>
      </c>
      <c r="L352" s="8">
        <v>2</v>
      </c>
      <c r="M352" s="8"/>
      <c r="N352" s="8">
        <v>1</v>
      </c>
      <c r="O352" s="10" t="s">
        <v>21</v>
      </c>
      <c r="P352" s="17" t="s">
        <v>59</v>
      </c>
      <c r="Q352" s="10" t="str">
        <f t="shared" si="96"/>
        <v>NCC-NorESM1-M_Cluster14_repl2.sqlite</v>
      </c>
      <c r="R352" s="11">
        <f t="shared" si="97"/>
        <v>6</v>
      </c>
      <c r="S352" s="11">
        <v>0</v>
      </c>
      <c r="T352" s="16" t="str">
        <f t="shared" si="98"/>
        <v>climate_db_NCC-NorESM1-M_historical_v4.sqlite</v>
      </c>
      <c r="U352" s="16" t="str">
        <f t="shared" si="99"/>
        <v>log/NCC-NorESM1-M_Cluster14_repl2.txt</v>
      </c>
      <c r="V352" s="16" t="str">
        <f t="shared" si="100"/>
        <v>init/env_file_CLUSTER14_REPL2_NCC-NorESM1-M_historical.csv</v>
      </c>
      <c r="W352" s="16" t="str">
        <f t="shared" si="101"/>
        <v>init/env_grid_CLUSTER14_REPL2.asc</v>
      </c>
      <c r="X352" s="16" t="str">
        <f t="shared" si="102"/>
        <v>init/env_grid_CLUSTER14_REPL2.asc</v>
      </c>
      <c r="Y352" s="16" t="str">
        <f t="shared" si="103"/>
        <v>trees_CLUSTER14.csv</v>
      </c>
      <c r="Z352" s="16" t="str">
        <f t="shared" si="104"/>
        <v>saplings_CLUSTER14.csv</v>
      </c>
      <c r="AA352" s="16">
        <f t="shared" si="105"/>
        <v>350</v>
      </c>
      <c r="AB352" s="16" t="str">
        <f t="shared" si="106"/>
        <v>abe/no_mgmt.csv</v>
      </c>
      <c r="AC352" s="16" t="str">
        <f t="shared" si="107"/>
        <v>gis/WindModifier_cl14.asc</v>
      </c>
      <c r="AD352" s="16">
        <f t="shared" si="117"/>
        <v>6.8499999999999995E-4</v>
      </c>
      <c r="AE352" s="16" t="str">
        <f t="shared" si="110"/>
        <v>NCC-NorESM1-M_historical_point34873</v>
      </c>
      <c r="AF352" s="16" t="str">
        <f t="shared" si="118"/>
        <v>wind_Events/cl14_repl2.txt</v>
      </c>
      <c r="AG352" s="16" t="str">
        <f t="shared" si="119"/>
        <v>NCC-NorESM1-M_Cluster14_repl2</v>
      </c>
      <c r="AH352" s="16" t="s">
        <v>308</v>
      </c>
      <c r="AI352" s="16" t="s">
        <v>309</v>
      </c>
    </row>
    <row r="353" spans="1:35" ht="15.75" customHeight="1">
      <c r="A353" s="7" t="str">
        <f t="shared" si="94"/>
        <v>ICHEC-EC-EARTH_Cluster14_repl3</v>
      </c>
      <c r="B353" s="8" t="s">
        <v>16</v>
      </c>
      <c r="C353" s="8"/>
      <c r="D353" s="9" t="s">
        <v>17</v>
      </c>
      <c r="E353" s="9" t="str">
        <f t="shared" si="95"/>
        <v>historical</v>
      </c>
      <c r="F353" s="8">
        <v>350</v>
      </c>
      <c r="G353" s="8" t="s">
        <v>18</v>
      </c>
      <c r="H353" s="8">
        <v>1</v>
      </c>
      <c r="I353" s="18">
        <v>6.8499999999999995E-4</v>
      </c>
      <c r="J353" s="8">
        <v>14</v>
      </c>
      <c r="K353" s="8" t="s">
        <v>168</v>
      </c>
      <c r="L353" s="8">
        <v>3</v>
      </c>
      <c r="M353" s="8"/>
      <c r="N353" s="8">
        <v>1</v>
      </c>
      <c r="O353" s="10" t="s">
        <v>21</v>
      </c>
      <c r="P353" s="17" t="s">
        <v>59</v>
      </c>
      <c r="Q353" s="10" t="str">
        <f t="shared" si="96"/>
        <v>ICHEC-EC-EARTH_Cluster14_repl3.sqlite</v>
      </c>
      <c r="R353" s="11">
        <f t="shared" si="97"/>
        <v>7</v>
      </c>
      <c r="S353" s="11">
        <v>0</v>
      </c>
      <c r="T353" s="16" t="str">
        <f t="shared" si="98"/>
        <v>climate_db_ICHEC-EC-EARTH_historical_v4.sqlite</v>
      </c>
      <c r="U353" s="16" t="str">
        <f t="shared" si="99"/>
        <v>log/ICHEC-EC-EARTH_Cluster14_repl3.txt</v>
      </c>
      <c r="V353" s="16" t="str">
        <f t="shared" si="100"/>
        <v>init/env_file_CLUSTER14_REPL3_ICHEC-EC-EARTH_historical.csv</v>
      </c>
      <c r="W353" s="16" t="str">
        <f t="shared" si="101"/>
        <v>init/env_grid_CLUSTER14_REPL3.asc</v>
      </c>
      <c r="X353" s="16" t="str">
        <f t="shared" si="102"/>
        <v>init/env_grid_CLUSTER14_REPL3.asc</v>
      </c>
      <c r="Y353" s="16" t="str">
        <f t="shared" si="103"/>
        <v>trees_CLUSTER14.csv</v>
      </c>
      <c r="Z353" s="16" t="str">
        <f t="shared" si="104"/>
        <v>saplings_CLUSTER14.csv</v>
      </c>
      <c r="AA353" s="16">
        <f t="shared" si="105"/>
        <v>350</v>
      </c>
      <c r="AB353" s="16" t="str">
        <f t="shared" si="106"/>
        <v>abe/no_mgmt.csv</v>
      </c>
      <c r="AC353" s="16" t="str">
        <f t="shared" si="107"/>
        <v>gis/WindModifier_cl14.asc</v>
      </c>
      <c r="AD353" s="16">
        <f t="shared" si="117"/>
        <v>6.8499999999999995E-4</v>
      </c>
      <c r="AE353" s="16" t="str">
        <f t="shared" si="110"/>
        <v>ICHEC-EC-EARTH_historical_point34874</v>
      </c>
      <c r="AF353" s="16" t="str">
        <f t="shared" si="118"/>
        <v>wind_Events/cl14_repl3.txt</v>
      </c>
      <c r="AG353" s="16" t="str">
        <f t="shared" si="119"/>
        <v>ICHEC-EC-EARTH_Cluster14_repl3</v>
      </c>
      <c r="AH353" s="16" t="s">
        <v>310</v>
      </c>
      <c r="AI353" s="16" t="s">
        <v>311</v>
      </c>
    </row>
    <row r="354" spans="1:35" ht="15.75" customHeight="1">
      <c r="A354" s="7" t="str">
        <f t="shared" si="94"/>
        <v>MPI-M-MPI-ESM-LR_Cluster14_repl3</v>
      </c>
      <c r="B354" s="8" t="s">
        <v>16</v>
      </c>
      <c r="C354" s="8"/>
      <c r="D354" s="9" t="s">
        <v>17</v>
      </c>
      <c r="E354" s="9" t="str">
        <f t="shared" si="95"/>
        <v>historical</v>
      </c>
      <c r="F354" s="8">
        <v>350</v>
      </c>
      <c r="G354" s="8" t="s">
        <v>63</v>
      </c>
      <c r="H354" s="8">
        <v>2</v>
      </c>
      <c r="I354" s="18">
        <v>6.8499999999999995E-4</v>
      </c>
      <c r="J354" s="8">
        <v>14</v>
      </c>
      <c r="K354" s="8" t="s">
        <v>173</v>
      </c>
      <c r="L354" s="8">
        <v>3</v>
      </c>
      <c r="M354" s="8"/>
      <c r="N354" s="8">
        <v>1</v>
      </c>
      <c r="O354" s="10" t="s">
        <v>21</v>
      </c>
      <c r="P354" s="17" t="s">
        <v>59</v>
      </c>
      <c r="Q354" s="10" t="str">
        <f t="shared" si="96"/>
        <v>MPI-M-MPI-ESM-LR_Cluster14_repl3.sqlite</v>
      </c>
      <c r="R354" s="11">
        <f t="shared" si="97"/>
        <v>8</v>
      </c>
      <c r="S354" s="11">
        <v>0</v>
      </c>
      <c r="T354" s="16" t="str">
        <f t="shared" si="98"/>
        <v>climate_db_MPI-M-MPI-ESM-LR_historical_v4.sqlite</v>
      </c>
      <c r="U354" s="16" t="str">
        <f t="shared" si="99"/>
        <v>log/MPI-M-MPI-ESM-LR_Cluster14_repl3.txt</v>
      </c>
      <c r="V354" s="16" t="str">
        <f t="shared" si="100"/>
        <v>init/env_file_CLUSTER14_REPL3_MPI-M-MPI-ESM-LR_historical.csv</v>
      </c>
      <c r="W354" s="16" t="str">
        <f t="shared" si="101"/>
        <v>init/env_grid_CLUSTER14_REPL3.asc</v>
      </c>
      <c r="X354" s="16" t="str">
        <f t="shared" si="102"/>
        <v>init/env_grid_CLUSTER14_REPL3.asc</v>
      </c>
      <c r="Y354" s="16" t="str">
        <f t="shared" si="103"/>
        <v>trees_CLUSTER14.csv</v>
      </c>
      <c r="Z354" s="16" t="str">
        <f t="shared" si="104"/>
        <v>saplings_CLUSTER14.csv</v>
      </c>
      <c r="AA354" s="16">
        <f t="shared" si="105"/>
        <v>350</v>
      </c>
      <c r="AB354" s="16" t="str">
        <f t="shared" si="106"/>
        <v>abe/no_mgmt.csv</v>
      </c>
      <c r="AC354" s="16" t="str">
        <f t="shared" si="107"/>
        <v>gis/WindModifier_cl14.asc</v>
      </c>
      <c r="AD354" s="16">
        <f t="shared" si="117"/>
        <v>6.8499999999999995E-4</v>
      </c>
      <c r="AE354" s="16" t="str">
        <f t="shared" si="110"/>
        <v>MPI-M-MPI-ESM-LR_historical_point36494</v>
      </c>
      <c r="AF354" s="16" t="str">
        <f t="shared" si="118"/>
        <v>wind_Events/cl14_repl3.txt</v>
      </c>
      <c r="AG354" s="16" t="str">
        <f t="shared" si="119"/>
        <v>MPI-M-MPI-ESM-LR_Cluster14_repl3</v>
      </c>
      <c r="AH354" s="16" t="s">
        <v>312</v>
      </c>
      <c r="AI354" s="16" t="s">
        <v>313</v>
      </c>
    </row>
    <row r="355" spans="1:35" ht="15.75" customHeight="1">
      <c r="A355" s="7" t="str">
        <f t="shared" si="94"/>
        <v>NCC-NorESM1-M_Cluster14_repl3</v>
      </c>
      <c r="B355" s="8" t="s">
        <v>16</v>
      </c>
      <c r="C355" s="8"/>
      <c r="D355" s="9" t="s">
        <v>17</v>
      </c>
      <c r="E355" s="9" t="str">
        <f t="shared" si="95"/>
        <v>historical</v>
      </c>
      <c r="F355" s="8">
        <v>350</v>
      </c>
      <c r="G355" s="8" t="s">
        <v>60</v>
      </c>
      <c r="H355" s="8">
        <v>3</v>
      </c>
      <c r="I355" s="18">
        <v>6.8499999999999995E-4</v>
      </c>
      <c r="J355" s="8">
        <v>14</v>
      </c>
      <c r="K355" s="8" t="s">
        <v>180</v>
      </c>
      <c r="L355" s="8">
        <v>3</v>
      </c>
      <c r="M355" s="8"/>
      <c r="N355" s="8">
        <v>1</v>
      </c>
      <c r="O355" s="10" t="s">
        <v>21</v>
      </c>
      <c r="P355" s="17" t="s">
        <v>59</v>
      </c>
      <c r="Q355" s="10" t="str">
        <f t="shared" si="96"/>
        <v>NCC-NorESM1-M_Cluster14_repl3.sqlite</v>
      </c>
      <c r="R355" s="11">
        <f t="shared" si="97"/>
        <v>9</v>
      </c>
      <c r="S355" s="11">
        <v>0</v>
      </c>
      <c r="T355" s="16" t="str">
        <f t="shared" si="98"/>
        <v>climate_db_NCC-NorESM1-M_historical_v4.sqlite</v>
      </c>
      <c r="U355" s="16" t="str">
        <f t="shared" si="99"/>
        <v>log/NCC-NorESM1-M_Cluster14_repl3.txt</v>
      </c>
      <c r="V355" s="16" t="str">
        <f t="shared" si="100"/>
        <v>init/env_file_CLUSTER14_REPL3_NCC-NorESM1-M_historical.csv</v>
      </c>
      <c r="W355" s="16" t="str">
        <f t="shared" si="101"/>
        <v>init/env_grid_CLUSTER14_REPL3.asc</v>
      </c>
      <c r="X355" s="16" t="str">
        <f t="shared" si="102"/>
        <v>init/env_grid_CLUSTER14_REPL3.asc</v>
      </c>
      <c r="Y355" s="16" t="str">
        <f t="shared" si="103"/>
        <v>trees_CLUSTER14.csv</v>
      </c>
      <c r="Z355" s="16" t="str">
        <f t="shared" si="104"/>
        <v>saplings_CLUSTER14.csv</v>
      </c>
      <c r="AA355" s="16">
        <f t="shared" si="105"/>
        <v>350</v>
      </c>
      <c r="AB355" s="16" t="str">
        <f t="shared" si="106"/>
        <v>abe/no_mgmt.csv</v>
      </c>
      <c r="AC355" s="16" t="str">
        <f t="shared" si="107"/>
        <v>gis/WindModifier_cl14.asc</v>
      </c>
      <c r="AD355" s="16">
        <f t="shared" si="117"/>
        <v>6.8499999999999995E-4</v>
      </c>
      <c r="AE355" s="16" t="str">
        <f t="shared" si="110"/>
        <v>NCC-NorESM1-M_historical_point34873</v>
      </c>
      <c r="AF355" s="16" t="str">
        <f t="shared" si="118"/>
        <v>wind_Events/cl14_repl3.txt</v>
      </c>
      <c r="AG355" s="16" t="str">
        <f t="shared" si="119"/>
        <v>NCC-NorESM1-M_Cluster14_repl3</v>
      </c>
      <c r="AH355" s="16" t="s">
        <v>314</v>
      </c>
      <c r="AI355" s="16" t="s">
        <v>315</v>
      </c>
    </row>
    <row r="356" spans="1:35" ht="15.75" customHeight="1">
      <c r="A356" s="7" t="str">
        <f t="shared" si="94"/>
        <v>ICHEC-EC-EARTH_Cluster14_repl4</v>
      </c>
      <c r="B356" s="8" t="s">
        <v>16</v>
      </c>
      <c r="C356" s="8"/>
      <c r="D356" s="9" t="s">
        <v>17</v>
      </c>
      <c r="E356" s="9" t="str">
        <f t="shared" si="95"/>
        <v>historical</v>
      </c>
      <c r="F356" s="8">
        <v>350</v>
      </c>
      <c r="G356" s="8" t="s">
        <v>18</v>
      </c>
      <c r="H356" s="8">
        <v>1</v>
      </c>
      <c r="I356" s="18">
        <v>6.8499999999999995E-4</v>
      </c>
      <c r="J356" s="8">
        <v>14</v>
      </c>
      <c r="K356" s="8" t="s">
        <v>168</v>
      </c>
      <c r="L356" s="8">
        <v>4</v>
      </c>
      <c r="M356" s="8"/>
      <c r="N356" s="8">
        <v>1</v>
      </c>
      <c r="O356" s="10" t="s">
        <v>21</v>
      </c>
      <c r="P356" s="17" t="s">
        <v>59</v>
      </c>
      <c r="Q356" s="10" t="str">
        <f t="shared" si="96"/>
        <v>ICHEC-EC-EARTH_Cluster14_repl4.sqlite</v>
      </c>
      <c r="R356" s="11">
        <f t="shared" si="97"/>
        <v>10</v>
      </c>
      <c r="S356" s="11">
        <v>0</v>
      </c>
      <c r="T356" s="16" t="str">
        <f t="shared" si="98"/>
        <v>climate_db_ICHEC-EC-EARTH_historical_v4.sqlite</v>
      </c>
      <c r="U356" s="16" t="str">
        <f t="shared" si="99"/>
        <v>log/ICHEC-EC-EARTH_Cluster14_repl4.txt</v>
      </c>
      <c r="V356" s="16" t="str">
        <f t="shared" si="100"/>
        <v>init/env_file_CLUSTER14_REPL4_ICHEC-EC-EARTH_historical.csv</v>
      </c>
      <c r="W356" s="16" t="str">
        <f t="shared" si="101"/>
        <v>init/env_grid_CLUSTER14_REPL4.asc</v>
      </c>
      <c r="X356" s="16" t="str">
        <f t="shared" si="102"/>
        <v>init/env_grid_CLUSTER14_REPL4.asc</v>
      </c>
      <c r="Y356" s="16" t="str">
        <f t="shared" si="103"/>
        <v>trees_CLUSTER14.csv</v>
      </c>
      <c r="Z356" s="16" t="str">
        <f t="shared" si="104"/>
        <v>saplings_CLUSTER14.csv</v>
      </c>
      <c r="AA356" s="16">
        <f t="shared" si="105"/>
        <v>350</v>
      </c>
      <c r="AB356" s="16" t="str">
        <f t="shared" si="106"/>
        <v>abe/no_mgmt.csv</v>
      </c>
      <c r="AC356" s="16" t="str">
        <f t="shared" si="107"/>
        <v>gis/WindModifier_cl14.asc</v>
      </c>
      <c r="AD356" s="16">
        <f t="shared" si="117"/>
        <v>6.8499999999999995E-4</v>
      </c>
      <c r="AE356" s="16" t="str">
        <f t="shared" si="110"/>
        <v>ICHEC-EC-EARTH_historical_point34874</v>
      </c>
      <c r="AF356" s="16" t="str">
        <f t="shared" si="118"/>
        <v>wind_Events/cl14_repl4.txt</v>
      </c>
      <c r="AG356" s="16" t="str">
        <f t="shared" si="119"/>
        <v>ICHEC-EC-EARTH_Cluster14_repl4</v>
      </c>
      <c r="AH356" s="16" t="s">
        <v>316</v>
      </c>
      <c r="AI356" s="16" t="s">
        <v>317</v>
      </c>
    </row>
    <row r="357" spans="1:35" ht="15.75" customHeight="1">
      <c r="A357" s="7" t="str">
        <f t="shared" si="94"/>
        <v>MPI-M-MPI-ESM-LR_Cluster14_repl4</v>
      </c>
      <c r="B357" s="8" t="s">
        <v>16</v>
      </c>
      <c r="C357" s="8"/>
      <c r="D357" s="9" t="s">
        <v>17</v>
      </c>
      <c r="E357" s="9" t="str">
        <f t="shared" si="95"/>
        <v>historical</v>
      </c>
      <c r="F357" s="8">
        <v>350</v>
      </c>
      <c r="G357" s="8" t="s">
        <v>63</v>
      </c>
      <c r="H357" s="8">
        <v>2</v>
      </c>
      <c r="I357" s="18">
        <v>6.8499999999999995E-4</v>
      </c>
      <c r="J357" s="8">
        <v>14</v>
      </c>
      <c r="K357" s="8" t="s">
        <v>173</v>
      </c>
      <c r="L357" s="8">
        <v>4</v>
      </c>
      <c r="M357" s="8"/>
      <c r="N357" s="8">
        <v>1</v>
      </c>
      <c r="O357" s="10" t="s">
        <v>21</v>
      </c>
      <c r="P357" s="17" t="s">
        <v>59</v>
      </c>
      <c r="Q357" s="10" t="str">
        <f t="shared" si="96"/>
        <v>MPI-M-MPI-ESM-LR_Cluster14_repl4.sqlite</v>
      </c>
      <c r="R357" s="11">
        <f t="shared" si="97"/>
        <v>11</v>
      </c>
      <c r="S357" s="11">
        <v>0</v>
      </c>
      <c r="T357" s="16" t="str">
        <f t="shared" si="98"/>
        <v>climate_db_MPI-M-MPI-ESM-LR_historical_v4.sqlite</v>
      </c>
      <c r="U357" s="16" t="str">
        <f t="shared" si="99"/>
        <v>log/MPI-M-MPI-ESM-LR_Cluster14_repl4.txt</v>
      </c>
      <c r="V357" s="16" t="str">
        <f t="shared" si="100"/>
        <v>init/env_file_CLUSTER14_REPL4_MPI-M-MPI-ESM-LR_historical.csv</v>
      </c>
      <c r="W357" s="16" t="str">
        <f t="shared" si="101"/>
        <v>init/env_grid_CLUSTER14_REPL4.asc</v>
      </c>
      <c r="X357" s="16" t="str">
        <f t="shared" si="102"/>
        <v>init/env_grid_CLUSTER14_REPL4.asc</v>
      </c>
      <c r="Y357" s="16" t="str">
        <f t="shared" si="103"/>
        <v>trees_CLUSTER14.csv</v>
      </c>
      <c r="Z357" s="16" t="str">
        <f t="shared" si="104"/>
        <v>saplings_CLUSTER14.csv</v>
      </c>
      <c r="AA357" s="16">
        <f t="shared" si="105"/>
        <v>350</v>
      </c>
      <c r="AB357" s="16" t="str">
        <f t="shared" si="106"/>
        <v>abe/no_mgmt.csv</v>
      </c>
      <c r="AC357" s="16" t="str">
        <f t="shared" si="107"/>
        <v>gis/WindModifier_cl14.asc</v>
      </c>
      <c r="AD357" s="16">
        <f t="shared" si="117"/>
        <v>6.8499999999999995E-4</v>
      </c>
      <c r="AE357" s="16" t="str">
        <f t="shared" si="110"/>
        <v>MPI-M-MPI-ESM-LR_historical_point36494</v>
      </c>
      <c r="AF357" s="16" t="str">
        <f t="shared" si="118"/>
        <v>wind_Events/cl14_repl4.txt</v>
      </c>
      <c r="AG357" s="16" t="str">
        <f t="shared" si="119"/>
        <v>MPI-M-MPI-ESM-LR_Cluster14_repl4</v>
      </c>
      <c r="AH357" s="16" t="s">
        <v>318</v>
      </c>
      <c r="AI357" s="16" t="s">
        <v>319</v>
      </c>
    </row>
    <row r="358" spans="1:35" ht="15.75" customHeight="1">
      <c r="A358" s="7" t="str">
        <f t="shared" si="94"/>
        <v>NCC-NorESM1-M_Cluster14_repl4</v>
      </c>
      <c r="B358" s="8" t="s">
        <v>16</v>
      </c>
      <c r="C358" s="8"/>
      <c r="D358" s="9" t="s">
        <v>17</v>
      </c>
      <c r="E358" s="9" t="str">
        <f t="shared" si="95"/>
        <v>historical</v>
      </c>
      <c r="F358" s="8">
        <v>350</v>
      </c>
      <c r="G358" s="8" t="s">
        <v>60</v>
      </c>
      <c r="H358" s="8">
        <v>3</v>
      </c>
      <c r="I358" s="18">
        <v>6.8499999999999995E-4</v>
      </c>
      <c r="J358" s="8">
        <v>14</v>
      </c>
      <c r="K358" s="8" t="s">
        <v>180</v>
      </c>
      <c r="L358" s="8">
        <v>4</v>
      </c>
      <c r="M358" s="8"/>
      <c r="N358" s="8">
        <v>1</v>
      </c>
      <c r="O358" s="10" t="s">
        <v>21</v>
      </c>
      <c r="P358" s="17" t="s">
        <v>59</v>
      </c>
      <c r="Q358" s="10" t="str">
        <f t="shared" si="96"/>
        <v>NCC-NorESM1-M_Cluster14_repl4.sqlite</v>
      </c>
      <c r="R358" s="11">
        <f t="shared" si="97"/>
        <v>12</v>
      </c>
      <c r="S358" s="11">
        <v>0</v>
      </c>
      <c r="T358" s="16" t="str">
        <f t="shared" si="98"/>
        <v>climate_db_NCC-NorESM1-M_historical_v4.sqlite</v>
      </c>
      <c r="U358" s="16" t="str">
        <f t="shared" si="99"/>
        <v>log/NCC-NorESM1-M_Cluster14_repl4.txt</v>
      </c>
      <c r="V358" s="16" t="str">
        <f t="shared" si="100"/>
        <v>init/env_file_CLUSTER14_REPL4_NCC-NorESM1-M_historical.csv</v>
      </c>
      <c r="W358" s="16" t="str">
        <f t="shared" si="101"/>
        <v>init/env_grid_CLUSTER14_REPL4.asc</v>
      </c>
      <c r="X358" s="16" t="str">
        <f t="shared" si="102"/>
        <v>init/env_grid_CLUSTER14_REPL4.asc</v>
      </c>
      <c r="Y358" s="16" t="str">
        <f t="shared" si="103"/>
        <v>trees_CLUSTER14.csv</v>
      </c>
      <c r="Z358" s="16" t="str">
        <f t="shared" si="104"/>
        <v>saplings_CLUSTER14.csv</v>
      </c>
      <c r="AA358" s="16">
        <f t="shared" si="105"/>
        <v>350</v>
      </c>
      <c r="AB358" s="16" t="str">
        <f t="shared" si="106"/>
        <v>abe/no_mgmt.csv</v>
      </c>
      <c r="AC358" s="16" t="str">
        <f t="shared" si="107"/>
        <v>gis/WindModifier_cl14.asc</v>
      </c>
      <c r="AD358" s="16">
        <f t="shared" si="117"/>
        <v>6.8499999999999995E-4</v>
      </c>
      <c r="AE358" s="16" t="str">
        <f t="shared" si="110"/>
        <v>NCC-NorESM1-M_historical_point34873</v>
      </c>
      <c r="AF358" s="16" t="str">
        <f t="shared" si="118"/>
        <v>wind_Events/cl14_repl4.txt</v>
      </c>
      <c r="AG358" s="16" t="str">
        <f t="shared" si="119"/>
        <v>NCC-NorESM1-M_Cluster14_repl4</v>
      </c>
      <c r="AH358" s="16" t="s">
        <v>320</v>
      </c>
      <c r="AI358" s="16" t="s">
        <v>321</v>
      </c>
    </row>
    <row r="359" spans="1:35" ht="15.75" customHeight="1">
      <c r="A359" s="7" t="str">
        <f t="shared" si="94"/>
        <v>ICHEC-EC-EARTH_Cluster14_repl5</v>
      </c>
      <c r="B359" s="8" t="s">
        <v>16</v>
      </c>
      <c r="C359" s="8"/>
      <c r="D359" s="9" t="s">
        <v>17</v>
      </c>
      <c r="E359" s="9" t="str">
        <f t="shared" si="95"/>
        <v>historical</v>
      </c>
      <c r="F359" s="8">
        <v>350</v>
      </c>
      <c r="G359" s="8" t="s">
        <v>18</v>
      </c>
      <c r="H359" s="8">
        <v>1</v>
      </c>
      <c r="I359" s="18">
        <v>6.8499999999999995E-4</v>
      </c>
      <c r="J359" s="8">
        <v>14</v>
      </c>
      <c r="K359" s="8" t="s">
        <v>168</v>
      </c>
      <c r="L359" s="8">
        <v>5</v>
      </c>
      <c r="M359" s="8"/>
      <c r="N359" s="8">
        <v>1</v>
      </c>
      <c r="O359" s="10" t="s">
        <v>21</v>
      </c>
      <c r="P359" s="17" t="s">
        <v>59</v>
      </c>
      <c r="Q359" s="10" t="str">
        <f t="shared" si="96"/>
        <v>ICHEC-EC-EARTH_Cluster14_repl5.sqlite</v>
      </c>
      <c r="R359" s="11">
        <f t="shared" si="97"/>
        <v>13</v>
      </c>
      <c r="S359" s="11">
        <v>0</v>
      </c>
      <c r="T359" s="16" t="str">
        <f t="shared" si="98"/>
        <v>climate_db_ICHEC-EC-EARTH_historical_v4.sqlite</v>
      </c>
      <c r="U359" s="16" t="str">
        <f t="shared" si="99"/>
        <v>log/ICHEC-EC-EARTH_Cluster14_repl5.txt</v>
      </c>
      <c r="V359" s="16" t="str">
        <f t="shared" si="100"/>
        <v>init/env_file_CLUSTER14_REPL5_ICHEC-EC-EARTH_historical.csv</v>
      </c>
      <c r="W359" s="16" t="str">
        <f t="shared" si="101"/>
        <v>init/env_grid_CLUSTER14_REPL5.asc</v>
      </c>
      <c r="X359" s="16" t="str">
        <f t="shared" si="102"/>
        <v>init/env_grid_CLUSTER14_REPL5.asc</v>
      </c>
      <c r="Y359" s="16" t="str">
        <f t="shared" si="103"/>
        <v>trees_CLUSTER14.csv</v>
      </c>
      <c r="Z359" s="16" t="str">
        <f t="shared" si="104"/>
        <v>saplings_CLUSTER14.csv</v>
      </c>
      <c r="AA359" s="16">
        <f t="shared" si="105"/>
        <v>350</v>
      </c>
      <c r="AB359" s="16" t="str">
        <f t="shared" si="106"/>
        <v>abe/no_mgmt.csv</v>
      </c>
      <c r="AC359" s="16" t="str">
        <f t="shared" si="107"/>
        <v>gis/WindModifier_cl14.asc</v>
      </c>
      <c r="AD359" s="16">
        <f t="shared" si="117"/>
        <v>6.8499999999999995E-4</v>
      </c>
      <c r="AE359" s="16" t="str">
        <f t="shared" si="110"/>
        <v>ICHEC-EC-EARTH_historical_point34874</v>
      </c>
      <c r="AF359" s="16" t="str">
        <f t="shared" si="118"/>
        <v>wind_Events/cl14_repl5.txt</v>
      </c>
      <c r="AG359" s="16" t="str">
        <f t="shared" si="119"/>
        <v>ICHEC-EC-EARTH_Cluster14_repl5</v>
      </c>
      <c r="AH359" s="16" t="s">
        <v>322</v>
      </c>
      <c r="AI359" s="16" t="s">
        <v>323</v>
      </c>
    </row>
    <row r="360" spans="1:35" ht="15.75" customHeight="1">
      <c r="A360" s="7" t="str">
        <f t="shared" si="94"/>
        <v>MPI-M-MPI-ESM-LR_Cluster14_repl5</v>
      </c>
      <c r="B360" s="8" t="s">
        <v>16</v>
      </c>
      <c r="C360" s="8"/>
      <c r="D360" s="9" t="s">
        <v>17</v>
      </c>
      <c r="E360" s="9" t="str">
        <f t="shared" si="95"/>
        <v>historical</v>
      </c>
      <c r="F360" s="8">
        <v>350</v>
      </c>
      <c r="G360" s="8" t="s">
        <v>63</v>
      </c>
      <c r="H360" s="8">
        <v>2</v>
      </c>
      <c r="I360" s="18">
        <v>6.8499999999999995E-4</v>
      </c>
      <c r="J360" s="8">
        <v>14</v>
      </c>
      <c r="K360" s="8" t="s">
        <v>173</v>
      </c>
      <c r="L360" s="8">
        <v>5</v>
      </c>
      <c r="M360" s="8"/>
      <c r="N360" s="8">
        <v>1</v>
      </c>
      <c r="O360" s="10" t="s">
        <v>21</v>
      </c>
      <c r="P360" s="17" t="s">
        <v>59</v>
      </c>
      <c r="Q360" s="10" t="str">
        <f t="shared" si="96"/>
        <v>MPI-M-MPI-ESM-LR_Cluster14_repl5.sqlite</v>
      </c>
      <c r="R360" s="11">
        <f t="shared" si="97"/>
        <v>14</v>
      </c>
      <c r="S360" s="11">
        <v>0</v>
      </c>
      <c r="T360" s="16" t="str">
        <f t="shared" si="98"/>
        <v>climate_db_MPI-M-MPI-ESM-LR_historical_v4.sqlite</v>
      </c>
      <c r="U360" s="16" t="str">
        <f t="shared" si="99"/>
        <v>log/MPI-M-MPI-ESM-LR_Cluster14_repl5.txt</v>
      </c>
      <c r="V360" s="16" t="str">
        <f t="shared" si="100"/>
        <v>init/env_file_CLUSTER14_REPL5_MPI-M-MPI-ESM-LR_historical.csv</v>
      </c>
      <c r="W360" s="16" t="str">
        <f t="shared" si="101"/>
        <v>init/env_grid_CLUSTER14_REPL5.asc</v>
      </c>
      <c r="X360" s="16" t="str">
        <f t="shared" si="102"/>
        <v>init/env_grid_CLUSTER14_REPL5.asc</v>
      </c>
      <c r="Y360" s="16" t="str">
        <f t="shared" si="103"/>
        <v>trees_CLUSTER14.csv</v>
      </c>
      <c r="Z360" s="16" t="str">
        <f t="shared" si="104"/>
        <v>saplings_CLUSTER14.csv</v>
      </c>
      <c r="AA360" s="16">
        <f t="shared" si="105"/>
        <v>350</v>
      </c>
      <c r="AB360" s="16" t="str">
        <f t="shared" si="106"/>
        <v>abe/no_mgmt.csv</v>
      </c>
      <c r="AC360" s="16" t="str">
        <f t="shared" si="107"/>
        <v>gis/WindModifier_cl14.asc</v>
      </c>
      <c r="AD360" s="16">
        <f t="shared" si="117"/>
        <v>6.8499999999999995E-4</v>
      </c>
      <c r="AE360" s="16" t="str">
        <f t="shared" si="110"/>
        <v>MPI-M-MPI-ESM-LR_historical_point36494</v>
      </c>
      <c r="AF360" s="16" t="str">
        <f t="shared" si="118"/>
        <v>wind_Events/cl14_repl5.txt</v>
      </c>
      <c r="AG360" s="16" t="str">
        <f t="shared" si="119"/>
        <v>MPI-M-MPI-ESM-LR_Cluster14_repl5</v>
      </c>
      <c r="AH360" s="16" t="s">
        <v>324</v>
      </c>
      <c r="AI360" s="16" t="s">
        <v>325</v>
      </c>
    </row>
    <row r="361" spans="1:35" ht="15.75" customHeight="1">
      <c r="A361" s="7" t="str">
        <f t="shared" si="94"/>
        <v>NCC-NorESM1-M_Cluster14_repl5</v>
      </c>
      <c r="B361" s="8" t="s">
        <v>16</v>
      </c>
      <c r="C361" s="8"/>
      <c r="D361" s="9" t="s">
        <v>17</v>
      </c>
      <c r="E361" s="9" t="str">
        <f t="shared" si="95"/>
        <v>historical</v>
      </c>
      <c r="F361" s="8">
        <v>350</v>
      </c>
      <c r="G361" s="8" t="s">
        <v>60</v>
      </c>
      <c r="H361" s="8">
        <v>3</v>
      </c>
      <c r="I361" s="18">
        <v>6.8499999999999995E-4</v>
      </c>
      <c r="J361" s="8">
        <v>14</v>
      </c>
      <c r="K361" s="8" t="s">
        <v>180</v>
      </c>
      <c r="L361" s="8">
        <v>5</v>
      </c>
      <c r="M361" s="8"/>
      <c r="N361" s="8">
        <v>1</v>
      </c>
      <c r="O361" s="10" t="s">
        <v>21</v>
      </c>
      <c r="P361" s="17" t="s">
        <v>59</v>
      </c>
      <c r="Q361" s="10" t="str">
        <f t="shared" si="96"/>
        <v>NCC-NorESM1-M_Cluster14_repl5.sqlite</v>
      </c>
      <c r="R361" s="11">
        <f t="shared" si="97"/>
        <v>15</v>
      </c>
      <c r="S361" s="11">
        <v>0</v>
      </c>
      <c r="T361" s="16" t="str">
        <f t="shared" si="98"/>
        <v>climate_db_NCC-NorESM1-M_historical_v4.sqlite</v>
      </c>
      <c r="U361" s="16" t="str">
        <f t="shared" si="99"/>
        <v>log/NCC-NorESM1-M_Cluster14_repl5.txt</v>
      </c>
      <c r="V361" s="16" t="str">
        <f t="shared" si="100"/>
        <v>init/env_file_CLUSTER14_REPL5_NCC-NorESM1-M_historical.csv</v>
      </c>
      <c r="W361" s="16" t="str">
        <f t="shared" si="101"/>
        <v>init/env_grid_CLUSTER14_REPL5.asc</v>
      </c>
      <c r="X361" s="16" t="str">
        <f t="shared" si="102"/>
        <v>init/env_grid_CLUSTER14_REPL5.asc</v>
      </c>
      <c r="Y361" s="16" t="str">
        <f t="shared" si="103"/>
        <v>trees_CLUSTER14.csv</v>
      </c>
      <c r="Z361" s="16" t="str">
        <f t="shared" si="104"/>
        <v>saplings_CLUSTER14.csv</v>
      </c>
      <c r="AA361" s="16">
        <f t="shared" si="105"/>
        <v>350</v>
      </c>
      <c r="AB361" s="16" t="str">
        <f t="shared" si="106"/>
        <v>abe/no_mgmt.csv</v>
      </c>
      <c r="AC361" s="16" t="str">
        <f t="shared" si="107"/>
        <v>gis/WindModifier_cl14.asc</v>
      </c>
      <c r="AD361" s="16">
        <f t="shared" si="117"/>
        <v>6.8499999999999995E-4</v>
      </c>
      <c r="AE361" s="16" t="str">
        <f t="shared" si="110"/>
        <v>NCC-NorESM1-M_historical_point34873</v>
      </c>
      <c r="AF361" s="16" t="str">
        <f t="shared" si="118"/>
        <v>wind_Events/cl14_repl5.txt</v>
      </c>
      <c r="AG361" s="16" t="str">
        <f t="shared" si="119"/>
        <v>NCC-NorESM1-M_Cluster14_repl5</v>
      </c>
      <c r="AH361" s="16" t="s">
        <v>326</v>
      </c>
      <c r="AI361" s="16" t="s">
        <v>327</v>
      </c>
    </row>
  </sheetData>
  <autoFilter ref="A1:AC361" xr:uid="{00000000-0009-0000-0000-000000000000}">
    <sortState ref="A2:AC361">
      <sortCondition ref="C1:C361"/>
    </sortState>
  </autoFilter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D2E-4E24-4FA0-9FC7-AD3B539C3132}">
  <dimension ref="A1:F37"/>
  <sheetViews>
    <sheetView workbookViewId="0">
      <selection activeCell="D2" sqref="D2"/>
    </sheetView>
  </sheetViews>
  <sheetFormatPr baseColWidth="10" defaultRowHeight="13.8"/>
  <cols>
    <col min="1" max="1" width="10.88671875" bestFit="1" customWidth="1"/>
    <col min="2" max="2" width="16.44140625" bestFit="1" customWidth="1"/>
    <col min="3" max="3" width="41.88671875" bestFit="1" customWidth="1"/>
    <col min="4" max="4" width="35.6640625" bestFit="1" customWidth="1"/>
    <col min="5" max="5" width="42.21875" bestFit="1" customWidth="1"/>
    <col min="6" max="6" width="50.88671875" bestFit="1" customWidth="1"/>
  </cols>
  <sheetData>
    <row r="1" spans="1:6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>
      <c r="A2">
        <v>2</v>
      </c>
      <c r="B2" t="s">
        <v>18</v>
      </c>
      <c r="C2" t="s">
        <v>103</v>
      </c>
      <c r="D2" t="s">
        <v>418</v>
      </c>
      <c r="E2" t="s">
        <v>332</v>
      </c>
      <c r="F2" t="s">
        <v>333</v>
      </c>
    </row>
    <row r="3" spans="1:6">
      <c r="A3">
        <v>3</v>
      </c>
      <c r="B3" t="s">
        <v>18</v>
      </c>
      <c r="C3" t="s">
        <v>103</v>
      </c>
      <c r="D3" t="s">
        <v>419</v>
      </c>
      <c r="E3" t="s">
        <v>334</v>
      </c>
      <c r="F3" t="s">
        <v>335</v>
      </c>
    </row>
    <row r="4" spans="1:6">
      <c r="A4">
        <v>4</v>
      </c>
      <c r="B4" t="s">
        <v>18</v>
      </c>
      <c r="C4" t="s">
        <v>103</v>
      </c>
      <c r="D4" t="s">
        <v>420</v>
      </c>
      <c r="E4" t="s">
        <v>336</v>
      </c>
      <c r="F4" t="s">
        <v>107</v>
      </c>
    </row>
    <row r="5" spans="1:6">
      <c r="A5">
        <v>5</v>
      </c>
      <c r="B5" t="s">
        <v>18</v>
      </c>
      <c r="C5" t="s">
        <v>103</v>
      </c>
      <c r="D5" t="s">
        <v>421</v>
      </c>
      <c r="E5" t="s">
        <v>337</v>
      </c>
      <c r="F5" t="s">
        <v>109</v>
      </c>
    </row>
    <row r="6" spans="1:6">
      <c r="A6">
        <v>6</v>
      </c>
      <c r="B6" t="s">
        <v>18</v>
      </c>
      <c r="C6" t="s">
        <v>103</v>
      </c>
      <c r="D6" t="s">
        <v>422</v>
      </c>
      <c r="E6" t="s">
        <v>338</v>
      </c>
      <c r="F6" t="s">
        <v>339</v>
      </c>
    </row>
    <row r="7" spans="1:6">
      <c r="A7">
        <v>7</v>
      </c>
      <c r="B7" t="s">
        <v>18</v>
      </c>
      <c r="C7" t="s">
        <v>103</v>
      </c>
      <c r="D7" t="s">
        <v>423</v>
      </c>
      <c r="E7" t="s">
        <v>340</v>
      </c>
      <c r="F7" t="s">
        <v>112</v>
      </c>
    </row>
    <row r="8" spans="1:6">
      <c r="A8">
        <v>8</v>
      </c>
      <c r="B8" t="s">
        <v>18</v>
      </c>
      <c r="C8" t="s">
        <v>103</v>
      </c>
      <c r="D8" t="s">
        <v>424</v>
      </c>
      <c r="E8" t="s">
        <v>341</v>
      </c>
      <c r="F8" t="s">
        <v>342</v>
      </c>
    </row>
    <row r="9" spans="1:6">
      <c r="A9">
        <v>10</v>
      </c>
      <c r="B9" t="s">
        <v>18</v>
      </c>
      <c r="C9" t="s">
        <v>103</v>
      </c>
      <c r="D9" t="s">
        <v>425</v>
      </c>
      <c r="E9" t="s">
        <v>343</v>
      </c>
      <c r="F9" t="s">
        <v>344</v>
      </c>
    </row>
    <row r="10" spans="1:6">
      <c r="A10">
        <v>11</v>
      </c>
      <c r="B10" t="s">
        <v>18</v>
      </c>
      <c r="C10" t="s">
        <v>103</v>
      </c>
      <c r="D10" t="s">
        <v>426</v>
      </c>
      <c r="E10" t="s">
        <v>345</v>
      </c>
      <c r="F10" t="s">
        <v>346</v>
      </c>
    </row>
    <row r="11" spans="1:6">
      <c r="A11">
        <v>12</v>
      </c>
      <c r="B11" t="s">
        <v>18</v>
      </c>
      <c r="C11" t="s">
        <v>103</v>
      </c>
      <c r="D11" t="s">
        <v>427</v>
      </c>
      <c r="E11" t="s">
        <v>347</v>
      </c>
      <c r="F11" t="s">
        <v>348</v>
      </c>
    </row>
    <row r="12" spans="1:6">
      <c r="A12">
        <v>13</v>
      </c>
      <c r="B12" t="s">
        <v>18</v>
      </c>
      <c r="C12" t="s">
        <v>103</v>
      </c>
      <c r="D12" t="s">
        <v>428</v>
      </c>
      <c r="E12" t="s">
        <v>349</v>
      </c>
      <c r="F12" t="s">
        <v>350</v>
      </c>
    </row>
    <row r="13" spans="1:6">
      <c r="A13">
        <v>14</v>
      </c>
      <c r="B13" t="s">
        <v>18</v>
      </c>
      <c r="C13" t="s">
        <v>103</v>
      </c>
      <c r="D13" t="s">
        <v>429</v>
      </c>
      <c r="E13" t="s">
        <v>351</v>
      </c>
      <c r="F13" t="s">
        <v>352</v>
      </c>
    </row>
    <row r="14" spans="1:6">
      <c r="A14">
        <v>2</v>
      </c>
      <c r="B14" t="s">
        <v>63</v>
      </c>
      <c r="C14" t="s">
        <v>70</v>
      </c>
      <c r="D14" t="s">
        <v>359</v>
      </c>
      <c r="E14" t="s">
        <v>353</v>
      </c>
      <c r="F14" t="s">
        <v>354</v>
      </c>
    </row>
    <row r="15" spans="1:6">
      <c r="A15">
        <v>3</v>
      </c>
      <c r="B15" t="s">
        <v>63</v>
      </c>
      <c r="C15" t="s">
        <v>70</v>
      </c>
      <c r="D15" t="s">
        <v>360</v>
      </c>
      <c r="E15" t="s">
        <v>355</v>
      </c>
      <c r="F15" t="s">
        <v>356</v>
      </c>
    </row>
    <row r="16" spans="1:6">
      <c r="A16">
        <v>4</v>
      </c>
      <c r="B16" t="s">
        <v>63</v>
      </c>
      <c r="C16" t="s">
        <v>70</v>
      </c>
      <c r="D16" t="s">
        <v>361</v>
      </c>
      <c r="E16" t="s">
        <v>357</v>
      </c>
      <c r="F16" t="s">
        <v>358</v>
      </c>
    </row>
    <row r="17" spans="1:6">
      <c r="A17">
        <v>5</v>
      </c>
      <c r="B17" t="s">
        <v>63</v>
      </c>
      <c r="C17" t="s">
        <v>70</v>
      </c>
      <c r="D17" t="s">
        <v>362</v>
      </c>
      <c r="E17" t="s">
        <v>363</v>
      </c>
      <c r="F17" t="s">
        <v>75</v>
      </c>
    </row>
    <row r="18" spans="1:6">
      <c r="A18">
        <v>6</v>
      </c>
      <c r="B18" t="s">
        <v>63</v>
      </c>
      <c r="C18" t="s">
        <v>70</v>
      </c>
      <c r="D18" t="s">
        <v>364</v>
      </c>
      <c r="E18" t="s">
        <v>365</v>
      </c>
      <c r="F18" t="s">
        <v>77</v>
      </c>
    </row>
    <row r="19" spans="1:6">
      <c r="A19">
        <v>7</v>
      </c>
      <c r="B19" t="s">
        <v>63</v>
      </c>
      <c r="C19" t="s">
        <v>70</v>
      </c>
      <c r="D19" t="s">
        <v>366</v>
      </c>
      <c r="E19" t="s">
        <v>367</v>
      </c>
      <c r="F19" t="s">
        <v>79</v>
      </c>
    </row>
    <row r="20" spans="1:6">
      <c r="A20">
        <v>8</v>
      </c>
      <c r="B20" t="s">
        <v>63</v>
      </c>
      <c r="C20" t="s">
        <v>70</v>
      </c>
      <c r="D20" t="s">
        <v>368</v>
      </c>
      <c r="E20" t="s">
        <v>369</v>
      </c>
      <c r="F20" t="s">
        <v>370</v>
      </c>
    </row>
    <row r="21" spans="1:6">
      <c r="A21">
        <v>10</v>
      </c>
      <c r="B21" t="s">
        <v>63</v>
      </c>
      <c r="C21" t="s">
        <v>70</v>
      </c>
      <c r="D21" t="s">
        <v>371</v>
      </c>
      <c r="E21" t="s">
        <v>372</v>
      </c>
      <c r="F21" t="s">
        <v>82</v>
      </c>
    </row>
    <row r="22" spans="1:6">
      <c r="A22">
        <v>11</v>
      </c>
      <c r="B22" t="s">
        <v>63</v>
      </c>
      <c r="C22" t="s">
        <v>70</v>
      </c>
      <c r="D22" t="s">
        <v>373</v>
      </c>
      <c r="E22" t="s">
        <v>374</v>
      </c>
      <c r="F22" t="s">
        <v>375</v>
      </c>
    </row>
    <row r="23" spans="1:6">
      <c r="A23">
        <v>12</v>
      </c>
      <c r="B23" t="s">
        <v>63</v>
      </c>
      <c r="C23" t="s">
        <v>70</v>
      </c>
      <c r="D23" t="s">
        <v>376</v>
      </c>
      <c r="E23" t="s">
        <v>377</v>
      </c>
      <c r="F23" t="s">
        <v>378</v>
      </c>
    </row>
    <row r="24" spans="1:6">
      <c r="A24">
        <v>13</v>
      </c>
      <c r="B24" t="s">
        <v>63</v>
      </c>
      <c r="C24" t="s">
        <v>70</v>
      </c>
      <c r="D24" t="s">
        <v>379</v>
      </c>
      <c r="E24" t="s">
        <v>380</v>
      </c>
      <c r="F24" t="s">
        <v>381</v>
      </c>
    </row>
    <row r="25" spans="1:6">
      <c r="A25">
        <v>14</v>
      </c>
      <c r="B25" t="s">
        <v>63</v>
      </c>
      <c r="C25" t="s">
        <v>70</v>
      </c>
      <c r="D25" t="s">
        <v>382</v>
      </c>
      <c r="E25" t="s">
        <v>383</v>
      </c>
      <c r="F25" t="s">
        <v>384</v>
      </c>
    </row>
    <row r="26" spans="1:6">
      <c r="A26">
        <v>2</v>
      </c>
      <c r="B26" t="s">
        <v>60</v>
      </c>
      <c r="C26" t="s">
        <v>87</v>
      </c>
      <c r="D26" t="s">
        <v>385</v>
      </c>
      <c r="E26" t="s">
        <v>386</v>
      </c>
      <c r="F26" t="s">
        <v>387</v>
      </c>
    </row>
    <row r="27" spans="1:6">
      <c r="A27">
        <v>3</v>
      </c>
      <c r="B27" t="s">
        <v>60</v>
      </c>
      <c r="C27" t="s">
        <v>87</v>
      </c>
      <c r="D27" t="s">
        <v>388</v>
      </c>
      <c r="E27" t="s">
        <v>389</v>
      </c>
      <c r="F27" t="s">
        <v>390</v>
      </c>
    </row>
    <row r="28" spans="1:6">
      <c r="A28">
        <v>4</v>
      </c>
      <c r="B28" t="s">
        <v>60</v>
      </c>
      <c r="C28" t="s">
        <v>87</v>
      </c>
      <c r="D28" t="s">
        <v>391</v>
      </c>
      <c r="E28" t="s">
        <v>392</v>
      </c>
      <c r="F28" t="s">
        <v>393</v>
      </c>
    </row>
    <row r="29" spans="1:6">
      <c r="A29">
        <v>5</v>
      </c>
      <c r="B29" t="s">
        <v>60</v>
      </c>
      <c r="C29" t="s">
        <v>87</v>
      </c>
      <c r="D29" t="s">
        <v>394</v>
      </c>
      <c r="E29" t="s">
        <v>395</v>
      </c>
      <c r="F29" t="s">
        <v>396</v>
      </c>
    </row>
    <row r="30" spans="1:6">
      <c r="A30">
        <v>6</v>
      </c>
      <c r="B30" t="s">
        <v>60</v>
      </c>
      <c r="C30" t="s">
        <v>87</v>
      </c>
      <c r="D30" t="s">
        <v>397</v>
      </c>
      <c r="E30" t="s">
        <v>398</v>
      </c>
      <c r="F30" t="s">
        <v>399</v>
      </c>
    </row>
    <row r="31" spans="1:6">
      <c r="A31">
        <v>7</v>
      </c>
      <c r="B31" t="s">
        <v>60</v>
      </c>
      <c r="C31" t="s">
        <v>87</v>
      </c>
      <c r="D31" t="s">
        <v>400</v>
      </c>
      <c r="E31" t="s">
        <v>401</v>
      </c>
      <c r="F31" t="s">
        <v>94</v>
      </c>
    </row>
    <row r="32" spans="1:6">
      <c r="A32">
        <v>8</v>
      </c>
      <c r="B32" t="s">
        <v>60</v>
      </c>
      <c r="C32" t="s">
        <v>87</v>
      </c>
      <c r="D32" t="s">
        <v>402</v>
      </c>
      <c r="E32" t="s">
        <v>403</v>
      </c>
      <c r="F32" t="s">
        <v>404</v>
      </c>
    </row>
    <row r="33" spans="1:6">
      <c r="A33">
        <v>10</v>
      </c>
      <c r="B33" t="s">
        <v>60</v>
      </c>
      <c r="C33" t="s">
        <v>87</v>
      </c>
      <c r="D33" t="s">
        <v>405</v>
      </c>
      <c r="E33" t="s">
        <v>406</v>
      </c>
      <c r="F33" t="s">
        <v>97</v>
      </c>
    </row>
    <row r="34" spans="1:6">
      <c r="A34">
        <v>11</v>
      </c>
      <c r="B34" t="s">
        <v>60</v>
      </c>
      <c r="C34" t="s">
        <v>87</v>
      </c>
      <c r="D34" t="s">
        <v>407</v>
      </c>
      <c r="E34" t="s">
        <v>408</v>
      </c>
      <c r="F34" t="s">
        <v>409</v>
      </c>
    </row>
    <row r="35" spans="1:6">
      <c r="A35">
        <v>12</v>
      </c>
      <c r="B35" t="s">
        <v>60</v>
      </c>
      <c r="C35" t="s">
        <v>87</v>
      </c>
      <c r="D35" t="s">
        <v>410</v>
      </c>
      <c r="E35" t="s">
        <v>411</v>
      </c>
      <c r="F35" t="s">
        <v>100</v>
      </c>
    </row>
    <row r="36" spans="1:6">
      <c r="A36">
        <v>13</v>
      </c>
      <c r="B36" t="s">
        <v>60</v>
      </c>
      <c r="C36" t="s">
        <v>87</v>
      </c>
      <c r="D36" t="s">
        <v>412</v>
      </c>
      <c r="E36" t="s">
        <v>413</v>
      </c>
      <c r="F36" t="s">
        <v>414</v>
      </c>
    </row>
    <row r="37" spans="1:6">
      <c r="A37">
        <v>14</v>
      </c>
      <c r="B37" t="s">
        <v>60</v>
      </c>
      <c r="C37" t="s">
        <v>87</v>
      </c>
      <c r="D37" t="s">
        <v>415</v>
      </c>
      <c r="E37" t="s">
        <v>416</v>
      </c>
      <c r="F37" t="s">
        <v>417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B087-6580-42F3-967B-214FDDC7CDBF}">
  <dimension ref="A1:G37"/>
  <sheetViews>
    <sheetView workbookViewId="0">
      <selection activeCell="I2" sqref="I2:I37"/>
    </sheetView>
  </sheetViews>
  <sheetFormatPr baseColWidth="10" defaultRowHeight="13.8"/>
  <cols>
    <col min="1" max="1" width="10.88671875" bestFit="1" customWidth="1"/>
    <col min="2" max="2" width="16.44140625" bestFit="1" customWidth="1"/>
    <col min="3" max="3" width="41.88671875" bestFit="1" customWidth="1"/>
    <col min="4" max="4" width="41.88671875" customWidth="1"/>
    <col min="5" max="5" width="35.6640625" bestFit="1" customWidth="1"/>
    <col min="6" max="6" width="42.21875" bestFit="1" customWidth="1"/>
    <col min="7" max="7" width="50.88671875" bestFit="1" customWidth="1"/>
  </cols>
  <sheetData>
    <row r="1" spans="1:7">
      <c r="A1" t="s">
        <v>64</v>
      </c>
      <c r="B1" t="s">
        <v>65</v>
      </c>
      <c r="C1" t="s">
        <v>66</v>
      </c>
      <c r="D1" t="s">
        <v>120</v>
      </c>
      <c r="E1" t="s">
        <v>67</v>
      </c>
      <c r="F1" t="s">
        <v>68</v>
      </c>
      <c r="G1" t="s">
        <v>69</v>
      </c>
    </row>
    <row r="2" spans="1:7">
      <c r="A2">
        <v>2</v>
      </c>
      <c r="B2" t="s">
        <v>18</v>
      </c>
      <c r="C2" t="s">
        <v>103</v>
      </c>
      <c r="D2" t="str">
        <f>beetle_data_avg_climate[[#This Row],[climate_model]] &amp; "-" &amp;beetle_data_avg_climate[[#This Row],[cluster_id]]</f>
        <v>ICHEC-EC-EARTH-2</v>
      </c>
      <c r="E2" t="s">
        <v>104</v>
      </c>
      <c r="F2" t="s">
        <v>332</v>
      </c>
      <c r="G2" t="s">
        <v>333</v>
      </c>
    </row>
    <row r="3" spans="1:7">
      <c r="A3">
        <v>3</v>
      </c>
      <c r="B3" t="s">
        <v>18</v>
      </c>
      <c r="C3" t="s">
        <v>103</v>
      </c>
      <c r="D3" t="str">
        <f>beetle_data_avg_climate[[#This Row],[climate_model]] &amp; "-" &amp;beetle_data_avg_climate[[#This Row],[cluster_id]]</f>
        <v>ICHEC-EC-EARTH-3</v>
      </c>
      <c r="E3" t="s">
        <v>105</v>
      </c>
      <c r="F3" t="s">
        <v>334</v>
      </c>
      <c r="G3" t="s">
        <v>335</v>
      </c>
    </row>
    <row r="4" spans="1:7">
      <c r="A4">
        <v>4</v>
      </c>
      <c r="B4" t="s">
        <v>18</v>
      </c>
      <c r="C4" t="s">
        <v>103</v>
      </c>
      <c r="D4" t="str">
        <f>beetle_data_avg_climate[[#This Row],[climate_model]] &amp; "-" &amp;beetle_data_avg_climate[[#This Row],[cluster_id]]</f>
        <v>ICHEC-EC-EARTH-4</v>
      </c>
      <c r="E4" t="s">
        <v>106</v>
      </c>
      <c r="F4" t="s">
        <v>336</v>
      </c>
      <c r="G4" t="s">
        <v>107</v>
      </c>
    </row>
    <row r="5" spans="1:7">
      <c r="A5">
        <v>5</v>
      </c>
      <c r="B5" t="s">
        <v>18</v>
      </c>
      <c r="C5" t="s">
        <v>103</v>
      </c>
      <c r="D5" t="str">
        <f>beetle_data_avg_climate[[#This Row],[climate_model]] &amp; "-" &amp;beetle_data_avg_climate[[#This Row],[cluster_id]]</f>
        <v>ICHEC-EC-EARTH-5</v>
      </c>
      <c r="E5" t="s">
        <v>108</v>
      </c>
      <c r="F5" t="s">
        <v>337</v>
      </c>
      <c r="G5" t="s">
        <v>109</v>
      </c>
    </row>
    <row r="6" spans="1:7">
      <c r="A6">
        <v>6</v>
      </c>
      <c r="B6" t="s">
        <v>18</v>
      </c>
      <c r="C6" t="s">
        <v>103</v>
      </c>
      <c r="D6" t="str">
        <f>beetle_data_avg_climate[[#This Row],[climate_model]] &amp; "-" &amp;beetle_data_avg_climate[[#This Row],[cluster_id]]</f>
        <v>ICHEC-EC-EARTH-6</v>
      </c>
      <c r="E6" t="s">
        <v>110</v>
      </c>
      <c r="F6" t="s">
        <v>338</v>
      </c>
      <c r="G6" t="s">
        <v>339</v>
      </c>
    </row>
    <row r="7" spans="1:7">
      <c r="A7">
        <v>7</v>
      </c>
      <c r="B7" t="s">
        <v>18</v>
      </c>
      <c r="C7" t="s">
        <v>103</v>
      </c>
      <c r="D7" t="str">
        <f>beetle_data_avg_climate[[#This Row],[climate_model]] &amp; "-" &amp;beetle_data_avg_climate[[#This Row],[cluster_id]]</f>
        <v>ICHEC-EC-EARTH-7</v>
      </c>
      <c r="E7" t="s">
        <v>111</v>
      </c>
      <c r="F7" t="s">
        <v>340</v>
      </c>
      <c r="G7" t="s">
        <v>112</v>
      </c>
    </row>
    <row r="8" spans="1:7">
      <c r="A8">
        <v>8</v>
      </c>
      <c r="B8" t="s">
        <v>18</v>
      </c>
      <c r="C8" t="s">
        <v>103</v>
      </c>
      <c r="D8" t="str">
        <f>beetle_data_avg_climate[[#This Row],[climate_model]] &amp; "-" &amp;beetle_data_avg_climate[[#This Row],[cluster_id]]</f>
        <v>ICHEC-EC-EARTH-8</v>
      </c>
      <c r="E8" t="s">
        <v>113</v>
      </c>
      <c r="F8" t="s">
        <v>341</v>
      </c>
      <c r="G8" t="s">
        <v>342</v>
      </c>
    </row>
    <row r="9" spans="1:7">
      <c r="A9">
        <v>10</v>
      </c>
      <c r="B9" t="s">
        <v>18</v>
      </c>
      <c r="C9" t="s">
        <v>103</v>
      </c>
      <c r="D9" t="str">
        <f>beetle_data_avg_climate[[#This Row],[climate_model]] &amp; "-" &amp;beetle_data_avg_climate[[#This Row],[cluster_id]]</f>
        <v>ICHEC-EC-EARTH-10</v>
      </c>
      <c r="E9" t="s">
        <v>114</v>
      </c>
      <c r="F9" t="s">
        <v>343</v>
      </c>
      <c r="G9" t="s">
        <v>344</v>
      </c>
    </row>
    <row r="10" spans="1:7">
      <c r="A10">
        <v>11</v>
      </c>
      <c r="B10" t="s">
        <v>18</v>
      </c>
      <c r="C10" t="s">
        <v>103</v>
      </c>
      <c r="D10" t="str">
        <f>beetle_data_avg_climate[[#This Row],[climate_model]] &amp; "-" &amp;beetle_data_avg_climate[[#This Row],[cluster_id]]</f>
        <v>ICHEC-EC-EARTH-11</v>
      </c>
      <c r="E10" t="s">
        <v>115</v>
      </c>
      <c r="F10" t="s">
        <v>345</v>
      </c>
      <c r="G10" t="s">
        <v>346</v>
      </c>
    </row>
    <row r="11" spans="1:7">
      <c r="A11">
        <v>12</v>
      </c>
      <c r="B11" t="s">
        <v>18</v>
      </c>
      <c r="C11" t="s">
        <v>103</v>
      </c>
      <c r="D11" t="str">
        <f>beetle_data_avg_climate[[#This Row],[climate_model]] &amp; "-" &amp;beetle_data_avg_climate[[#This Row],[cluster_id]]</f>
        <v>ICHEC-EC-EARTH-12</v>
      </c>
      <c r="E11" t="s">
        <v>116</v>
      </c>
      <c r="F11" t="s">
        <v>347</v>
      </c>
      <c r="G11" t="s">
        <v>348</v>
      </c>
    </row>
    <row r="12" spans="1:7">
      <c r="A12">
        <v>13</v>
      </c>
      <c r="B12" t="s">
        <v>18</v>
      </c>
      <c r="C12" t="s">
        <v>103</v>
      </c>
      <c r="D12" t="str">
        <f>beetle_data_avg_climate[[#This Row],[climate_model]] &amp; "-" &amp;beetle_data_avg_climate[[#This Row],[cluster_id]]</f>
        <v>ICHEC-EC-EARTH-13</v>
      </c>
      <c r="E12" t="s">
        <v>117</v>
      </c>
      <c r="F12" t="s">
        <v>349</v>
      </c>
      <c r="G12" t="s">
        <v>350</v>
      </c>
    </row>
    <row r="13" spans="1:7">
      <c r="A13">
        <v>14</v>
      </c>
      <c r="B13" t="s">
        <v>18</v>
      </c>
      <c r="C13" t="s">
        <v>103</v>
      </c>
      <c r="D13" t="str">
        <f>beetle_data_avg_climate[[#This Row],[climate_model]] &amp; "-" &amp;beetle_data_avg_climate[[#This Row],[cluster_id]]</f>
        <v>ICHEC-EC-EARTH-14</v>
      </c>
      <c r="E13" t="s">
        <v>118</v>
      </c>
      <c r="F13" t="s">
        <v>351</v>
      </c>
      <c r="G13" t="s">
        <v>352</v>
      </c>
    </row>
    <row r="14" spans="1:7">
      <c r="A14">
        <v>2</v>
      </c>
      <c r="B14" t="s">
        <v>63</v>
      </c>
      <c r="C14" t="s">
        <v>70</v>
      </c>
      <c r="D14" t="str">
        <f>beetle_data_avg_climate[[#This Row],[climate_model]] &amp; "-" &amp;beetle_data_avg_climate[[#This Row],[cluster_id]]</f>
        <v>MPI-M-MPI-ESM-LR-2</v>
      </c>
      <c r="E14" t="s">
        <v>71</v>
      </c>
      <c r="F14" t="s">
        <v>353</v>
      </c>
      <c r="G14" t="s">
        <v>354</v>
      </c>
    </row>
    <row r="15" spans="1:7">
      <c r="A15">
        <v>3</v>
      </c>
      <c r="B15" t="s">
        <v>63</v>
      </c>
      <c r="C15" t="s">
        <v>70</v>
      </c>
      <c r="D15" t="str">
        <f>beetle_data_avg_climate[[#This Row],[climate_model]] &amp; "-" &amp;beetle_data_avg_climate[[#This Row],[cluster_id]]</f>
        <v>MPI-M-MPI-ESM-LR-3</v>
      </c>
      <c r="E15" t="s">
        <v>72</v>
      </c>
      <c r="F15" t="s">
        <v>355</v>
      </c>
      <c r="G15" t="s">
        <v>356</v>
      </c>
    </row>
    <row r="16" spans="1:7">
      <c r="A16">
        <v>4</v>
      </c>
      <c r="B16" t="s">
        <v>63</v>
      </c>
      <c r="C16" t="s">
        <v>70</v>
      </c>
      <c r="D16" t="str">
        <f>beetle_data_avg_climate[[#This Row],[climate_model]] &amp; "-" &amp;beetle_data_avg_climate[[#This Row],[cluster_id]]</f>
        <v>MPI-M-MPI-ESM-LR-4</v>
      </c>
      <c r="E16" t="s">
        <v>73</v>
      </c>
      <c r="F16" t="s">
        <v>357</v>
      </c>
      <c r="G16" t="s">
        <v>358</v>
      </c>
    </row>
    <row r="17" spans="1:7">
      <c r="A17">
        <v>5</v>
      </c>
      <c r="B17" t="s">
        <v>63</v>
      </c>
      <c r="C17" t="s">
        <v>70</v>
      </c>
      <c r="D17" t="str">
        <f>beetle_data_avg_climate[[#This Row],[climate_model]] &amp; "-" &amp;beetle_data_avg_climate[[#This Row],[cluster_id]]</f>
        <v>MPI-M-MPI-ESM-LR-5</v>
      </c>
      <c r="E17" t="s">
        <v>74</v>
      </c>
      <c r="F17" t="s">
        <v>363</v>
      </c>
      <c r="G17" t="s">
        <v>75</v>
      </c>
    </row>
    <row r="18" spans="1:7">
      <c r="A18">
        <v>6</v>
      </c>
      <c r="B18" t="s">
        <v>63</v>
      </c>
      <c r="C18" t="s">
        <v>70</v>
      </c>
      <c r="D18" t="str">
        <f>beetle_data_avg_climate[[#This Row],[climate_model]] &amp; "-" &amp;beetle_data_avg_climate[[#This Row],[cluster_id]]</f>
        <v>MPI-M-MPI-ESM-LR-6</v>
      </c>
      <c r="E18" t="s">
        <v>76</v>
      </c>
      <c r="F18" t="s">
        <v>365</v>
      </c>
      <c r="G18" t="s">
        <v>77</v>
      </c>
    </row>
    <row r="19" spans="1:7">
      <c r="A19">
        <v>7</v>
      </c>
      <c r="B19" t="s">
        <v>63</v>
      </c>
      <c r="C19" t="s">
        <v>70</v>
      </c>
      <c r="D19" t="str">
        <f>beetle_data_avg_climate[[#This Row],[climate_model]] &amp; "-" &amp;beetle_data_avg_climate[[#This Row],[cluster_id]]</f>
        <v>MPI-M-MPI-ESM-LR-7</v>
      </c>
      <c r="E19" t="s">
        <v>78</v>
      </c>
      <c r="F19" t="s">
        <v>367</v>
      </c>
      <c r="G19" t="s">
        <v>79</v>
      </c>
    </row>
    <row r="20" spans="1:7">
      <c r="A20">
        <v>8</v>
      </c>
      <c r="B20" t="s">
        <v>63</v>
      </c>
      <c r="C20" t="s">
        <v>70</v>
      </c>
      <c r="D20" t="str">
        <f>beetle_data_avg_climate[[#This Row],[climate_model]] &amp; "-" &amp;beetle_data_avg_climate[[#This Row],[cluster_id]]</f>
        <v>MPI-M-MPI-ESM-LR-8</v>
      </c>
      <c r="E20" t="s">
        <v>80</v>
      </c>
      <c r="F20" t="s">
        <v>369</v>
      </c>
      <c r="G20" t="s">
        <v>370</v>
      </c>
    </row>
    <row r="21" spans="1:7">
      <c r="A21">
        <v>10</v>
      </c>
      <c r="B21" t="s">
        <v>63</v>
      </c>
      <c r="C21" t="s">
        <v>70</v>
      </c>
      <c r="D21" t="str">
        <f>beetle_data_avg_climate[[#This Row],[climate_model]] &amp; "-" &amp;beetle_data_avg_climate[[#This Row],[cluster_id]]</f>
        <v>MPI-M-MPI-ESM-LR-10</v>
      </c>
      <c r="E21" t="s">
        <v>81</v>
      </c>
      <c r="F21" t="s">
        <v>372</v>
      </c>
      <c r="G21" t="s">
        <v>82</v>
      </c>
    </row>
    <row r="22" spans="1:7">
      <c r="A22">
        <v>11</v>
      </c>
      <c r="B22" t="s">
        <v>63</v>
      </c>
      <c r="C22" t="s">
        <v>70</v>
      </c>
      <c r="D22" t="str">
        <f>beetle_data_avg_climate[[#This Row],[climate_model]] &amp; "-" &amp;beetle_data_avg_climate[[#This Row],[cluster_id]]</f>
        <v>MPI-M-MPI-ESM-LR-11</v>
      </c>
      <c r="E22" t="s">
        <v>83</v>
      </c>
      <c r="F22" t="s">
        <v>374</v>
      </c>
      <c r="G22" t="s">
        <v>375</v>
      </c>
    </row>
    <row r="23" spans="1:7">
      <c r="A23">
        <v>12</v>
      </c>
      <c r="B23" t="s">
        <v>63</v>
      </c>
      <c r="C23" t="s">
        <v>70</v>
      </c>
      <c r="D23" t="str">
        <f>beetle_data_avg_climate[[#This Row],[climate_model]] &amp; "-" &amp;beetle_data_avg_climate[[#This Row],[cluster_id]]</f>
        <v>MPI-M-MPI-ESM-LR-12</v>
      </c>
      <c r="E23" t="s">
        <v>84</v>
      </c>
      <c r="F23" t="s">
        <v>377</v>
      </c>
      <c r="G23" t="s">
        <v>378</v>
      </c>
    </row>
    <row r="24" spans="1:7">
      <c r="A24">
        <v>13</v>
      </c>
      <c r="B24" t="s">
        <v>63</v>
      </c>
      <c r="C24" t="s">
        <v>70</v>
      </c>
      <c r="D24" t="str">
        <f>beetle_data_avg_climate[[#This Row],[climate_model]] &amp; "-" &amp;beetle_data_avg_climate[[#This Row],[cluster_id]]</f>
        <v>MPI-M-MPI-ESM-LR-13</v>
      </c>
      <c r="E24" t="s">
        <v>85</v>
      </c>
      <c r="F24" t="s">
        <v>380</v>
      </c>
      <c r="G24" t="s">
        <v>381</v>
      </c>
    </row>
    <row r="25" spans="1:7">
      <c r="A25">
        <v>14</v>
      </c>
      <c r="B25" t="s">
        <v>63</v>
      </c>
      <c r="C25" t="s">
        <v>70</v>
      </c>
      <c r="D25" t="str">
        <f>beetle_data_avg_climate[[#This Row],[climate_model]] &amp; "-" &amp;beetle_data_avg_climate[[#This Row],[cluster_id]]</f>
        <v>MPI-M-MPI-ESM-LR-14</v>
      </c>
      <c r="E25" t="s">
        <v>86</v>
      </c>
      <c r="F25" t="s">
        <v>383</v>
      </c>
      <c r="G25" t="s">
        <v>384</v>
      </c>
    </row>
    <row r="26" spans="1:7">
      <c r="A26">
        <v>2</v>
      </c>
      <c r="B26" t="s">
        <v>60</v>
      </c>
      <c r="C26" t="s">
        <v>87</v>
      </c>
      <c r="D26" t="str">
        <f>beetle_data_avg_climate[[#This Row],[climate_model]] &amp; "-" &amp;beetle_data_avg_climate[[#This Row],[cluster_id]]</f>
        <v>NCC-NorESM1-M-2</v>
      </c>
      <c r="E26" t="s">
        <v>88</v>
      </c>
      <c r="F26" t="s">
        <v>386</v>
      </c>
      <c r="G26" t="s">
        <v>387</v>
      </c>
    </row>
    <row r="27" spans="1:7">
      <c r="A27">
        <v>3</v>
      </c>
      <c r="B27" t="s">
        <v>60</v>
      </c>
      <c r="C27" t="s">
        <v>87</v>
      </c>
      <c r="D27" t="str">
        <f>beetle_data_avg_climate[[#This Row],[climate_model]] &amp; "-" &amp;beetle_data_avg_climate[[#This Row],[cluster_id]]</f>
        <v>NCC-NorESM1-M-3</v>
      </c>
      <c r="E27" t="s">
        <v>89</v>
      </c>
      <c r="F27" t="s">
        <v>389</v>
      </c>
      <c r="G27" t="s">
        <v>390</v>
      </c>
    </row>
    <row r="28" spans="1:7">
      <c r="A28">
        <v>4</v>
      </c>
      <c r="B28" t="s">
        <v>60</v>
      </c>
      <c r="C28" t="s">
        <v>87</v>
      </c>
      <c r="D28" t="str">
        <f>beetle_data_avg_climate[[#This Row],[climate_model]] &amp; "-" &amp;beetle_data_avg_climate[[#This Row],[cluster_id]]</f>
        <v>NCC-NorESM1-M-4</v>
      </c>
      <c r="E28" t="s">
        <v>90</v>
      </c>
      <c r="F28" t="s">
        <v>392</v>
      </c>
      <c r="G28" t="s">
        <v>393</v>
      </c>
    </row>
    <row r="29" spans="1:7">
      <c r="A29">
        <v>5</v>
      </c>
      <c r="B29" t="s">
        <v>60</v>
      </c>
      <c r="C29" t="s">
        <v>87</v>
      </c>
      <c r="D29" t="str">
        <f>beetle_data_avg_climate[[#This Row],[climate_model]] &amp; "-" &amp;beetle_data_avg_climate[[#This Row],[cluster_id]]</f>
        <v>NCC-NorESM1-M-5</v>
      </c>
      <c r="E29" t="s">
        <v>91</v>
      </c>
      <c r="F29" t="s">
        <v>395</v>
      </c>
      <c r="G29" t="s">
        <v>396</v>
      </c>
    </row>
    <row r="30" spans="1:7">
      <c r="A30">
        <v>6</v>
      </c>
      <c r="B30" t="s">
        <v>60</v>
      </c>
      <c r="C30" t="s">
        <v>87</v>
      </c>
      <c r="D30" t="str">
        <f>beetle_data_avg_climate[[#This Row],[climate_model]] &amp; "-" &amp;beetle_data_avg_climate[[#This Row],[cluster_id]]</f>
        <v>NCC-NorESM1-M-6</v>
      </c>
      <c r="E30" t="s">
        <v>92</v>
      </c>
      <c r="F30" t="s">
        <v>398</v>
      </c>
      <c r="G30" t="s">
        <v>399</v>
      </c>
    </row>
    <row r="31" spans="1:7">
      <c r="A31">
        <v>7</v>
      </c>
      <c r="B31" t="s">
        <v>60</v>
      </c>
      <c r="C31" t="s">
        <v>87</v>
      </c>
      <c r="D31" t="str">
        <f>beetle_data_avg_climate[[#This Row],[climate_model]] &amp; "-" &amp;beetle_data_avg_climate[[#This Row],[cluster_id]]</f>
        <v>NCC-NorESM1-M-7</v>
      </c>
      <c r="E31" t="s">
        <v>93</v>
      </c>
      <c r="F31" t="s">
        <v>401</v>
      </c>
      <c r="G31" t="s">
        <v>94</v>
      </c>
    </row>
    <row r="32" spans="1:7">
      <c r="A32">
        <v>8</v>
      </c>
      <c r="B32" t="s">
        <v>60</v>
      </c>
      <c r="C32" t="s">
        <v>87</v>
      </c>
      <c r="D32" t="str">
        <f>beetle_data_avg_climate[[#This Row],[climate_model]] &amp; "-" &amp;beetle_data_avg_climate[[#This Row],[cluster_id]]</f>
        <v>NCC-NorESM1-M-8</v>
      </c>
      <c r="E32" t="s">
        <v>95</v>
      </c>
      <c r="F32" t="s">
        <v>403</v>
      </c>
      <c r="G32" t="s">
        <v>404</v>
      </c>
    </row>
    <row r="33" spans="1:7">
      <c r="A33">
        <v>10</v>
      </c>
      <c r="B33" t="s">
        <v>60</v>
      </c>
      <c r="C33" t="s">
        <v>87</v>
      </c>
      <c r="D33" t="str">
        <f>beetle_data_avg_climate[[#This Row],[climate_model]] &amp; "-" &amp;beetle_data_avg_climate[[#This Row],[cluster_id]]</f>
        <v>NCC-NorESM1-M-10</v>
      </c>
      <c r="E33" t="s">
        <v>96</v>
      </c>
      <c r="F33" t="s">
        <v>406</v>
      </c>
      <c r="G33" t="s">
        <v>97</v>
      </c>
    </row>
    <row r="34" spans="1:7">
      <c r="A34">
        <v>11</v>
      </c>
      <c r="B34" t="s">
        <v>60</v>
      </c>
      <c r="C34" t="s">
        <v>87</v>
      </c>
      <c r="D34" t="str">
        <f>beetle_data_avg_climate[[#This Row],[climate_model]] &amp; "-" &amp;beetle_data_avg_climate[[#This Row],[cluster_id]]</f>
        <v>NCC-NorESM1-M-11</v>
      </c>
      <c r="E34" t="s">
        <v>98</v>
      </c>
      <c r="F34" t="s">
        <v>408</v>
      </c>
      <c r="G34" t="s">
        <v>409</v>
      </c>
    </row>
    <row r="35" spans="1:7">
      <c r="A35">
        <v>12</v>
      </c>
      <c r="B35" t="s">
        <v>60</v>
      </c>
      <c r="C35" t="s">
        <v>87</v>
      </c>
      <c r="D35" t="str">
        <f>beetle_data_avg_climate[[#This Row],[climate_model]] &amp; "-" &amp;beetle_data_avg_climate[[#This Row],[cluster_id]]</f>
        <v>NCC-NorESM1-M-12</v>
      </c>
      <c r="E35" t="s">
        <v>99</v>
      </c>
      <c r="F35" t="s">
        <v>411</v>
      </c>
      <c r="G35" t="s">
        <v>100</v>
      </c>
    </row>
    <row r="36" spans="1:7">
      <c r="A36">
        <v>13</v>
      </c>
      <c r="B36" t="s">
        <v>60</v>
      </c>
      <c r="C36" t="s">
        <v>87</v>
      </c>
      <c r="D36" t="str">
        <f>beetle_data_avg_climate[[#This Row],[climate_model]] &amp; "-" &amp;beetle_data_avg_climate[[#This Row],[cluster_id]]</f>
        <v>NCC-NorESM1-M-13</v>
      </c>
      <c r="E36" t="s">
        <v>101</v>
      </c>
      <c r="F36" t="s">
        <v>413</v>
      </c>
      <c r="G36" t="s">
        <v>414</v>
      </c>
    </row>
    <row r="37" spans="1:7">
      <c r="A37">
        <v>14</v>
      </c>
      <c r="B37" t="s">
        <v>60</v>
      </c>
      <c r="C37" t="s">
        <v>87</v>
      </c>
      <c r="D37" t="str">
        <f>beetle_data_avg_climate[[#This Row],[climate_model]] &amp; "-" &amp;beetle_data_avg_climate[[#This Row],[cluster_id]]</f>
        <v>NCC-NorESM1-M-14</v>
      </c>
      <c r="E37" t="s">
        <v>102</v>
      </c>
      <c r="F37" t="s">
        <v>416</v>
      </c>
      <c r="G37" t="s">
        <v>417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4730-A322-4804-8501-E2159A4B1D67}">
  <dimension ref="A1:I37"/>
  <sheetViews>
    <sheetView workbookViewId="0">
      <selection activeCell="H2" sqref="H2:I37"/>
    </sheetView>
  </sheetViews>
  <sheetFormatPr baseColWidth="10" defaultRowHeight="13.8"/>
  <cols>
    <col min="1" max="1" width="8.5546875" bestFit="1" customWidth="1"/>
    <col min="2" max="2" width="16.44140625" bestFit="1" customWidth="1"/>
    <col min="3" max="3" width="19" bestFit="1" customWidth="1"/>
    <col min="4" max="4" width="32.21875" bestFit="1" customWidth="1"/>
    <col min="5" max="5" width="6.77734375" bestFit="1" customWidth="1"/>
    <col min="6" max="6" width="38.77734375" bestFit="1" customWidth="1"/>
    <col min="7" max="7" width="47.109375" bestFit="1" customWidth="1"/>
    <col min="8" max="8" width="21.44140625" bestFit="1" customWidth="1"/>
    <col min="9" max="9" width="23.44140625" bestFit="1" customWidth="1"/>
  </cols>
  <sheetData>
    <row r="1" spans="1:9">
      <c r="A1" t="s">
        <v>64</v>
      </c>
      <c r="B1" t="s">
        <v>65</v>
      </c>
      <c r="C1" t="s">
        <v>120</v>
      </c>
      <c r="D1" t="s">
        <v>189</v>
      </c>
      <c r="E1" t="s">
        <v>119</v>
      </c>
      <c r="F1" t="s">
        <v>190</v>
      </c>
      <c r="G1" t="s">
        <v>191</v>
      </c>
    </row>
    <row r="2" spans="1:9">
      <c r="A2">
        <v>2</v>
      </c>
      <c r="B2" t="s">
        <v>18</v>
      </c>
      <c r="C2" t="s">
        <v>121</v>
      </c>
      <c r="D2" t="s">
        <v>104</v>
      </c>
      <c r="E2" t="str">
        <f>MID(D2, SEARCH("point", D2) + 5, 99)</f>
        <v>38526</v>
      </c>
      <c r="F2" t="s">
        <v>181</v>
      </c>
      <c r="G2" t="s">
        <v>182</v>
      </c>
      <c r="H2" t="str">
        <f xml:space="preserve"> "'" &amp; F2 &amp; "'"</f>
        <v>'4,524;6,247;5,108;4,457'</v>
      </c>
      <c r="I2" t="str">
        <f xml:space="preserve"> "'" &amp; G2 &amp; "'"</f>
        <v>'1,217;13,202;12,284;1,256'</v>
      </c>
    </row>
    <row r="3" spans="1:9">
      <c r="A3">
        <v>3</v>
      </c>
      <c r="B3" t="s">
        <v>18</v>
      </c>
      <c r="C3" t="s">
        <v>122</v>
      </c>
      <c r="D3" t="s">
        <v>105</v>
      </c>
      <c r="E3" t="str">
        <f t="shared" ref="E3:E37" si="0">MID(D3, SEARCH("point", D3) + 5, 99)</f>
        <v>31016</v>
      </c>
      <c r="F3" t="s">
        <v>183</v>
      </c>
      <c r="G3" t="s">
        <v>184</v>
      </c>
      <c r="H3" t="str">
        <f t="shared" ref="H3:H37" si="1" xml:space="preserve"> "'" &amp; F3 &amp; "'"</f>
        <v>'1,707;2,693;2,18;2,063'</v>
      </c>
      <c r="I3" t="str">
        <f t="shared" ref="I3:I37" si="2" xml:space="preserve"> "'" &amp; G3 &amp; "'"</f>
        <v>'6,706;15,3;14,339;5,648'</v>
      </c>
    </row>
    <row r="4" spans="1:9">
      <c r="A4">
        <v>4</v>
      </c>
      <c r="B4" t="s">
        <v>18</v>
      </c>
      <c r="C4" t="s">
        <v>123</v>
      </c>
      <c r="D4" t="s">
        <v>106</v>
      </c>
      <c r="E4" t="str">
        <f t="shared" si="0"/>
        <v>26511</v>
      </c>
      <c r="F4" t="s">
        <v>185</v>
      </c>
      <c r="G4" t="s">
        <v>186</v>
      </c>
      <c r="H4" t="str">
        <f t="shared" si="1"/>
        <v>'1,645;2,632;2,228;2,073'</v>
      </c>
      <c r="I4" t="str">
        <f t="shared" si="2"/>
        <v>'5,383;14,052;13,244;4,308'</v>
      </c>
    </row>
    <row r="5" spans="1:9">
      <c r="A5">
        <v>5</v>
      </c>
      <c r="B5" t="s">
        <v>18</v>
      </c>
      <c r="C5" t="s">
        <v>124</v>
      </c>
      <c r="D5" t="s">
        <v>108</v>
      </c>
      <c r="E5" t="str">
        <f t="shared" si="0"/>
        <v>31053</v>
      </c>
      <c r="F5" t="s">
        <v>187</v>
      </c>
      <c r="G5" t="s">
        <v>188</v>
      </c>
      <c r="H5" t="str">
        <f t="shared" si="1"/>
        <v>'1,23;2,407;1,524;1,166'</v>
      </c>
      <c r="I5" t="str">
        <f t="shared" si="2"/>
        <v>'5,058;15,095;13,899;3,563'</v>
      </c>
    </row>
    <row r="6" spans="1:9">
      <c r="A6">
        <v>6</v>
      </c>
      <c r="B6" t="s">
        <v>18</v>
      </c>
      <c r="C6" t="s">
        <v>125</v>
      </c>
      <c r="D6" t="s">
        <v>110</v>
      </c>
      <c r="E6" t="str">
        <f t="shared" si="0"/>
        <v>29731</v>
      </c>
      <c r="F6" t="s">
        <v>192</v>
      </c>
      <c r="G6" t="s">
        <v>193</v>
      </c>
      <c r="H6" t="str">
        <f t="shared" si="1"/>
        <v>'1,184;2,248;1,515;1,285'</v>
      </c>
      <c r="I6" t="str">
        <f t="shared" si="2"/>
        <v>'5,109;15,319;14,014;3,24'</v>
      </c>
    </row>
    <row r="7" spans="1:9">
      <c r="A7">
        <v>7</v>
      </c>
      <c r="B7" t="s">
        <v>18</v>
      </c>
      <c r="C7" t="s">
        <v>126</v>
      </c>
      <c r="D7" t="s">
        <v>111</v>
      </c>
      <c r="E7" t="str">
        <f t="shared" si="0"/>
        <v>26530</v>
      </c>
      <c r="F7" t="s">
        <v>194</v>
      </c>
      <c r="G7" t="s">
        <v>195</v>
      </c>
      <c r="H7" t="str">
        <f t="shared" si="1"/>
        <v>'1,236;2,261;1,649;1,486'</v>
      </c>
      <c r="I7" t="str">
        <f t="shared" si="2"/>
        <v>'4,851;14,504;13,343;3,19'</v>
      </c>
    </row>
    <row r="8" spans="1:9">
      <c r="A8">
        <v>8</v>
      </c>
      <c r="B8" t="s">
        <v>18</v>
      </c>
      <c r="C8" t="s">
        <v>127</v>
      </c>
      <c r="D8" t="s">
        <v>113</v>
      </c>
      <c r="E8" t="str">
        <f t="shared" si="0"/>
        <v>34569</v>
      </c>
      <c r="F8" t="s">
        <v>196</v>
      </c>
      <c r="G8" t="s">
        <v>197</v>
      </c>
      <c r="H8" t="str">
        <f t="shared" si="1"/>
        <v>'1,663;2,807;2,108;1,915'</v>
      </c>
      <c r="I8" t="str">
        <f t="shared" si="2"/>
        <v>'3,672;13,987;12,555;2,096'</v>
      </c>
    </row>
    <row r="9" spans="1:9">
      <c r="A9">
        <v>10</v>
      </c>
      <c r="B9" t="s">
        <v>18</v>
      </c>
      <c r="C9" t="s">
        <v>128</v>
      </c>
      <c r="D9" t="s">
        <v>114</v>
      </c>
      <c r="E9" t="str">
        <f t="shared" si="0"/>
        <v>38183</v>
      </c>
      <c r="F9" t="s">
        <v>198</v>
      </c>
      <c r="G9" t="s">
        <v>199</v>
      </c>
      <c r="H9" t="str">
        <f t="shared" si="1"/>
        <v>'2,003;4,09;2,781;1,901'</v>
      </c>
      <c r="I9" t="str">
        <f t="shared" si="2"/>
        <v>'3,947;13,979;12,793;2,551'</v>
      </c>
    </row>
    <row r="10" spans="1:9">
      <c r="A10">
        <v>11</v>
      </c>
      <c r="B10" t="s">
        <v>18</v>
      </c>
      <c r="C10" t="s">
        <v>129</v>
      </c>
      <c r="D10" t="s">
        <v>115</v>
      </c>
      <c r="E10" t="str">
        <f t="shared" si="0"/>
        <v>29711</v>
      </c>
      <c r="F10" t="s">
        <v>200</v>
      </c>
      <c r="G10" t="s">
        <v>201</v>
      </c>
      <c r="H10" t="str">
        <f t="shared" si="1"/>
        <v>'2,593;3,397;2,924;3,161'</v>
      </c>
      <c r="I10" t="str">
        <f t="shared" si="2"/>
        <v>'3,549;13,453;12,268;2,642'</v>
      </c>
    </row>
    <row r="11" spans="1:9">
      <c r="A11">
        <v>12</v>
      </c>
      <c r="B11" t="s">
        <v>18</v>
      </c>
      <c r="C11" t="s">
        <v>130</v>
      </c>
      <c r="D11" t="s">
        <v>116</v>
      </c>
      <c r="E11" t="str">
        <f t="shared" si="0"/>
        <v>32670</v>
      </c>
      <c r="F11" t="s">
        <v>202</v>
      </c>
      <c r="G11" t="s">
        <v>203</v>
      </c>
      <c r="H11" t="str">
        <f t="shared" si="1"/>
        <v>'1,938;3,016;2,425;2,197'</v>
      </c>
      <c r="I11" t="str">
        <f t="shared" si="2"/>
        <v>'5,132;14,263;13,07;3,789'</v>
      </c>
    </row>
    <row r="12" spans="1:9">
      <c r="A12">
        <v>13</v>
      </c>
      <c r="B12" t="s">
        <v>18</v>
      </c>
      <c r="C12" t="s">
        <v>131</v>
      </c>
      <c r="D12" t="s">
        <v>117</v>
      </c>
      <c r="E12" t="str">
        <f t="shared" si="0"/>
        <v>33292</v>
      </c>
      <c r="F12" t="s">
        <v>204</v>
      </c>
      <c r="G12" t="s">
        <v>205</v>
      </c>
      <c r="H12" t="str">
        <f t="shared" si="1"/>
        <v>'1,723;2,384;1,934;2,044'</v>
      </c>
      <c r="I12" t="str">
        <f t="shared" si="2"/>
        <v>'5,591;15,527;14,124;3,581'</v>
      </c>
    </row>
    <row r="13" spans="1:9">
      <c r="A13">
        <v>14</v>
      </c>
      <c r="B13" t="s">
        <v>18</v>
      </c>
      <c r="C13" t="s">
        <v>132</v>
      </c>
      <c r="D13" t="s">
        <v>118</v>
      </c>
      <c r="E13" t="str">
        <f t="shared" si="0"/>
        <v>34874</v>
      </c>
      <c r="F13" t="s">
        <v>206</v>
      </c>
      <c r="G13" t="s">
        <v>207</v>
      </c>
      <c r="H13" t="str">
        <f t="shared" si="1"/>
        <v>'1,861;2,996;2,202;2,089'</v>
      </c>
      <c r="I13" t="str">
        <f t="shared" si="2"/>
        <v>'4,497;13,989;12,994;3,122'</v>
      </c>
    </row>
    <row r="14" spans="1:9">
      <c r="A14">
        <v>2</v>
      </c>
      <c r="B14" t="s">
        <v>63</v>
      </c>
      <c r="C14" t="s">
        <v>133</v>
      </c>
      <c r="D14" t="s">
        <v>71</v>
      </c>
      <c r="E14" t="str">
        <f t="shared" si="0"/>
        <v>38526</v>
      </c>
      <c r="F14" t="s">
        <v>208</v>
      </c>
      <c r="G14" t="s">
        <v>209</v>
      </c>
      <c r="H14" t="str">
        <f t="shared" si="1"/>
        <v>'5,335;5,57;4,533;4,795'</v>
      </c>
      <c r="I14" t="str">
        <f t="shared" si="2"/>
        <v>'2,134;13,265;12,31;0,864'</v>
      </c>
    </row>
    <row r="15" spans="1:9">
      <c r="A15">
        <v>3</v>
      </c>
      <c r="B15" t="s">
        <v>63</v>
      </c>
      <c r="C15" t="s">
        <v>134</v>
      </c>
      <c r="D15" t="s">
        <v>72</v>
      </c>
      <c r="E15" t="str">
        <f t="shared" si="0"/>
        <v>31016</v>
      </c>
      <c r="F15" t="s">
        <v>210</v>
      </c>
      <c r="G15" t="s">
        <v>211</v>
      </c>
      <c r="H15" t="str">
        <f t="shared" si="1"/>
        <v>'1,891;2,509;2,207;1,956'</v>
      </c>
      <c r="I15" t="str">
        <f t="shared" si="2"/>
        <v>'7,151;15,672;14,487;5,021'</v>
      </c>
    </row>
    <row r="16" spans="1:9">
      <c r="A16">
        <v>4</v>
      </c>
      <c r="B16" t="s">
        <v>63</v>
      </c>
      <c r="C16" t="s">
        <v>135</v>
      </c>
      <c r="D16" t="s">
        <v>73</v>
      </c>
      <c r="E16" t="str">
        <f t="shared" si="0"/>
        <v>26511</v>
      </c>
      <c r="F16" t="s">
        <v>212</v>
      </c>
      <c r="G16" t="s">
        <v>213</v>
      </c>
      <c r="H16" t="str">
        <f t="shared" si="1"/>
        <v>'1,699;2,505;2,368;1,994'</v>
      </c>
      <c r="I16" t="str">
        <f t="shared" si="2"/>
        <v>'5,752;14,404;13,421;3,794'</v>
      </c>
    </row>
    <row r="17" spans="1:9">
      <c r="A17">
        <v>5</v>
      </c>
      <c r="B17" t="s">
        <v>63</v>
      </c>
      <c r="C17" t="s">
        <v>136</v>
      </c>
      <c r="D17" t="s">
        <v>74</v>
      </c>
      <c r="E17" t="str">
        <f t="shared" si="0"/>
        <v>31054</v>
      </c>
      <c r="F17" t="s">
        <v>214</v>
      </c>
      <c r="G17" t="s">
        <v>215</v>
      </c>
      <c r="H17" t="str">
        <f t="shared" si="1"/>
        <v>'1,218;2,286;1,618;1,198'</v>
      </c>
      <c r="I17" t="str">
        <f t="shared" si="2"/>
        <v>'5,662;15,468;14,123;3,115'</v>
      </c>
    </row>
    <row r="18" spans="1:9">
      <c r="A18">
        <v>6</v>
      </c>
      <c r="B18" t="s">
        <v>63</v>
      </c>
      <c r="C18" t="s">
        <v>137</v>
      </c>
      <c r="D18" t="s">
        <v>76</v>
      </c>
      <c r="E18" t="str">
        <f t="shared" si="0"/>
        <v>29033</v>
      </c>
      <c r="F18" t="s">
        <v>216</v>
      </c>
      <c r="G18" t="s">
        <v>217</v>
      </c>
      <c r="H18" t="str">
        <f t="shared" si="1"/>
        <v>'1,249;2,135;1,613;1,3'</v>
      </c>
      <c r="I18" t="str">
        <f t="shared" si="2"/>
        <v>'5,705;15,518;13,984;3,044'</v>
      </c>
    </row>
    <row r="19" spans="1:9">
      <c r="A19">
        <v>7</v>
      </c>
      <c r="B19" t="s">
        <v>63</v>
      </c>
      <c r="C19" t="s">
        <v>138</v>
      </c>
      <c r="D19" t="s">
        <v>78</v>
      </c>
      <c r="E19" t="str">
        <f t="shared" si="0"/>
        <v>26530</v>
      </c>
      <c r="F19" t="s">
        <v>218</v>
      </c>
      <c r="G19" t="s">
        <v>219</v>
      </c>
      <c r="H19" t="str">
        <f t="shared" si="1"/>
        <v>'1,258;2,127;1,824;1,408'</v>
      </c>
      <c r="I19" t="str">
        <f t="shared" si="2"/>
        <v>'5,34;14,724;13,334;2,895'</v>
      </c>
    </row>
    <row r="20" spans="1:9">
      <c r="A20">
        <v>8</v>
      </c>
      <c r="B20" t="s">
        <v>63</v>
      </c>
      <c r="C20" t="s">
        <v>139</v>
      </c>
      <c r="D20" t="s">
        <v>80</v>
      </c>
      <c r="E20" t="str">
        <f t="shared" si="0"/>
        <v>34253</v>
      </c>
      <c r="F20" t="s">
        <v>220</v>
      </c>
      <c r="G20" t="s">
        <v>221</v>
      </c>
      <c r="H20" t="str">
        <f t="shared" si="1"/>
        <v>'1,869;2,398;2,168;2,113'</v>
      </c>
      <c r="I20" t="str">
        <f t="shared" si="2"/>
        <v>'4,068;14,103;12,581;1,586'</v>
      </c>
    </row>
    <row r="21" spans="1:9">
      <c r="A21">
        <v>10</v>
      </c>
      <c r="B21" t="s">
        <v>63</v>
      </c>
      <c r="C21" t="s">
        <v>140</v>
      </c>
      <c r="D21" t="s">
        <v>81</v>
      </c>
      <c r="E21" t="str">
        <f t="shared" si="0"/>
        <v>37861</v>
      </c>
      <c r="F21" t="s">
        <v>222</v>
      </c>
      <c r="G21" t="s">
        <v>223</v>
      </c>
      <c r="H21" t="str">
        <f t="shared" si="1"/>
        <v>'2,499;3,507;2,839;2,23'</v>
      </c>
      <c r="I21" t="str">
        <f t="shared" si="2"/>
        <v>'4,411;14,362;13,055;2,234'</v>
      </c>
    </row>
    <row r="22" spans="1:9">
      <c r="A22">
        <v>11</v>
      </c>
      <c r="B22" t="s">
        <v>63</v>
      </c>
      <c r="C22" t="s">
        <v>141</v>
      </c>
      <c r="D22" t="s">
        <v>83</v>
      </c>
      <c r="E22" t="str">
        <f t="shared" si="0"/>
        <v>29711</v>
      </c>
      <c r="F22" t="s">
        <v>224</v>
      </c>
      <c r="G22" t="s">
        <v>225</v>
      </c>
      <c r="H22" t="str">
        <f t="shared" si="1"/>
        <v>'2,526;3,311;3,144;3,087'</v>
      </c>
      <c r="I22" t="str">
        <f t="shared" si="2"/>
        <v>'4,335;13,681;12,273;2,131'</v>
      </c>
    </row>
    <row r="23" spans="1:9">
      <c r="A23">
        <v>12</v>
      </c>
      <c r="B23" t="s">
        <v>63</v>
      </c>
      <c r="C23" t="s">
        <v>142</v>
      </c>
      <c r="D23" t="s">
        <v>84</v>
      </c>
      <c r="E23" t="str">
        <f t="shared" si="0"/>
        <v>32670</v>
      </c>
      <c r="F23" t="s">
        <v>226</v>
      </c>
      <c r="G23" t="s">
        <v>227</v>
      </c>
      <c r="H23" t="str">
        <f t="shared" si="1"/>
        <v>'2,074;2,974;2,469;2,069'</v>
      </c>
      <c r="I23" t="str">
        <f t="shared" si="2"/>
        <v>'5,646;14,565;13,109;3,346'</v>
      </c>
    </row>
    <row r="24" spans="1:9">
      <c r="A24">
        <v>13</v>
      </c>
      <c r="B24" t="s">
        <v>63</v>
      </c>
      <c r="C24" t="s">
        <v>143</v>
      </c>
      <c r="D24" t="s">
        <v>85</v>
      </c>
      <c r="E24" t="str">
        <f t="shared" si="0"/>
        <v>33292</v>
      </c>
      <c r="F24" t="s">
        <v>228</v>
      </c>
      <c r="G24" t="s">
        <v>229</v>
      </c>
      <c r="H24" t="str">
        <f t="shared" si="1"/>
        <v>'1,821;2,267;2,094;1,919'</v>
      </c>
      <c r="I24" t="str">
        <f t="shared" si="2"/>
        <v>'6,067;15,836;14,052;3,264'</v>
      </c>
    </row>
    <row r="25" spans="1:9">
      <c r="A25">
        <v>14</v>
      </c>
      <c r="B25" t="s">
        <v>63</v>
      </c>
      <c r="C25" t="s">
        <v>144</v>
      </c>
      <c r="D25" t="s">
        <v>86</v>
      </c>
      <c r="E25" t="str">
        <f t="shared" si="0"/>
        <v>36494</v>
      </c>
      <c r="F25" t="s">
        <v>230</v>
      </c>
      <c r="G25" t="s">
        <v>231</v>
      </c>
      <c r="H25" t="str">
        <f t="shared" si="1"/>
        <v>'1,956;2,691;2,264;1,896'</v>
      </c>
      <c r="I25" t="str">
        <f t="shared" si="2"/>
        <v>'5,051;14,615;13,292;2,839'</v>
      </c>
    </row>
    <row r="26" spans="1:9">
      <c r="A26">
        <v>2</v>
      </c>
      <c r="B26" t="s">
        <v>60</v>
      </c>
      <c r="C26" t="s">
        <v>145</v>
      </c>
      <c r="D26" t="s">
        <v>88</v>
      </c>
      <c r="E26" t="str">
        <f t="shared" si="0"/>
        <v>38526</v>
      </c>
      <c r="F26" t="s">
        <v>232</v>
      </c>
      <c r="G26" t="s">
        <v>233</v>
      </c>
      <c r="H26" t="str">
        <f t="shared" si="1"/>
        <v>'5,596;5,468;4,088;5,21'</v>
      </c>
      <c r="I26" t="str">
        <f t="shared" si="2"/>
        <v>'2,864;13,386;11,454;0,83'</v>
      </c>
    </row>
    <row r="27" spans="1:9">
      <c r="A27">
        <v>3</v>
      </c>
      <c r="B27" t="s">
        <v>60</v>
      </c>
      <c r="C27" t="s">
        <v>146</v>
      </c>
      <c r="D27" t="s">
        <v>89</v>
      </c>
      <c r="E27" t="str">
        <f t="shared" si="0"/>
        <v>31354</v>
      </c>
      <c r="F27" t="s">
        <v>234</v>
      </c>
      <c r="G27" t="s">
        <v>235</v>
      </c>
      <c r="H27" t="str">
        <f t="shared" si="1"/>
        <v>'2,107;2,254;1,805;2,273'</v>
      </c>
      <c r="I27" t="str">
        <f t="shared" si="2"/>
        <v>'7,469;15,461;14,024;5,382'</v>
      </c>
    </row>
    <row r="28" spans="1:9">
      <c r="A28">
        <v>4</v>
      </c>
      <c r="B28" t="s">
        <v>60</v>
      </c>
      <c r="C28" t="s">
        <v>147</v>
      </c>
      <c r="D28" t="s">
        <v>90</v>
      </c>
      <c r="E28" t="str">
        <f t="shared" si="0"/>
        <v>26511</v>
      </c>
      <c r="F28" t="s">
        <v>236</v>
      </c>
      <c r="G28" t="s">
        <v>237</v>
      </c>
      <c r="H28" t="str">
        <f t="shared" si="1"/>
        <v>'1,976;2,394;2,034;2,147'</v>
      </c>
      <c r="I28" t="str">
        <f t="shared" si="2"/>
        <v>'5,981;14,253;12,892;4,018'</v>
      </c>
    </row>
    <row r="29" spans="1:9">
      <c r="A29">
        <v>5</v>
      </c>
      <c r="B29" t="s">
        <v>60</v>
      </c>
      <c r="C29" t="s">
        <v>148</v>
      </c>
      <c r="D29" t="s">
        <v>91</v>
      </c>
      <c r="E29" t="str">
        <f t="shared" si="0"/>
        <v>29016</v>
      </c>
      <c r="F29" t="s">
        <v>238</v>
      </c>
      <c r="G29" t="s">
        <v>239</v>
      </c>
      <c r="H29" t="str">
        <f t="shared" si="1"/>
        <v>'1,354;2,046;1,444;1,3'</v>
      </c>
      <c r="I29" t="str">
        <f t="shared" si="2"/>
        <v>'5,768;15,138;13,311;3,196'</v>
      </c>
    </row>
    <row r="30" spans="1:9">
      <c r="A30">
        <v>6</v>
      </c>
      <c r="B30" t="s">
        <v>60</v>
      </c>
      <c r="C30" t="s">
        <v>149</v>
      </c>
      <c r="D30" t="s">
        <v>92</v>
      </c>
      <c r="E30" t="str">
        <f t="shared" si="0"/>
        <v>30070</v>
      </c>
      <c r="F30" t="s">
        <v>240</v>
      </c>
      <c r="G30" t="s">
        <v>241</v>
      </c>
      <c r="H30" t="str">
        <f t="shared" si="1"/>
        <v>'1,504;2,16;1,455;1,395'</v>
      </c>
      <c r="I30" t="str">
        <f t="shared" si="2"/>
        <v>'5,717;15,528;13,393;2,927'</v>
      </c>
    </row>
    <row r="31" spans="1:9">
      <c r="A31">
        <v>7</v>
      </c>
      <c r="B31" t="s">
        <v>60</v>
      </c>
      <c r="C31" t="s">
        <v>150</v>
      </c>
      <c r="D31" t="s">
        <v>93</v>
      </c>
      <c r="E31" t="str">
        <f t="shared" si="0"/>
        <v>26183</v>
      </c>
      <c r="F31" t="s">
        <v>242</v>
      </c>
      <c r="G31" t="s">
        <v>243</v>
      </c>
      <c r="H31" t="str">
        <f t="shared" si="1"/>
        <v>'1,523;1,967;1,509;1,631'</v>
      </c>
      <c r="I31" t="str">
        <f t="shared" si="2"/>
        <v>'5,301;14,601;12,91;3,002'</v>
      </c>
    </row>
    <row r="32" spans="1:9">
      <c r="A32">
        <v>8</v>
      </c>
      <c r="B32" t="s">
        <v>60</v>
      </c>
      <c r="C32" t="s">
        <v>151</v>
      </c>
      <c r="D32" t="s">
        <v>95</v>
      </c>
      <c r="E32" t="str">
        <f t="shared" si="0"/>
        <v>34891</v>
      </c>
      <c r="F32" t="s">
        <v>244</v>
      </c>
      <c r="G32" t="s">
        <v>245</v>
      </c>
      <c r="H32" t="str">
        <f t="shared" si="1"/>
        <v>'2,279;2,736;1,884;2,262'</v>
      </c>
      <c r="I32" t="str">
        <f t="shared" si="2"/>
        <v>'4,243;14,122;11,762;1,391'</v>
      </c>
    </row>
    <row r="33" spans="1:9">
      <c r="A33">
        <v>10</v>
      </c>
      <c r="B33" t="s">
        <v>60</v>
      </c>
      <c r="C33" t="s">
        <v>152</v>
      </c>
      <c r="D33" t="s">
        <v>96</v>
      </c>
      <c r="E33" t="str">
        <f t="shared" si="0"/>
        <v>37861</v>
      </c>
      <c r="F33" t="s">
        <v>246</v>
      </c>
      <c r="G33" t="s">
        <v>247</v>
      </c>
      <c r="H33" t="str">
        <f t="shared" si="1"/>
        <v>'2,846;3,317;2,334;2,538'</v>
      </c>
      <c r="I33" t="str">
        <f t="shared" si="2"/>
        <v>'5,0;14,43;12,316;2,289'</v>
      </c>
    </row>
    <row r="34" spans="1:9">
      <c r="A34">
        <v>11</v>
      </c>
      <c r="B34" t="s">
        <v>60</v>
      </c>
      <c r="C34" t="s">
        <v>153</v>
      </c>
      <c r="D34" t="s">
        <v>98</v>
      </c>
      <c r="E34" t="str">
        <f t="shared" si="0"/>
        <v>31713</v>
      </c>
      <c r="F34" t="s">
        <v>248</v>
      </c>
      <c r="G34" t="s">
        <v>249</v>
      </c>
      <c r="H34" t="str">
        <f t="shared" si="1"/>
        <v>'2,802;2,987;2,246;3,054'</v>
      </c>
      <c r="I34" t="str">
        <f t="shared" si="2"/>
        <v>'4,671;13,559;11,42;2,445'</v>
      </c>
    </row>
    <row r="35" spans="1:9">
      <c r="A35">
        <v>12</v>
      </c>
      <c r="B35" t="s">
        <v>60</v>
      </c>
      <c r="C35" t="s">
        <v>154</v>
      </c>
      <c r="D35" t="s">
        <v>99</v>
      </c>
      <c r="E35" t="str">
        <f t="shared" si="0"/>
        <v>32670</v>
      </c>
      <c r="F35" t="s">
        <v>250</v>
      </c>
      <c r="G35" t="s">
        <v>251</v>
      </c>
      <c r="H35" t="str">
        <f t="shared" si="1"/>
        <v>'2,455;2,669;1,934;2,434'</v>
      </c>
      <c r="I35" t="str">
        <f t="shared" si="2"/>
        <v>'5,926;14,596;12,565;3,517'</v>
      </c>
    </row>
    <row r="36" spans="1:9">
      <c r="A36">
        <v>13</v>
      </c>
      <c r="B36" t="s">
        <v>60</v>
      </c>
      <c r="C36" t="s">
        <v>155</v>
      </c>
      <c r="D36" t="s">
        <v>101</v>
      </c>
      <c r="E36" t="str">
        <f t="shared" si="0"/>
        <v>33292</v>
      </c>
      <c r="F36" t="s">
        <v>252</v>
      </c>
      <c r="G36" t="s">
        <v>253</v>
      </c>
      <c r="H36" t="str">
        <f t="shared" si="1"/>
        <v>'2,18;2,022;1,557;2,3'</v>
      </c>
      <c r="I36" t="str">
        <f t="shared" si="2"/>
        <v>'6,301;15,882;13,637;3,383'</v>
      </c>
    </row>
    <row r="37" spans="1:9">
      <c r="A37">
        <v>14</v>
      </c>
      <c r="B37" t="s">
        <v>60</v>
      </c>
      <c r="C37" t="s">
        <v>156</v>
      </c>
      <c r="D37" t="s">
        <v>102</v>
      </c>
      <c r="E37" t="str">
        <f t="shared" si="0"/>
        <v>34873</v>
      </c>
      <c r="F37" t="s">
        <v>254</v>
      </c>
      <c r="G37" t="s">
        <v>255</v>
      </c>
      <c r="H37" t="str">
        <f t="shared" si="1"/>
        <v>'2,384;2,668;1,836;2,528'</v>
      </c>
      <c r="I37" t="str">
        <f t="shared" si="2"/>
        <v>'5,59;14,607;12,743;3,0'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B3B3-409D-4B41-A56B-DB14E5D7512F}">
  <sheetPr>
    <outlinePr summaryBelow="0" summaryRight="0"/>
  </sheetPr>
  <dimension ref="A1:AI5"/>
  <sheetViews>
    <sheetView zoomScale="90" zoomScaleNormal="90" workbookViewId="0">
      <selection activeCell="Z14" sqref="Z14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5" width="17.44140625" style="13" customWidth="1"/>
    <col min="6" max="6" width="19.88671875" style="13" customWidth="1"/>
    <col min="7" max="10" width="22.109375" style="13" customWidth="1"/>
    <col min="11" max="12" width="13.88671875" style="13"/>
    <col min="13" max="13" width="13.44140625" style="13" bestFit="1" customWidth="1"/>
    <col min="14" max="14" width="12.44140625" style="13" bestFit="1" customWidth="1"/>
    <col min="15" max="15" width="48.33203125" style="13" bestFit="1" customWidth="1"/>
    <col min="16" max="16" width="10" style="13" bestFit="1" customWidth="1"/>
    <col min="17" max="17" width="12.109375" style="13" customWidth="1"/>
    <col min="18" max="18" width="45.5546875" style="13" bestFit="1" customWidth="1"/>
    <col min="19" max="19" width="48.6640625" style="13" bestFit="1" customWidth="1"/>
    <col min="20" max="20" width="54" style="13" customWidth="1"/>
    <col min="21" max="21" width="31.21875" style="13" bestFit="1" customWidth="1"/>
    <col min="22" max="22" width="34.21875" style="13" bestFit="1" customWidth="1"/>
    <col min="23" max="23" width="24.109375" style="13" customWidth="1"/>
    <col min="24" max="24" width="31.33203125" style="13" bestFit="1" customWidth="1"/>
    <col min="25" max="25" width="33.6640625" style="13" bestFit="1" customWidth="1"/>
    <col min="26" max="26" width="43.88671875" style="13" bestFit="1" customWidth="1"/>
    <col min="27" max="27" width="25.33203125" style="13" customWidth="1"/>
    <col min="28" max="28" width="29.109375" style="13" bestFit="1" customWidth="1"/>
    <col min="29" max="29" width="15" style="13" bestFit="1" customWidth="1"/>
    <col min="30" max="31" width="31" style="13" customWidth="1"/>
    <col min="32" max="32" width="47.77734375" style="13" customWidth="1"/>
    <col min="33" max="33" width="17.77734375" style="13" bestFit="1" customWidth="1"/>
    <col min="34" max="34" width="28.33203125" style="13" bestFit="1" customWidth="1"/>
    <col min="35" max="35" width="42.33203125" style="13" bestFit="1" customWidth="1"/>
    <col min="36" max="16384" width="13.88671875" style="13"/>
  </cols>
  <sheetData>
    <row r="1" spans="1:35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56</v>
      </c>
      <c r="I1" s="2" t="s">
        <v>38</v>
      </c>
      <c r="J1" s="2" t="s">
        <v>39</v>
      </c>
      <c r="K1" s="2" t="s">
        <v>5</v>
      </c>
      <c r="L1" s="2" t="s">
        <v>6</v>
      </c>
      <c r="M1" s="1" t="s">
        <v>7</v>
      </c>
      <c r="N1" s="1" t="s">
        <v>8</v>
      </c>
      <c r="O1" s="1" t="s">
        <v>9</v>
      </c>
      <c r="P1" s="3" t="s">
        <v>10</v>
      </c>
      <c r="Q1" s="3" t="s">
        <v>40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15</v>
      </c>
      <c r="AB1" s="15" t="s">
        <v>51</v>
      </c>
      <c r="AC1" s="15" t="s">
        <v>45</v>
      </c>
      <c r="AD1" s="15" t="s">
        <v>33</v>
      </c>
      <c r="AE1" s="15" t="s">
        <v>55</v>
      </c>
      <c r="AF1" s="15" t="s">
        <v>42</v>
      </c>
      <c r="AG1" s="15" t="s">
        <v>44</v>
      </c>
      <c r="AH1" s="15" t="s">
        <v>37</v>
      </c>
      <c r="AI1" s="15" t="s">
        <v>52</v>
      </c>
    </row>
    <row r="2" spans="1:35" ht="13.8">
      <c r="A2" s="7" t="str">
        <f>"Cluster" &amp; I2 &amp; "_" &amp; D2 &amp; "_repl" &amp; J2</f>
        <v>Cluster2_historical_repl1</v>
      </c>
      <c r="B2" s="8" t="s">
        <v>16</v>
      </c>
      <c r="C2" s="8" t="s">
        <v>54</v>
      </c>
      <c r="D2" s="8" t="s">
        <v>17</v>
      </c>
      <c r="E2" s="8" t="str">
        <f t="shared" ref="E2:E5" si="0">IF(D2="historical", "historical", IF(D2="RCP26", "rcp_2_6", IF(D2="RCP45", "rcp_4_5", "rcp_8_5")))</f>
        <v>historical</v>
      </c>
      <c r="F2" s="8">
        <v>350</v>
      </c>
      <c r="G2" s="8" t="s">
        <v>18</v>
      </c>
      <c r="H2" s="18">
        <v>6.2493566238876597E-6</v>
      </c>
      <c r="I2" s="8">
        <v>2</v>
      </c>
      <c r="J2" s="8">
        <v>1</v>
      </c>
      <c r="K2" s="8"/>
      <c r="L2" s="8">
        <v>1</v>
      </c>
      <c r="M2" s="10" t="s">
        <v>21</v>
      </c>
      <c r="N2" s="17" t="s">
        <v>58</v>
      </c>
      <c r="O2" s="10" t="str">
        <f t="shared" ref="O2:O5" si="1">A2  &amp; ".sqlite"</f>
        <v>Cluster2_historical_repl1.sqlite</v>
      </c>
      <c r="P2" s="11">
        <v>1</v>
      </c>
      <c r="Q2" s="11">
        <v>0</v>
      </c>
      <c r="R2" s="16" t="str">
        <f t="shared" ref="R2:R5" si="2">"climate_db_" &amp; G2&amp; "_" &amp;  E2&amp; "_v4.sqlite"</f>
        <v>climate_db_ICHEC-EC-EARTH_historical_v4.sqlite</v>
      </c>
      <c r="S2" s="16" t="str">
        <f t="shared" ref="S2:S5" si="3">"log/" &amp;A2  &amp; ".txt"</f>
        <v>log/Cluster2_historical_repl1.txt</v>
      </c>
      <c r="T2" s="16" t="str">
        <f t="shared" ref="T2:T5" si="4">"init_JM/env_file_CLUSTER" &amp; TEXT(I2, "00") &amp; "_" &amp; G2 &amp; "_" &amp; E2 &amp; "_REPL" &amp; J2 &amp; ".csv"</f>
        <v>init_JM/env_file_CLUSTER02_ICHEC-EC-EARTH_historical_REPL1.csv</v>
      </c>
      <c r="U2" s="16" t="str">
        <f t="shared" ref="U2:U5" si="5">"init_JM/env_grid_CLUSTER" &amp; TEXT(I2, "00") &amp; "_REPL" &amp; J2 &amp; ".asc"</f>
        <v>init_JM/env_grid_CLUSTER02_REPL1.asc</v>
      </c>
      <c r="V2" s="16" t="str">
        <f t="shared" ref="V2:V5" si="6">U2</f>
        <v>init_JM/env_grid_CLUSTER02_REPL1.asc</v>
      </c>
      <c r="W2" s="16" t="str">
        <f t="shared" ref="W2:W5" si="7">"../init_JM/trees_cluster" &amp; I2 &amp; "_repl" &amp; J2 &amp; ".csv"</f>
        <v>../init_JM/trees_cluster2_repl1.csv</v>
      </c>
      <c r="X2" s="16" t="str">
        <f t="shared" ref="X2:X5" si="8">"../init_JM/saplings_cluster" &amp; I2 &amp; "_repl" &amp; J2 &amp; ".csv"</f>
        <v>../init_JM/saplings_cluster2_repl1.csv</v>
      </c>
      <c r="Y2" s="16">
        <f t="shared" ref="Y2" si="9">F2</f>
        <v>350</v>
      </c>
      <c r="Z2" s="16" t="str">
        <f t="shared" ref="Z2:Z5" si="10">"abe/stand_files2/" &amp;  B2  &amp; "_cl"  &amp; TEXT(I2, "00") &amp; "_repl" &amp; J2 &amp; ".csv"</f>
        <v>abe/stand_files2/noMgmt_cl02_repl1.csv</v>
      </c>
      <c r="AA2" s="16">
        <f t="shared" ref="AA2:AA5" si="11">L2</f>
        <v>1</v>
      </c>
      <c r="AB2" s="16" t="str">
        <f t="shared" ref="AB2:AB5" si="12">"gis/WindModifier_cl" &amp; I2 &amp; ".asc"</f>
        <v>gis/WindModifier_cl2.asc</v>
      </c>
      <c r="AC2" s="16">
        <f t="shared" ref="AC2:AC5" si="13">L2</f>
        <v>1</v>
      </c>
      <c r="AD2" s="16">
        <f t="shared" ref="AD2:AD5" si="14">L2</f>
        <v>1</v>
      </c>
      <c r="AE2" s="16">
        <f>IF(C2="Scaled_", H2+0.0000000001,  0.000685)</f>
        <v>6.24945662388766E-6</v>
      </c>
      <c r="AF2" s="16" t="str">
        <f t="shared" ref="AF2:AF5" si="15">"ICHEC-EC-EARTH_" &amp; E2 &amp; "_point32685"</f>
        <v>ICHEC-EC-EARTH_historical_point32685</v>
      </c>
      <c r="AG2" s="16">
        <f t="shared" ref="AG2:AG5" si="16">L2</f>
        <v>1</v>
      </c>
      <c r="AH2" s="16" t="str">
        <f t="shared" ref="AH2:AH5" si="17">"wind_Events/" &amp; C2 &amp; "cl" &amp; I2 &amp; "_repl" &amp; J2 &amp; ".txt"</f>
        <v>wind_Events/Scaled_cl2_repl1.txt</v>
      </c>
      <c r="AI2" s="16" t="str">
        <f t="shared" ref="AI2:AI5" si="18">A2</f>
        <v>Cluster2_historical_repl1</v>
      </c>
    </row>
    <row r="3" spans="1:35" ht="13.8">
      <c r="A3" s="7" t="str">
        <f t="shared" ref="A3:A5" si="19">"Cluster" &amp; I3 &amp; "_" &amp; D3 &amp; "_repl" &amp; J3</f>
        <v>Cluster2_RCP26_repl1</v>
      </c>
      <c r="B3" s="8" t="s">
        <v>16</v>
      </c>
      <c r="C3" s="8" t="s">
        <v>54</v>
      </c>
      <c r="D3" s="8" t="s">
        <v>34</v>
      </c>
      <c r="E3" s="8" t="str">
        <f t="shared" si="0"/>
        <v>rcp_2_6</v>
      </c>
      <c r="F3" s="8">
        <v>350</v>
      </c>
      <c r="G3" s="8" t="s">
        <v>18</v>
      </c>
      <c r="H3" s="18">
        <v>6.2493566238876597E-6</v>
      </c>
      <c r="I3" s="8">
        <v>2</v>
      </c>
      <c r="J3" s="8">
        <v>1</v>
      </c>
      <c r="K3" s="8"/>
      <c r="L3" s="8">
        <v>1</v>
      </c>
      <c r="M3" s="10" t="s">
        <v>22</v>
      </c>
      <c r="N3" s="17" t="s">
        <v>58</v>
      </c>
      <c r="O3" s="10" t="str">
        <f t="shared" si="1"/>
        <v>Cluster2_RCP26_repl1.sqlite</v>
      </c>
      <c r="P3" s="11">
        <v>1</v>
      </c>
      <c r="Q3" s="11">
        <v>0</v>
      </c>
      <c r="R3" s="16" t="str">
        <f t="shared" si="2"/>
        <v>climate_db_ICHEC-EC-EARTH_rcp_2_6_v4.sqlite</v>
      </c>
      <c r="S3" s="16" t="str">
        <f t="shared" si="3"/>
        <v>log/Cluster2_RCP26_repl1.txt</v>
      </c>
      <c r="T3" s="16" t="str">
        <f t="shared" si="4"/>
        <v>init_JM/env_file_CLUSTER02_ICHEC-EC-EARTH_rcp_2_6_REPL1.csv</v>
      </c>
      <c r="U3" s="16" t="str">
        <f t="shared" si="5"/>
        <v>init_JM/env_grid_CLUSTER02_REPL1.asc</v>
      </c>
      <c r="V3" s="16" t="str">
        <f t="shared" si="6"/>
        <v>init_JM/env_grid_CLUSTER02_REPL1.asc</v>
      </c>
      <c r="W3" s="16" t="str">
        <f t="shared" si="7"/>
        <v>../init_JM/trees_cluster2_repl1.csv</v>
      </c>
      <c r="X3" s="16" t="str">
        <f t="shared" si="8"/>
        <v>../init_JM/saplings_cluster2_repl1.csv</v>
      </c>
      <c r="Y3" s="16">
        <v>427</v>
      </c>
      <c r="Z3" s="16" t="str">
        <f t="shared" si="10"/>
        <v>abe/stand_files2/noMgmt_cl02_repl1.csv</v>
      </c>
      <c r="AA3" s="16">
        <f t="shared" si="11"/>
        <v>1</v>
      </c>
      <c r="AB3" s="16" t="str">
        <f t="shared" si="12"/>
        <v>gis/WindModifier_cl2.asc</v>
      </c>
      <c r="AC3" s="16">
        <f t="shared" si="13"/>
        <v>1</v>
      </c>
      <c r="AD3" s="16">
        <f t="shared" si="14"/>
        <v>1</v>
      </c>
      <c r="AE3" s="16">
        <f t="shared" ref="AE3:AE5" si="20">IF(C3="Scaled_", H3+0.0000000001,  0.000685)</f>
        <v>6.24945662388766E-6</v>
      </c>
      <c r="AF3" s="16" t="str">
        <f t="shared" si="15"/>
        <v>ICHEC-EC-EARTH_rcp_2_6_point32685</v>
      </c>
      <c r="AG3" s="16">
        <f t="shared" si="16"/>
        <v>1</v>
      </c>
      <c r="AH3" s="16" t="str">
        <f t="shared" si="17"/>
        <v>wind_Events/Scaled_cl2_repl1.txt</v>
      </c>
      <c r="AI3" s="16" t="str">
        <f t="shared" si="18"/>
        <v>Cluster2_RCP26_repl1</v>
      </c>
    </row>
    <row r="4" spans="1:35" ht="13.8">
      <c r="A4" s="7" t="str">
        <f t="shared" si="19"/>
        <v>Cluster2_RCP45_repl1</v>
      </c>
      <c r="B4" s="8" t="s">
        <v>16</v>
      </c>
      <c r="C4" s="8" t="s">
        <v>54</v>
      </c>
      <c r="D4" s="8" t="s">
        <v>35</v>
      </c>
      <c r="E4" s="8" t="str">
        <f t="shared" si="0"/>
        <v>rcp_4_5</v>
      </c>
      <c r="F4" s="8">
        <v>350</v>
      </c>
      <c r="G4" s="8" t="s">
        <v>18</v>
      </c>
      <c r="H4" s="18">
        <v>6.2493566238876597E-6</v>
      </c>
      <c r="I4" s="8">
        <v>2</v>
      </c>
      <c r="J4" s="8">
        <v>1</v>
      </c>
      <c r="K4" s="8"/>
      <c r="L4" s="8">
        <v>1</v>
      </c>
      <c r="M4" s="10" t="s">
        <v>22</v>
      </c>
      <c r="N4" s="17" t="s">
        <v>58</v>
      </c>
      <c r="O4" s="10" t="str">
        <f t="shared" si="1"/>
        <v>Cluster2_RCP45_repl1.sqlite</v>
      </c>
      <c r="P4" s="11">
        <v>1</v>
      </c>
      <c r="Q4" s="11">
        <v>0</v>
      </c>
      <c r="R4" s="16" t="str">
        <f t="shared" si="2"/>
        <v>climate_db_ICHEC-EC-EARTH_rcp_4_5_v4.sqlite</v>
      </c>
      <c r="S4" s="16" t="str">
        <f t="shared" si="3"/>
        <v>log/Cluster2_RCP45_repl1.txt</v>
      </c>
      <c r="T4" s="16" t="str">
        <f t="shared" si="4"/>
        <v>init_JM/env_file_CLUSTER02_ICHEC-EC-EARTH_rcp_4_5_REPL1.csv</v>
      </c>
      <c r="U4" s="16" t="str">
        <f t="shared" si="5"/>
        <v>init_JM/env_grid_CLUSTER02_REPL1.asc</v>
      </c>
      <c r="V4" s="16" t="str">
        <f t="shared" si="6"/>
        <v>init_JM/env_grid_CLUSTER02_REPL1.asc</v>
      </c>
      <c r="W4" s="16" t="str">
        <f t="shared" si="7"/>
        <v>../init_JM/trees_cluster2_repl1.csv</v>
      </c>
      <c r="X4" s="16" t="str">
        <f t="shared" si="8"/>
        <v>../init_JM/saplings_cluster2_repl1.csv</v>
      </c>
      <c r="Y4" s="16">
        <v>728</v>
      </c>
      <c r="Z4" s="16" t="str">
        <f t="shared" si="10"/>
        <v>abe/stand_files2/noMgmt_cl02_repl1.csv</v>
      </c>
      <c r="AA4" s="16">
        <f t="shared" si="11"/>
        <v>1</v>
      </c>
      <c r="AB4" s="16" t="str">
        <f t="shared" si="12"/>
        <v>gis/WindModifier_cl2.asc</v>
      </c>
      <c r="AC4" s="16">
        <f t="shared" si="13"/>
        <v>1</v>
      </c>
      <c r="AD4" s="16">
        <f t="shared" si="14"/>
        <v>1</v>
      </c>
      <c r="AE4" s="16">
        <f t="shared" si="20"/>
        <v>6.24945662388766E-6</v>
      </c>
      <c r="AF4" s="16" t="str">
        <f t="shared" si="15"/>
        <v>ICHEC-EC-EARTH_rcp_4_5_point32685</v>
      </c>
      <c r="AG4" s="16">
        <f t="shared" si="16"/>
        <v>1</v>
      </c>
      <c r="AH4" s="16" t="str">
        <f t="shared" si="17"/>
        <v>wind_Events/Scaled_cl2_repl1.txt</v>
      </c>
      <c r="AI4" s="16" t="str">
        <f t="shared" si="18"/>
        <v>Cluster2_RCP45_repl1</v>
      </c>
    </row>
    <row r="5" spans="1:35" ht="13.8">
      <c r="A5" s="7" t="str">
        <f t="shared" si="19"/>
        <v>Cluster2_RCP85_repl1</v>
      </c>
      <c r="B5" s="8" t="s">
        <v>16</v>
      </c>
      <c r="C5" s="8" t="s">
        <v>54</v>
      </c>
      <c r="D5" s="8" t="s">
        <v>36</v>
      </c>
      <c r="E5" s="8" t="str">
        <f t="shared" si="0"/>
        <v>rcp_8_5</v>
      </c>
      <c r="F5" s="8">
        <v>350</v>
      </c>
      <c r="G5" s="8" t="s">
        <v>18</v>
      </c>
      <c r="H5" s="18">
        <v>6.2493566238876597E-6</v>
      </c>
      <c r="I5" s="8">
        <v>2</v>
      </c>
      <c r="J5" s="8">
        <v>1</v>
      </c>
      <c r="K5" s="8"/>
      <c r="L5" s="8">
        <v>1</v>
      </c>
      <c r="M5" s="10" t="s">
        <v>22</v>
      </c>
      <c r="N5" s="17" t="s">
        <v>58</v>
      </c>
      <c r="O5" s="10" t="str">
        <f t="shared" si="1"/>
        <v>Cluster2_RCP85_repl1.sqlite</v>
      </c>
      <c r="P5" s="11">
        <v>1</v>
      </c>
      <c r="Q5" s="11">
        <v>0</v>
      </c>
      <c r="R5" s="16" t="str">
        <f t="shared" si="2"/>
        <v>climate_db_ICHEC-EC-EARTH_rcp_8_5_v4.sqlite</v>
      </c>
      <c r="S5" s="16" t="str">
        <f t="shared" si="3"/>
        <v>log/Cluster2_RCP85_repl1.txt</v>
      </c>
      <c r="T5" s="16" t="str">
        <f t="shared" si="4"/>
        <v>init_JM/env_file_CLUSTER02_ICHEC-EC-EARTH_rcp_8_5_REPL1.csv</v>
      </c>
      <c r="U5" s="16" t="str">
        <f t="shared" si="5"/>
        <v>init_JM/env_grid_CLUSTER02_REPL1.asc</v>
      </c>
      <c r="V5" s="16" t="str">
        <f t="shared" si="6"/>
        <v>init_JM/env_grid_CLUSTER02_REPL1.asc</v>
      </c>
      <c r="W5" s="16" t="str">
        <f t="shared" si="7"/>
        <v>../init_JM/trees_cluster2_repl1.csv</v>
      </c>
      <c r="X5" s="16" t="str">
        <f t="shared" si="8"/>
        <v>../init_JM/saplings_cluster2_repl1.csv</v>
      </c>
      <c r="Y5" s="16">
        <v>1231</v>
      </c>
      <c r="Z5" s="16" t="str">
        <f t="shared" si="10"/>
        <v>abe/stand_files2/noMgmt_cl02_repl1.csv</v>
      </c>
      <c r="AA5" s="16">
        <f t="shared" si="11"/>
        <v>1</v>
      </c>
      <c r="AB5" s="16" t="str">
        <f t="shared" si="12"/>
        <v>gis/WindModifier_cl2.asc</v>
      </c>
      <c r="AC5" s="16">
        <f t="shared" si="13"/>
        <v>1</v>
      </c>
      <c r="AD5" s="16">
        <f t="shared" si="14"/>
        <v>1</v>
      </c>
      <c r="AE5" s="16">
        <f t="shared" si="20"/>
        <v>6.24945662388766E-6</v>
      </c>
      <c r="AF5" s="16" t="str">
        <f t="shared" si="15"/>
        <v>ICHEC-EC-EARTH_rcp_8_5_point32685</v>
      </c>
      <c r="AG5" s="16">
        <f t="shared" si="16"/>
        <v>1</v>
      </c>
      <c r="AH5" s="16" t="str">
        <f t="shared" si="17"/>
        <v>wind_Events/Scaled_cl2_repl1.txt</v>
      </c>
      <c r="AI5" s="16" t="str">
        <f t="shared" si="18"/>
        <v>Cluster2_RCP85_repl1</v>
      </c>
    </row>
  </sheetData>
  <autoFilter ref="A1:AD1" xr:uid="{00000000-0009-0000-0000-000000000000}">
    <sortState ref="A2:AD5">
      <sortCondition ref="C1"/>
    </sortState>
  </autoFilter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2F86-C454-4635-9724-914B3AA8516B}">
  <sheetPr>
    <outlinePr summaryBelow="0" summaryRight="0"/>
  </sheetPr>
  <dimension ref="A1:AG82"/>
  <sheetViews>
    <sheetView topLeftCell="E35" zoomScale="90" zoomScaleNormal="90" workbookViewId="0">
      <selection activeCell="N61" sqref="N61"/>
    </sheetView>
  </sheetViews>
  <sheetFormatPr baseColWidth="10" defaultColWidth="13.88671875" defaultRowHeight="15.75" customHeight="1"/>
  <cols>
    <col min="1" max="1" width="42.44140625" style="6" customWidth="1"/>
    <col min="2" max="3" width="19.109375" style="6" customWidth="1"/>
    <col min="4" max="5" width="17.44140625" style="6" customWidth="1"/>
    <col min="6" max="6" width="19.88671875" style="6" customWidth="1"/>
    <col min="7" max="9" width="22.109375" style="6" customWidth="1"/>
    <col min="10" max="11" width="13.88671875" style="6"/>
    <col min="12" max="12" width="13.44140625" style="6" bestFit="1" customWidth="1"/>
    <col min="13" max="13" width="12.44140625" style="6" bestFit="1" customWidth="1"/>
    <col min="14" max="14" width="48.33203125" style="6" bestFit="1" customWidth="1"/>
    <col min="15" max="15" width="10" style="6" bestFit="1" customWidth="1"/>
    <col min="16" max="16" width="12.109375" style="6" customWidth="1"/>
    <col min="17" max="17" width="45.5546875" style="6" bestFit="1" customWidth="1"/>
    <col min="18" max="18" width="48.6640625" style="6" bestFit="1" customWidth="1"/>
    <col min="19" max="19" width="54" style="6" bestFit="1" customWidth="1"/>
    <col min="20" max="20" width="31.21875" style="13" bestFit="1" customWidth="1"/>
    <col min="21" max="21" width="34.21875" style="13" bestFit="1" customWidth="1"/>
    <col min="22" max="22" width="24.109375" style="13" customWidth="1"/>
    <col min="23" max="23" width="31.33203125" style="13" bestFit="1" customWidth="1"/>
    <col min="24" max="24" width="33.6640625" style="6" bestFit="1" customWidth="1"/>
    <col min="25" max="25" width="43.88671875" style="6" bestFit="1" customWidth="1"/>
    <col min="26" max="26" width="25.33203125" style="6" customWidth="1"/>
    <col min="27" max="27" width="29.109375" style="13" bestFit="1" customWidth="1"/>
    <col min="28" max="28" width="15" style="6" bestFit="1" customWidth="1"/>
    <col min="29" max="29" width="31" style="6" customWidth="1"/>
    <col min="30" max="30" width="47.77734375" style="6" customWidth="1"/>
    <col min="31" max="31" width="17.77734375" style="6" bestFit="1" customWidth="1"/>
    <col min="32" max="32" width="27.33203125" style="6" bestFit="1" customWidth="1"/>
    <col min="33" max="33" width="42.33203125" style="13" bestFit="1" customWidth="1"/>
    <col min="34" max="16384" width="13.88671875" style="6"/>
  </cols>
  <sheetData>
    <row r="1" spans="1:33" ht="13.8">
      <c r="A1" s="1" t="s">
        <v>0</v>
      </c>
      <c r="B1" s="2" t="s">
        <v>26</v>
      </c>
      <c r="C1" s="2" t="s">
        <v>27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38</v>
      </c>
      <c r="I1" s="2" t="s">
        <v>39</v>
      </c>
      <c r="J1" s="2" t="s">
        <v>5</v>
      </c>
      <c r="K1" s="2" t="s">
        <v>6</v>
      </c>
      <c r="L1" s="1" t="s">
        <v>7</v>
      </c>
      <c r="M1" s="1" t="s">
        <v>8</v>
      </c>
      <c r="N1" s="1" t="s">
        <v>9</v>
      </c>
      <c r="O1" s="3" t="s">
        <v>10</v>
      </c>
      <c r="P1" s="3" t="s">
        <v>40</v>
      </c>
      <c r="Q1" s="4" t="s">
        <v>11</v>
      </c>
      <c r="R1" s="5" t="s">
        <v>12</v>
      </c>
      <c r="S1" s="15" t="s">
        <v>48</v>
      </c>
      <c r="T1" s="15" t="s">
        <v>49</v>
      </c>
      <c r="U1" s="15" t="s">
        <v>46</v>
      </c>
      <c r="V1" s="14" t="s">
        <v>47</v>
      </c>
      <c r="W1" s="14" t="s">
        <v>50</v>
      </c>
      <c r="X1" s="5" t="s">
        <v>13</v>
      </c>
      <c r="Y1" s="5" t="s">
        <v>14</v>
      </c>
      <c r="Z1" s="5" t="s">
        <v>15</v>
      </c>
      <c r="AA1" s="15" t="s">
        <v>51</v>
      </c>
      <c r="AB1" s="5" t="s">
        <v>45</v>
      </c>
      <c r="AC1" s="5" t="s">
        <v>33</v>
      </c>
      <c r="AD1" s="5" t="s">
        <v>42</v>
      </c>
      <c r="AE1" s="5" t="s">
        <v>44</v>
      </c>
      <c r="AF1" s="5" t="s">
        <v>37</v>
      </c>
      <c r="AG1" s="15" t="s">
        <v>52</v>
      </c>
    </row>
    <row r="2" spans="1:33" ht="13.8">
      <c r="A2" s="7" t="str">
        <f xml:space="preserve"> "Cluster" &amp; H2 &amp; "_" &amp; TEXT(B2, "00") &amp;  "_" &amp; D2 &amp; "_repl" &amp; I2</f>
        <v>Cluster10_highStructure_historical_repl1</v>
      </c>
      <c r="B2" s="8" t="s">
        <v>25</v>
      </c>
      <c r="C2" s="8" t="s">
        <v>32</v>
      </c>
      <c r="D2" s="9" t="s">
        <v>17</v>
      </c>
      <c r="E2" s="9" t="str">
        <f t="shared" ref="E2:E33" si="0">IF(D2="historical", "historical", IF(D2="RCP26", "rcp_2_6", IF(D2="RCP45", "rcp_4_5", "rcp_8_5")))</f>
        <v>historical</v>
      </c>
      <c r="F2" s="8">
        <v>350</v>
      </c>
      <c r="G2" s="8" t="s">
        <v>18</v>
      </c>
      <c r="H2" s="8">
        <v>10</v>
      </c>
      <c r="I2" s="8">
        <v>1</v>
      </c>
      <c r="J2" s="8" t="s">
        <v>19</v>
      </c>
      <c r="K2" s="8" t="s">
        <v>41</v>
      </c>
      <c r="L2" s="10" t="s">
        <v>21</v>
      </c>
      <c r="M2" s="17">
        <v>150</v>
      </c>
      <c r="N2" s="10" t="str">
        <f t="shared" ref="N2:N33" si="1">A2  &amp; ".sqlite"</f>
        <v>Cluster10_highStructure_historical_repl1.sqlite</v>
      </c>
      <c r="O2" s="11">
        <v>1</v>
      </c>
      <c r="P2" s="11">
        <v>0</v>
      </c>
      <c r="Q2" s="12" t="str">
        <f>"climate_db_" &amp; G2&amp; "_" &amp;  E2&amp; "_v4.sqlite"</f>
        <v>climate_db_ICHEC-EC-EARTH_historical_v4.sqlite</v>
      </c>
      <c r="R2" s="12" t="str">
        <f t="shared" ref="R2:R33" si="2">"log/" &amp;A2  &amp; ".txt"</f>
        <v>log/Cluster10_highStructure_historical_repl1.txt</v>
      </c>
      <c r="S2" s="12" t="str">
        <f>"init_JM/env_file_CLUSTER" &amp; TEXT(H2, "00") &amp; "_" &amp; G2 &amp; "_" &amp; E2 &amp; "_REPL" &amp; I2 &amp; ".csv"</f>
        <v>init_JM/env_file_CLUSTER10_ICHEC-EC-EARTH_historical_REPL1.csv</v>
      </c>
      <c r="T2" s="16" t="str">
        <f>"init_JM/env_grid_CLUSTER" &amp; TEXT(H2, "00") &amp; "_REPL" &amp; I2 &amp; ".asc"</f>
        <v>init_JM/env_grid_CLUSTER10_REPL1.asc</v>
      </c>
      <c r="U2" s="16" t="str">
        <f>T2</f>
        <v>init_JM/env_grid_CLUSTER10_REPL1.asc</v>
      </c>
      <c r="V2" s="16" t="str">
        <f>"../init_JM/trees_cluster" &amp; H2 &amp; "_repl" &amp; I2 &amp; ".csv"</f>
        <v>../init_JM/trees_cluster10_repl1.csv</v>
      </c>
      <c r="W2" s="16" t="str">
        <f>"../init_JM/saplings_cluster" &amp; H2 &amp; "_repl" &amp; I2 &amp; ".csv"</f>
        <v>../init_JM/saplings_cluster10_repl1.csv</v>
      </c>
      <c r="X2" s="12">
        <f t="shared" ref="X2:X33" si="3">F2</f>
        <v>350</v>
      </c>
      <c r="Y2" s="12" t="str">
        <f>"abe/stand_files2/" &amp;  B2  &amp; "_cl"  &amp; TEXT(H2, "00") &amp; "_repl" &amp; I2 &amp; ".csv"</f>
        <v>abe/stand_files2/highStructure_cl10_repl1.csv</v>
      </c>
      <c r="Z2" s="12" t="str">
        <f t="shared" ref="Z2:Z33" si="4">K2</f>
        <v>true</v>
      </c>
      <c r="AA2" s="16" t="str">
        <f>"gis/WindModifier_cl" &amp; H2 &amp; ".asc"</f>
        <v>gis/WindModifier_cl10.asc</v>
      </c>
      <c r="AB2" s="12" t="str">
        <f>K2</f>
        <v>true</v>
      </c>
      <c r="AC2" s="12" t="str">
        <f t="shared" ref="AC2:AC33" si="5">K2</f>
        <v>true</v>
      </c>
      <c r="AD2" s="12" t="str">
        <f>"ICHEC-EC-EARTH_" &amp; E2 &amp; "_point32685"</f>
        <v>ICHEC-EC-EARTH_historical_point32685</v>
      </c>
      <c r="AE2" s="12" t="str">
        <f>K2</f>
        <v>true</v>
      </c>
      <c r="AF2" s="12" t="str">
        <f>"wind_Events/cl" &amp; H2 &amp; "_repl" &amp; I2 &amp; ".txt"</f>
        <v>wind_Events/cl10_repl1.txt</v>
      </c>
      <c r="AG2" s="16" t="str">
        <f>A2</f>
        <v>Cluster10_highStructure_historical_repl1</v>
      </c>
    </row>
    <row r="3" spans="1:33" ht="13.8">
      <c r="A3" s="7" t="str">
        <f t="shared" ref="A3:A66" si="6" xml:space="preserve"> "Cluster" &amp; H3 &amp; "_" &amp; TEXT(B3, "00") &amp;  "_" &amp; D3 &amp; "_repl" &amp; I3</f>
        <v>Cluster10_highStructure_RCP26_repl1</v>
      </c>
      <c r="B3" s="8" t="s">
        <v>25</v>
      </c>
      <c r="C3" s="8" t="s">
        <v>32</v>
      </c>
      <c r="D3" s="8" t="s">
        <v>34</v>
      </c>
      <c r="E3" s="9" t="str">
        <f t="shared" si="0"/>
        <v>rcp_2_6</v>
      </c>
      <c r="F3" s="8">
        <v>427</v>
      </c>
      <c r="G3" s="8" t="s">
        <v>18</v>
      </c>
      <c r="H3" s="8">
        <v>10</v>
      </c>
      <c r="I3" s="8">
        <v>1</v>
      </c>
      <c r="J3" s="8" t="s">
        <v>19</v>
      </c>
      <c r="K3" s="8" t="s">
        <v>41</v>
      </c>
      <c r="L3" s="10" t="s">
        <v>22</v>
      </c>
      <c r="M3" s="17">
        <v>150</v>
      </c>
      <c r="N3" s="10" t="str">
        <f t="shared" si="1"/>
        <v>Cluster10_highStructure_RCP26_repl1.sqlite</v>
      </c>
      <c r="O3" s="11">
        <v>1</v>
      </c>
      <c r="P3" s="11">
        <v>0</v>
      </c>
      <c r="Q3" s="12" t="str">
        <f t="shared" ref="Q3:Q66" si="7">"climate_db_" &amp; G3&amp; "_" &amp;  E3&amp; "_v4.sqlite"</f>
        <v>climate_db_ICHEC-EC-EARTH_rcp_2_6_v4.sqlite</v>
      </c>
      <c r="R3" s="12" t="str">
        <f t="shared" si="2"/>
        <v>log/Cluster10_highStructure_RCP26_repl1.txt</v>
      </c>
      <c r="S3" s="16" t="str">
        <f t="shared" ref="S3:S66" si="8">"init_JM/env_file_CLUSTER" &amp; TEXT(H3, "00") &amp; "_" &amp; G3 &amp; "_" &amp; E3 &amp; "_REPL" &amp; I3 &amp; ".csv"</f>
        <v>init_JM/env_file_CLUSTER10_ICHEC-EC-EARTH_rcp_2_6_REPL1.csv</v>
      </c>
      <c r="T3" s="16" t="str">
        <f t="shared" ref="T3:T66" si="9">"init_JM/env_grid_CLUSTER" &amp; TEXT(H3, "00") &amp; "_REPL" &amp; I3 &amp; ".asc"</f>
        <v>init_JM/env_grid_CLUSTER10_REPL1.asc</v>
      </c>
      <c r="U3" s="16" t="str">
        <f t="shared" ref="U3:U66" si="10">T3</f>
        <v>init_JM/env_grid_CLUSTER10_REPL1.asc</v>
      </c>
      <c r="V3" s="16" t="str">
        <f t="shared" ref="V3:V66" si="11">"../init_JM/trees_cluster" &amp; H3 &amp; "_repl" &amp; I3 &amp; ".csv"</f>
        <v>../init_JM/trees_cluster10_repl1.csv</v>
      </c>
      <c r="W3" s="16" t="str">
        <f t="shared" ref="W3:W66" si="12">"../init_JM/saplings_cluster" &amp; H3 &amp; "_repl" &amp; I3 &amp; ".csv"</f>
        <v>../init_JM/saplings_cluster10_repl1.csv</v>
      </c>
      <c r="X3" s="12">
        <f t="shared" si="3"/>
        <v>427</v>
      </c>
      <c r="Y3" s="16" t="str">
        <f t="shared" ref="Y3:Y66" si="13">"abe/stand_files2/" &amp;  B3  &amp; "_cl"  &amp; TEXT(H3, "00") &amp; "_repl" &amp; I3 &amp; ".csv"</f>
        <v>abe/stand_files2/highStructure_cl10_repl1.csv</v>
      </c>
      <c r="Z3" s="12" t="str">
        <f t="shared" si="4"/>
        <v>true</v>
      </c>
      <c r="AA3" s="16" t="str">
        <f t="shared" ref="AA3:AA66" si="14">"gis/WindModifier_cl" &amp; H3 &amp; ".asc"</f>
        <v>gis/WindModifier_cl10.asc</v>
      </c>
      <c r="AB3" s="12" t="str">
        <f t="shared" ref="AB3:AB66" si="15">K3</f>
        <v>true</v>
      </c>
      <c r="AC3" s="12" t="str">
        <f t="shared" si="5"/>
        <v>true</v>
      </c>
      <c r="AD3" s="12" t="str">
        <f t="shared" ref="AD3:AD66" si="16">"ICHEC-EC-EARTH_" &amp; E3 &amp; "_point32685"</f>
        <v>ICHEC-EC-EARTH_rcp_2_6_point32685</v>
      </c>
      <c r="AE3" s="12" t="str">
        <f t="shared" ref="AE3:AE66" si="17">K3</f>
        <v>true</v>
      </c>
      <c r="AF3" s="12" t="str">
        <f>"wind_Events/cl" &amp; H3 &amp; "_repl" &amp; I3 &amp; ".txt"</f>
        <v>wind_Events/cl10_repl1.txt</v>
      </c>
      <c r="AG3" s="16" t="str">
        <f t="shared" ref="AG3:AG66" si="18">A3</f>
        <v>Cluster10_highStructure_RCP26_repl1</v>
      </c>
    </row>
    <row r="4" spans="1:33" ht="13.8">
      <c r="A4" s="7" t="str">
        <f t="shared" si="6"/>
        <v>Cluster10_highStructure_RCP45_repl1</v>
      </c>
      <c r="B4" s="8" t="s">
        <v>25</v>
      </c>
      <c r="C4" s="8" t="s">
        <v>32</v>
      </c>
      <c r="D4" s="8" t="s">
        <v>35</v>
      </c>
      <c r="E4" s="9" t="str">
        <f t="shared" si="0"/>
        <v>rcp_4_5</v>
      </c>
      <c r="F4" s="8">
        <v>728</v>
      </c>
      <c r="G4" s="8" t="s">
        <v>18</v>
      </c>
      <c r="H4" s="8">
        <v>10</v>
      </c>
      <c r="I4" s="8">
        <v>1</v>
      </c>
      <c r="J4" s="8" t="s">
        <v>19</v>
      </c>
      <c r="K4" s="8" t="s">
        <v>41</v>
      </c>
      <c r="L4" s="10" t="s">
        <v>22</v>
      </c>
      <c r="M4" s="17">
        <v>150</v>
      </c>
      <c r="N4" s="10" t="str">
        <f t="shared" si="1"/>
        <v>Cluster10_highStructure_RCP45_repl1.sqlite</v>
      </c>
      <c r="O4" s="11">
        <v>1</v>
      </c>
      <c r="P4" s="11">
        <v>0</v>
      </c>
      <c r="Q4" s="12" t="str">
        <f t="shared" si="7"/>
        <v>climate_db_ICHEC-EC-EARTH_rcp_4_5_v4.sqlite</v>
      </c>
      <c r="R4" s="12" t="str">
        <f t="shared" si="2"/>
        <v>log/Cluster10_highStructure_RCP45_repl1.txt</v>
      </c>
      <c r="S4" s="16" t="str">
        <f t="shared" si="8"/>
        <v>init_JM/env_file_CLUSTER10_ICHEC-EC-EARTH_rcp_4_5_REPL1.csv</v>
      </c>
      <c r="T4" s="16" t="str">
        <f t="shared" si="9"/>
        <v>init_JM/env_grid_CLUSTER10_REPL1.asc</v>
      </c>
      <c r="U4" s="16" t="str">
        <f t="shared" si="10"/>
        <v>init_JM/env_grid_CLUSTER10_REPL1.asc</v>
      </c>
      <c r="V4" s="16" t="str">
        <f t="shared" si="11"/>
        <v>../init_JM/trees_cluster10_repl1.csv</v>
      </c>
      <c r="W4" s="16" t="str">
        <f t="shared" si="12"/>
        <v>../init_JM/saplings_cluster10_repl1.csv</v>
      </c>
      <c r="X4" s="12">
        <f t="shared" si="3"/>
        <v>728</v>
      </c>
      <c r="Y4" s="16" t="str">
        <f t="shared" si="13"/>
        <v>abe/stand_files2/highStructure_cl10_repl1.csv</v>
      </c>
      <c r="Z4" s="12" t="str">
        <f t="shared" si="4"/>
        <v>true</v>
      </c>
      <c r="AA4" s="16" t="str">
        <f t="shared" si="14"/>
        <v>gis/WindModifier_cl10.asc</v>
      </c>
      <c r="AB4" s="12" t="str">
        <f t="shared" si="15"/>
        <v>true</v>
      </c>
      <c r="AC4" s="12" t="str">
        <f t="shared" si="5"/>
        <v>true</v>
      </c>
      <c r="AD4" s="12" t="str">
        <f t="shared" si="16"/>
        <v>ICHEC-EC-EARTH_rcp_4_5_point32685</v>
      </c>
      <c r="AE4" s="12" t="str">
        <f t="shared" si="17"/>
        <v>true</v>
      </c>
      <c r="AF4" s="12" t="str">
        <f>"wind_Events/cl" &amp; H4 &amp; "_repl" &amp; I4 &amp; ".txt"</f>
        <v>wind_Events/cl10_repl1.txt</v>
      </c>
      <c r="AG4" s="16" t="str">
        <f t="shared" si="18"/>
        <v>Cluster10_highStructure_RCP45_repl1</v>
      </c>
    </row>
    <row r="5" spans="1:33" ht="13.8">
      <c r="A5" s="7" t="str">
        <f t="shared" si="6"/>
        <v>Cluster10_highStructure_RCP85_repl1</v>
      </c>
      <c r="B5" s="8" t="s">
        <v>25</v>
      </c>
      <c r="C5" s="8" t="s">
        <v>32</v>
      </c>
      <c r="D5" s="8" t="s">
        <v>36</v>
      </c>
      <c r="E5" s="9" t="str">
        <f t="shared" si="0"/>
        <v>rcp_8_5</v>
      </c>
      <c r="F5" s="8">
        <v>1231</v>
      </c>
      <c r="G5" s="8" t="s">
        <v>18</v>
      </c>
      <c r="H5" s="8">
        <v>10</v>
      </c>
      <c r="I5" s="8">
        <v>1</v>
      </c>
      <c r="J5" s="8" t="s">
        <v>19</v>
      </c>
      <c r="K5" s="8" t="s">
        <v>41</v>
      </c>
      <c r="L5" s="10" t="s">
        <v>22</v>
      </c>
      <c r="M5" s="17">
        <v>150</v>
      </c>
      <c r="N5" s="10" t="str">
        <f t="shared" si="1"/>
        <v>Cluster10_highStructure_RCP85_repl1.sqlite</v>
      </c>
      <c r="O5" s="11">
        <v>1</v>
      </c>
      <c r="P5" s="11">
        <v>0</v>
      </c>
      <c r="Q5" s="12" t="str">
        <f t="shared" si="7"/>
        <v>climate_db_ICHEC-EC-EARTH_rcp_8_5_v4.sqlite</v>
      </c>
      <c r="R5" s="12" t="str">
        <f t="shared" si="2"/>
        <v>log/Cluster10_highStructure_RCP85_repl1.txt</v>
      </c>
      <c r="S5" s="16" t="str">
        <f t="shared" si="8"/>
        <v>init_JM/env_file_CLUSTER10_ICHEC-EC-EARTH_rcp_8_5_REPL1.csv</v>
      </c>
      <c r="T5" s="16" t="str">
        <f t="shared" si="9"/>
        <v>init_JM/env_grid_CLUSTER10_REPL1.asc</v>
      </c>
      <c r="U5" s="16" t="str">
        <f t="shared" si="10"/>
        <v>init_JM/env_grid_CLUSTER10_REPL1.asc</v>
      </c>
      <c r="V5" s="16" t="str">
        <f t="shared" si="11"/>
        <v>../init_JM/trees_cluster10_repl1.csv</v>
      </c>
      <c r="W5" s="16" t="str">
        <f t="shared" si="12"/>
        <v>../init_JM/saplings_cluster10_repl1.csv</v>
      </c>
      <c r="X5" s="12">
        <f t="shared" si="3"/>
        <v>1231</v>
      </c>
      <c r="Y5" s="16" t="str">
        <f t="shared" si="13"/>
        <v>abe/stand_files2/highStructure_cl10_repl1.csv</v>
      </c>
      <c r="Z5" s="12" t="str">
        <f t="shared" si="4"/>
        <v>true</v>
      </c>
      <c r="AA5" s="16" t="str">
        <f t="shared" si="14"/>
        <v>gis/WindModifier_cl10.asc</v>
      </c>
      <c r="AB5" s="12" t="str">
        <f t="shared" si="15"/>
        <v>true</v>
      </c>
      <c r="AC5" s="12" t="str">
        <f t="shared" si="5"/>
        <v>true</v>
      </c>
      <c r="AD5" s="12" t="str">
        <f t="shared" si="16"/>
        <v>ICHEC-EC-EARTH_rcp_8_5_point32685</v>
      </c>
      <c r="AE5" s="12" t="str">
        <f t="shared" si="17"/>
        <v>true</v>
      </c>
      <c r="AF5" s="12" t="str">
        <f>"wind_Events/cl" &amp; H5 &amp; "_repl" &amp; I5 &amp; ".txt"</f>
        <v>wind_Events/cl10_repl1.txt</v>
      </c>
      <c r="AG5" s="16" t="str">
        <f t="shared" si="18"/>
        <v>Cluster10_highStructure_RCP85_repl1</v>
      </c>
    </row>
    <row r="6" spans="1:33" ht="13.8">
      <c r="A6" s="7" t="str">
        <f t="shared" si="6"/>
        <v>Cluster10_highStructure_historical_repl2</v>
      </c>
      <c r="B6" s="8" t="s">
        <v>25</v>
      </c>
      <c r="C6" s="8" t="s">
        <v>32</v>
      </c>
      <c r="D6" s="9" t="s">
        <v>17</v>
      </c>
      <c r="E6" s="9" t="str">
        <f t="shared" si="0"/>
        <v>historical</v>
      </c>
      <c r="F6" s="8">
        <v>350</v>
      </c>
      <c r="G6" s="8" t="s">
        <v>18</v>
      </c>
      <c r="H6" s="8">
        <v>10</v>
      </c>
      <c r="I6" s="8">
        <v>2</v>
      </c>
      <c r="J6" s="8" t="s">
        <v>19</v>
      </c>
      <c r="K6" s="8" t="s">
        <v>41</v>
      </c>
      <c r="L6" s="10" t="s">
        <v>21</v>
      </c>
      <c r="M6" s="17">
        <v>150</v>
      </c>
      <c r="N6" s="10" t="str">
        <f t="shared" si="1"/>
        <v>Cluster10_highStructure_historical_repl2.sqlite</v>
      </c>
      <c r="O6" s="11">
        <v>1</v>
      </c>
      <c r="P6" s="11">
        <v>0</v>
      </c>
      <c r="Q6" s="12" t="str">
        <f t="shared" si="7"/>
        <v>climate_db_ICHEC-EC-EARTH_historical_v4.sqlite</v>
      </c>
      <c r="R6" s="12" t="str">
        <f t="shared" si="2"/>
        <v>log/Cluster10_highStructure_historical_repl2.txt</v>
      </c>
      <c r="S6" s="16" t="str">
        <f t="shared" si="8"/>
        <v>init_JM/env_file_CLUSTER10_ICHEC-EC-EARTH_historical_REPL2.csv</v>
      </c>
      <c r="T6" s="16" t="str">
        <f t="shared" si="9"/>
        <v>init_JM/env_grid_CLUSTER10_REPL2.asc</v>
      </c>
      <c r="U6" s="16" t="str">
        <f t="shared" si="10"/>
        <v>init_JM/env_grid_CLUSTER10_REPL2.asc</v>
      </c>
      <c r="V6" s="16" t="str">
        <f t="shared" si="11"/>
        <v>../init_JM/trees_cluster10_repl2.csv</v>
      </c>
      <c r="W6" s="16" t="str">
        <f t="shared" si="12"/>
        <v>../init_JM/saplings_cluster10_repl2.csv</v>
      </c>
      <c r="X6" s="12">
        <f t="shared" si="3"/>
        <v>350</v>
      </c>
      <c r="Y6" s="16" t="str">
        <f t="shared" si="13"/>
        <v>abe/stand_files2/highStructure_cl10_repl2.csv</v>
      </c>
      <c r="Z6" s="12" t="str">
        <f t="shared" si="4"/>
        <v>true</v>
      </c>
      <c r="AA6" s="16" t="str">
        <f t="shared" si="14"/>
        <v>gis/WindModifier_cl10.asc</v>
      </c>
      <c r="AB6" s="12" t="str">
        <f t="shared" si="15"/>
        <v>true</v>
      </c>
      <c r="AC6" s="12" t="str">
        <f t="shared" si="5"/>
        <v>true</v>
      </c>
      <c r="AD6" s="12" t="str">
        <f t="shared" si="16"/>
        <v>ICHEC-EC-EARTH_historical_point32685</v>
      </c>
      <c r="AE6" s="12" t="str">
        <f t="shared" si="17"/>
        <v>true</v>
      </c>
      <c r="AF6" s="12" t="str">
        <f>"wind_Events/cl" &amp; H6 &amp; "_repl" &amp; I6 &amp; ".txt"</f>
        <v>wind_Events/cl10_repl2.txt</v>
      </c>
      <c r="AG6" s="16" t="str">
        <f t="shared" si="18"/>
        <v>Cluster10_highStructure_historical_repl2</v>
      </c>
    </row>
    <row r="7" spans="1:33" ht="13.8">
      <c r="A7" s="7" t="str">
        <f t="shared" si="6"/>
        <v>Cluster10_highStructure_RCP26_repl2</v>
      </c>
      <c r="B7" s="8" t="s">
        <v>25</v>
      </c>
      <c r="C7" s="8" t="s">
        <v>32</v>
      </c>
      <c r="D7" s="8" t="s">
        <v>34</v>
      </c>
      <c r="E7" s="9" t="str">
        <f t="shared" si="0"/>
        <v>rcp_2_6</v>
      </c>
      <c r="F7" s="8">
        <v>427</v>
      </c>
      <c r="G7" s="8" t="s">
        <v>18</v>
      </c>
      <c r="H7" s="8">
        <v>10</v>
      </c>
      <c r="I7" s="8">
        <v>2</v>
      </c>
      <c r="J7" s="8" t="s">
        <v>19</v>
      </c>
      <c r="K7" s="8" t="s">
        <v>41</v>
      </c>
      <c r="L7" s="10" t="s">
        <v>22</v>
      </c>
      <c r="M7" s="17">
        <v>150</v>
      </c>
      <c r="N7" s="10" t="str">
        <f t="shared" si="1"/>
        <v>Cluster10_highStructure_RCP26_repl2.sqlite</v>
      </c>
      <c r="O7" s="11">
        <v>1</v>
      </c>
      <c r="P7" s="11">
        <v>0</v>
      </c>
      <c r="Q7" s="12" t="str">
        <f t="shared" si="7"/>
        <v>climate_db_ICHEC-EC-EARTH_rcp_2_6_v4.sqlite</v>
      </c>
      <c r="R7" s="12" t="str">
        <f t="shared" si="2"/>
        <v>log/Cluster10_highStructure_RCP26_repl2.txt</v>
      </c>
      <c r="S7" s="16" t="str">
        <f t="shared" si="8"/>
        <v>init_JM/env_file_CLUSTER10_ICHEC-EC-EARTH_rcp_2_6_REPL2.csv</v>
      </c>
      <c r="T7" s="16" t="str">
        <f t="shared" si="9"/>
        <v>init_JM/env_grid_CLUSTER10_REPL2.asc</v>
      </c>
      <c r="U7" s="16" t="str">
        <f t="shared" si="10"/>
        <v>init_JM/env_grid_CLUSTER10_REPL2.asc</v>
      </c>
      <c r="V7" s="16" t="str">
        <f t="shared" si="11"/>
        <v>../init_JM/trees_cluster10_repl2.csv</v>
      </c>
      <c r="W7" s="16" t="str">
        <f t="shared" si="12"/>
        <v>../init_JM/saplings_cluster10_repl2.csv</v>
      </c>
      <c r="X7" s="12">
        <f t="shared" si="3"/>
        <v>427</v>
      </c>
      <c r="Y7" s="16" t="str">
        <f t="shared" si="13"/>
        <v>abe/stand_files2/highStructure_cl10_repl2.csv</v>
      </c>
      <c r="Z7" s="12" t="str">
        <f t="shared" si="4"/>
        <v>true</v>
      </c>
      <c r="AA7" s="16" t="str">
        <f t="shared" si="14"/>
        <v>gis/WindModifier_cl10.asc</v>
      </c>
      <c r="AB7" s="12" t="str">
        <f t="shared" si="15"/>
        <v>true</v>
      </c>
      <c r="AC7" s="12" t="str">
        <f t="shared" si="5"/>
        <v>true</v>
      </c>
      <c r="AD7" s="12" t="str">
        <f t="shared" si="16"/>
        <v>ICHEC-EC-EARTH_rcp_2_6_point32685</v>
      </c>
      <c r="AE7" s="12" t="str">
        <f t="shared" si="17"/>
        <v>true</v>
      </c>
      <c r="AF7" s="12" t="str">
        <f t="shared" ref="AF7:AF69" si="19">"wind_Events/cl" &amp; H7 &amp; "_repl" &amp; I7 &amp; ".txt"</f>
        <v>wind_Events/cl10_repl2.txt</v>
      </c>
      <c r="AG7" s="16" t="str">
        <f t="shared" si="18"/>
        <v>Cluster10_highStructure_RCP26_repl2</v>
      </c>
    </row>
    <row r="8" spans="1:33" ht="13.8">
      <c r="A8" s="7" t="str">
        <f t="shared" si="6"/>
        <v>Cluster10_highStructure_RCP45_repl2</v>
      </c>
      <c r="B8" s="8" t="s">
        <v>25</v>
      </c>
      <c r="C8" s="8" t="s">
        <v>32</v>
      </c>
      <c r="D8" s="8" t="s">
        <v>35</v>
      </c>
      <c r="E8" s="9" t="str">
        <f t="shared" si="0"/>
        <v>rcp_4_5</v>
      </c>
      <c r="F8" s="8">
        <v>728</v>
      </c>
      <c r="G8" s="8" t="s">
        <v>18</v>
      </c>
      <c r="H8" s="8">
        <v>10</v>
      </c>
      <c r="I8" s="8">
        <v>2</v>
      </c>
      <c r="J8" s="8" t="s">
        <v>19</v>
      </c>
      <c r="K8" s="8" t="s">
        <v>41</v>
      </c>
      <c r="L8" s="10" t="s">
        <v>22</v>
      </c>
      <c r="M8" s="17">
        <v>150</v>
      </c>
      <c r="N8" s="10" t="str">
        <f t="shared" si="1"/>
        <v>Cluster10_highStructure_RCP45_repl2.sqlite</v>
      </c>
      <c r="O8" s="11">
        <v>1</v>
      </c>
      <c r="P8" s="11">
        <v>0</v>
      </c>
      <c r="Q8" s="12" t="str">
        <f t="shared" si="7"/>
        <v>climate_db_ICHEC-EC-EARTH_rcp_4_5_v4.sqlite</v>
      </c>
      <c r="R8" s="12" t="str">
        <f t="shared" si="2"/>
        <v>log/Cluster10_highStructure_RCP45_repl2.txt</v>
      </c>
      <c r="S8" s="16" t="str">
        <f t="shared" si="8"/>
        <v>init_JM/env_file_CLUSTER10_ICHEC-EC-EARTH_rcp_4_5_REPL2.csv</v>
      </c>
      <c r="T8" s="16" t="str">
        <f t="shared" si="9"/>
        <v>init_JM/env_grid_CLUSTER10_REPL2.asc</v>
      </c>
      <c r="U8" s="16" t="str">
        <f t="shared" si="10"/>
        <v>init_JM/env_grid_CLUSTER10_REPL2.asc</v>
      </c>
      <c r="V8" s="16" t="str">
        <f t="shared" si="11"/>
        <v>../init_JM/trees_cluster10_repl2.csv</v>
      </c>
      <c r="W8" s="16" t="str">
        <f t="shared" si="12"/>
        <v>../init_JM/saplings_cluster10_repl2.csv</v>
      </c>
      <c r="X8" s="12">
        <f t="shared" si="3"/>
        <v>728</v>
      </c>
      <c r="Y8" s="16" t="str">
        <f t="shared" si="13"/>
        <v>abe/stand_files2/highStructure_cl10_repl2.csv</v>
      </c>
      <c r="Z8" s="12" t="str">
        <f t="shared" si="4"/>
        <v>true</v>
      </c>
      <c r="AA8" s="16" t="str">
        <f t="shared" si="14"/>
        <v>gis/WindModifier_cl10.asc</v>
      </c>
      <c r="AB8" s="12" t="str">
        <f t="shared" si="15"/>
        <v>true</v>
      </c>
      <c r="AC8" s="12" t="str">
        <f t="shared" si="5"/>
        <v>true</v>
      </c>
      <c r="AD8" s="12" t="str">
        <f t="shared" si="16"/>
        <v>ICHEC-EC-EARTH_rcp_4_5_point32685</v>
      </c>
      <c r="AE8" s="12" t="str">
        <f t="shared" si="17"/>
        <v>true</v>
      </c>
      <c r="AF8" s="12" t="str">
        <f t="shared" si="19"/>
        <v>wind_Events/cl10_repl2.txt</v>
      </c>
      <c r="AG8" s="16" t="str">
        <f t="shared" si="18"/>
        <v>Cluster10_highStructure_RCP45_repl2</v>
      </c>
    </row>
    <row r="9" spans="1:33" ht="13.8">
      <c r="A9" s="7" t="str">
        <f t="shared" si="6"/>
        <v>Cluster10_highStructure_RCP85_repl2</v>
      </c>
      <c r="B9" s="8" t="s">
        <v>25</v>
      </c>
      <c r="C9" s="8" t="s">
        <v>32</v>
      </c>
      <c r="D9" s="8" t="s">
        <v>36</v>
      </c>
      <c r="E9" s="9" t="str">
        <f t="shared" si="0"/>
        <v>rcp_8_5</v>
      </c>
      <c r="F9" s="8">
        <v>1231</v>
      </c>
      <c r="G9" s="8" t="s">
        <v>18</v>
      </c>
      <c r="H9" s="8">
        <v>10</v>
      </c>
      <c r="I9" s="8">
        <v>2</v>
      </c>
      <c r="J9" s="8" t="s">
        <v>19</v>
      </c>
      <c r="K9" s="8" t="s">
        <v>41</v>
      </c>
      <c r="L9" s="10" t="s">
        <v>22</v>
      </c>
      <c r="M9" s="17">
        <v>150</v>
      </c>
      <c r="N9" s="10" t="str">
        <f t="shared" si="1"/>
        <v>Cluster10_highStructure_RCP85_repl2.sqlite</v>
      </c>
      <c r="O9" s="11">
        <v>1</v>
      </c>
      <c r="P9" s="11">
        <v>0</v>
      </c>
      <c r="Q9" s="12" t="str">
        <f t="shared" si="7"/>
        <v>climate_db_ICHEC-EC-EARTH_rcp_8_5_v4.sqlite</v>
      </c>
      <c r="R9" s="12" t="str">
        <f t="shared" si="2"/>
        <v>log/Cluster10_highStructure_RCP85_repl2.txt</v>
      </c>
      <c r="S9" s="16" t="str">
        <f t="shared" si="8"/>
        <v>init_JM/env_file_CLUSTER10_ICHEC-EC-EARTH_rcp_8_5_REPL2.csv</v>
      </c>
      <c r="T9" s="16" t="str">
        <f t="shared" si="9"/>
        <v>init_JM/env_grid_CLUSTER10_REPL2.asc</v>
      </c>
      <c r="U9" s="16" t="str">
        <f t="shared" si="10"/>
        <v>init_JM/env_grid_CLUSTER10_REPL2.asc</v>
      </c>
      <c r="V9" s="16" t="str">
        <f t="shared" si="11"/>
        <v>../init_JM/trees_cluster10_repl2.csv</v>
      </c>
      <c r="W9" s="16" t="str">
        <f t="shared" si="12"/>
        <v>../init_JM/saplings_cluster10_repl2.csv</v>
      </c>
      <c r="X9" s="12">
        <f t="shared" si="3"/>
        <v>1231</v>
      </c>
      <c r="Y9" s="16" t="str">
        <f t="shared" si="13"/>
        <v>abe/stand_files2/highStructure_cl10_repl2.csv</v>
      </c>
      <c r="Z9" s="12" t="str">
        <f t="shared" si="4"/>
        <v>true</v>
      </c>
      <c r="AA9" s="16" t="str">
        <f t="shared" si="14"/>
        <v>gis/WindModifier_cl10.asc</v>
      </c>
      <c r="AB9" s="12" t="str">
        <f t="shared" si="15"/>
        <v>true</v>
      </c>
      <c r="AC9" s="12" t="str">
        <f t="shared" si="5"/>
        <v>true</v>
      </c>
      <c r="AD9" s="12" t="str">
        <f t="shared" si="16"/>
        <v>ICHEC-EC-EARTH_rcp_8_5_point32685</v>
      </c>
      <c r="AE9" s="12" t="str">
        <f t="shared" si="17"/>
        <v>true</v>
      </c>
      <c r="AF9" s="12" t="str">
        <f t="shared" si="19"/>
        <v>wind_Events/cl10_repl2.txt</v>
      </c>
      <c r="AG9" s="16" t="str">
        <f t="shared" si="18"/>
        <v>Cluster10_highStructure_RCP85_repl2</v>
      </c>
    </row>
    <row r="10" spans="1:33" ht="13.8">
      <c r="A10" s="7" t="str">
        <f t="shared" si="6"/>
        <v>Cluster10_highStructure_historical_repl3</v>
      </c>
      <c r="B10" s="8" t="s">
        <v>25</v>
      </c>
      <c r="C10" s="8" t="s">
        <v>32</v>
      </c>
      <c r="D10" s="9" t="s">
        <v>17</v>
      </c>
      <c r="E10" s="9" t="str">
        <f t="shared" si="0"/>
        <v>historical</v>
      </c>
      <c r="F10" s="8">
        <v>350</v>
      </c>
      <c r="G10" s="8" t="s">
        <v>18</v>
      </c>
      <c r="H10" s="8">
        <v>10</v>
      </c>
      <c r="I10" s="8">
        <v>3</v>
      </c>
      <c r="J10" s="8" t="s">
        <v>19</v>
      </c>
      <c r="K10" s="8" t="s">
        <v>41</v>
      </c>
      <c r="L10" s="10" t="s">
        <v>21</v>
      </c>
      <c r="M10" s="17">
        <v>150</v>
      </c>
      <c r="N10" s="10" t="str">
        <f t="shared" si="1"/>
        <v>Cluster10_highStructure_historical_repl3.sqlite</v>
      </c>
      <c r="O10" s="11">
        <v>1</v>
      </c>
      <c r="P10" s="11">
        <v>0</v>
      </c>
      <c r="Q10" s="12" t="str">
        <f t="shared" si="7"/>
        <v>climate_db_ICHEC-EC-EARTH_historical_v4.sqlite</v>
      </c>
      <c r="R10" s="12" t="str">
        <f t="shared" si="2"/>
        <v>log/Cluster10_highStructure_historical_repl3.txt</v>
      </c>
      <c r="S10" s="16" t="str">
        <f t="shared" si="8"/>
        <v>init_JM/env_file_CLUSTER10_ICHEC-EC-EARTH_historical_REPL3.csv</v>
      </c>
      <c r="T10" s="16" t="str">
        <f t="shared" si="9"/>
        <v>init_JM/env_grid_CLUSTER10_REPL3.asc</v>
      </c>
      <c r="U10" s="16" t="str">
        <f t="shared" si="10"/>
        <v>init_JM/env_grid_CLUSTER10_REPL3.asc</v>
      </c>
      <c r="V10" s="16" t="str">
        <f t="shared" si="11"/>
        <v>../init_JM/trees_cluster10_repl3.csv</v>
      </c>
      <c r="W10" s="16" t="str">
        <f t="shared" si="12"/>
        <v>../init_JM/saplings_cluster10_repl3.csv</v>
      </c>
      <c r="X10" s="12">
        <f t="shared" si="3"/>
        <v>350</v>
      </c>
      <c r="Y10" s="16" t="str">
        <f t="shared" si="13"/>
        <v>abe/stand_files2/highStructure_cl10_repl3.csv</v>
      </c>
      <c r="Z10" s="12" t="str">
        <f t="shared" si="4"/>
        <v>true</v>
      </c>
      <c r="AA10" s="16" t="str">
        <f t="shared" si="14"/>
        <v>gis/WindModifier_cl10.asc</v>
      </c>
      <c r="AB10" s="12" t="str">
        <f t="shared" si="15"/>
        <v>true</v>
      </c>
      <c r="AC10" s="12" t="str">
        <f t="shared" si="5"/>
        <v>true</v>
      </c>
      <c r="AD10" s="12" t="str">
        <f t="shared" si="16"/>
        <v>ICHEC-EC-EARTH_historical_point32685</v>
      </c>
      <c r="AE10" s="12" t="str">
        <f t="shared" si="17"/>
        <v>true</v>
      </c>
      <c r="AF10" s="12" t="str">
        <f t="shared" si="19"/>
        <v>wind_Events/cl10_repl3.txt</v>
      </c>
      <c r="AG10" s="16" t="str">
        <f t="shared" si="18"/>
        <v>Cluster10_highStructure_historical_repl3</v>
      </c>
    </row>
    <row r="11" spans="1:33" ht="13.8">
      <c r="A11" s="7" t="str">
        <f t="shared" si="6"/>
        <v>Cluster10_highStructure_RCP26_repl3</v>
      </c>
      <c r="B11" s="8" t="s">
        <v>25</v>
      </c>
      <c r="C11" s="8" t="s">
        <v>32</v>
      </c>
      <c r="D11" s="8" t="s">
        <v>34</v>
      </c>
      <c r="E11" s="9" t="str">
        <f t="shared" si="0"/>
        <v>rcp_2_6</v>
      </c>
      <c r="F11" s="8">
        <v>427</v>
      </c>
      <c r="G11" s="8" t="s">
        <v>18</v>
      </c>
      <c r="H11" s="8">
        <v>10</v>
      </c>
      <c r="I11" s="8">
        <v>3</v>
      </c>
      <c r="J11" s="8" t="s">
        <v>19</v>
      </c>
      <c r="K11" s="8" t="s">
        <v>41</v>
      </c>
      <c r="L11" s="10" t="s">
        <v>22</v>
      </c>
      <c r="M11" s="17">
        <v>150</v>
      </c>
      <c r="N11" s="10" t="str">
        <f t="shared" si="1"/>
        <v>Cluster10_highStructure_RCP26_repl3.sqlite</v>
      </c>
      <c r="O11" s="11">
        <v>1</v>
      </c>
      <c r="P11" s="11">
        <v>0</v>
      </c>
      <c r="Q11" s="12" t="str">
        <f t="shared" si="7"/>
        <v>climate_db_ICHEC-EC-EARTH_rcp_2_6_v4.sqlite</v>
      </c>
      <c r="R11" s="12" t="str">
        <f t="shared" si="2"/>
        <v>log/Cluster10_highStructure_RCP26_repl3.txt</v>
      </c>
      <c r="S11" s="16" t="str">
        <f t="shared" si="8"/>
        <v>init_JM/env_file_CLUSTER10_ICHEC-EC-EARTH_rcp_2_6_REPL3.csv</v>
      </c>
      <c r="T11" s="16" t="str">
        <f t="shared" si="9"/>
        <v>init_JM/env_grid_CLUSTER10_REPL3.asc</v>
      </c>
      <c r="U11" s="16" t="str">
        <f t="shared" si="10"/>
        <v>init_JM/env_grid_CLUSTER10_REPL3.asc</v>
      </c>
      <c r="V11" s="16" t="str">
        <f t="shared" si="11"/>
        <v>../init_JM/trees_cluster10_repl3.csv</v>
      </c>
      <c r="W11" s="16" t="str">
        <f t="shared" si="12"/>
        <v>../init_JM/saplings_cluster10_repl3.csv</v>
      </c>
      <c r="X11" s="12">
        <f t="shared" si="3"/>
        <v>427</v>
      </c>
      <c r="Y11" s="16" t="str">
        <f t="shared" si="13"/>
        <v>abe/stand_files2/highStructure_cl10_repl3.csv</v>
      </c>
      <c r="Z11" s="12" t="str">
        <f t="shared" si="4"/>
        <v>true</v>
      </c>
      <c r="AA11" s="16" t="str">
        <f t="shared" si="14"/>
        <v>gis/WindModifier_cl10.asc</v>
      </c>
      <c r="AB11" s="12" t="str">
        <f t="shared" si="15"/>
        <v>true</v>
      </c>
      <c r="AC11" s="12" t="str">
        <f t="shared" si="5"/>
        <v>true</v>
      </c>
      <c r="AD11" s="12" t="str">
        <f t="shared" si="16"/>
        <v>ICHEC-EC-EARTH_rcp_2_6_point32685</v>
      </c>
      <c r="AE11" s="12" t="str">
        <f t="shared" si="17"/>
        <v>true</v>
      </c>
      <c r="AF11" s="12" t="str">
        <f t="shared" si="19"/>
        <v>wind_Events/cl10_repl3.txt</v>
      </c>
      <c r="AG11" s="16" t="str">
        <f t="shared" si="18"/>
        <v>Cluster10_highStructure_RCP26_repl3</v>
      </c>
    </row>
    <row r="12" spans="1:33" ht="13.8">
      <c r="A12" s="7" t="str">
        <f t="shared" si="6"/>
        <v>Cluster10_highStructure_RCP45_repl3</v>
      </c>
      <c r="B12" s="8" t="s">
        <v>25</v>
      </c>
      <c r="C12" s="8" t="s">
        <v>32</v>
      </c>
      <c r="D12" s="8" t="s">
        <v>35</v>
      </c>
      <c r="E12" s="9" t="str">
        <f t="shared" si="0"/>
        <v>rcp_4_5</v>
      </c>
      <c r="F12" s="8">
        <v>728</v>
      </c>
      <c r="G12" s="8" t="s">
        <v>18</v>
      </c>
      <c r="H12" s="8">
        <v>10</v>
      </c>
      <c r="I12" s="8">
        <v>3</v>
      </c>
      <c r="J12" s="8" t="s">
        <v>19</v>
      </c>
      <c r="K12" s="8" t="s">
        <v>41</v>
      </c>
      <c r="L12" s="10" t="s">
        <v>22</v>
      </c>
      <c r="M12" s="17">
        <v>150</v>
      </c>
      <c r="N12" s="10" t="str">
        <f t="shared" si="1"/>
        <v>Cluster10_highStructure_RCP45_repl3.sqlite</v>
      </c>
      <c r="O12" s="11">
        <v>1</v>
      </c>
      <c r="P12" s="11">
        <v>0</v>
      </c>
      <c r="Q12" s="12" t="str">
        <f t="shared" si="7"/>
        <v>climate_db_ICHEC-EC-EARTH_rcp_4_5_v4.sqlite</v>
      </c>
      <c r="R12" s="12" t="str">
        <f t="shared" si="2"/>
        <v>log/Cluster10_highStructure_RCP45_repl3.txt</v>
      </c>
      <c r="S12" s="16" t="str">
        <f t="shared" si="8"/>
        <v>init_JM/env_file_CLUSTER10_ICHEC-EC-EARTH_rcp_4_5_REPL3.csv</v>
      </c>
      <c r="T12" s="16" t="str">
        <f t="shared" si="9"/>
        <v>init_JM/env_grid_CLUSTER10_REPL3.asc</v>
      </c>
      <c r="U12" s="16" t="str">
        <f t="shared" si="10"/>
        <v>init_JM/env_grid_CLUSTER10_REPL3.asc</v>
      </c>
      <c r="V12" s="16" t="str">
        <f t="shared" si="11"/>
        <v>../init_JM/trees_cluster10_repl3.csv</v>
      </c>
      <c r="W12" s="16" t="str">
        <f t="shared" si="12"/>
        <v>../init_JM/saplings_cluster10_repl3.csv</v>
      </c>
      <c r="X12" s="12">
        <f t="shared" si="3"/>
        <v>728</v>
      </c>
      <c r="Y12" s="16" t="str">
        <f t="shared" si="13"/>
        <v>abe/stand_files2/highStructure_cl10_repl3.csv</v>
      </c>
      <c r="Z12" s="12" t="str">
        <f t="shared" si="4"/>
        <v>true</v>
      </c>
      <c r="AA12" s="16" t="str">
        <f t="shared" si="14"/>
        <v>gis/WindModifier_cl10.asc</v>
      </c>
      <c r="AB12" s="12" t="str">
        <f t="shared" si="15"/>
        <v>true</v>
      </c>
      <c r="AC12" s="12" t="str">
        <f t="shared" si="5"/>
        <v>true</v>
      </c>
      <c r="AD12" s="12" t="str">
        <f t="shared" si="16"/>
        <v>ICHEC-EC-EARTH_rcp_4_5_point32685</v>
      </c>
      <c r="AE12" s="12" t="str">
        <f t="shared" si="17"/>
        <v>true</v>
      </c>
      <c r="AF12" s="12" t="str">
        <f t="shared" si="19"/>
        <v>wind_Events/cl10_repl3.txt</v>
      </c>
      <c r="AG12" s="16" t="str">
        <f t="shared" si="18"/>
        <v>Cluster10_highStructure_RCP45_repl3</v>
      </c>
    </row>
    <row r="13" spans="1:33" ht="13.8">
      <c r="A13" s="7" t="str">
        <f t="shared" si="6"/>
        <v>Cluster10_highStructure_RCP85_repl3</v>
      </c>
      <c r="B13" s="8" t="s">
        <v>25</v>
      </c>
      <c r="C13" s="8" t="s">
        <v>32</v>
      </c>
      <c r="D13" s="8" t="s">
        <v>36</v>
      </c>
      <c r="E13" s="9" t="str">
        <f t="shared" si="0"/>
        <v>rcp_8_5</v>
      </c>
      <c r="F13" s="8">
        <v>1231</v>
      </c>
      <c r="G13" s="8" t="s">
        <v>18</v>
      </c>
      <c r="H13" s="8">
        <v>10</v>
      </c>
      <c r="I13" s="8">
        <v>3</v>
      </c>
      <c r="J13" s="8" t="s">
        <v>19</v>
      </c>
      <c r="K13" s="8" t="s">
        <v>41</v>
      </c>
      <c r="L13" s="10" t="s">
        <v>22</v>
      </c>
      <c r="M13" s="17">
        <v>150</v>
      </c>
      <c r="N13" s="10" t="str">
        <f t="shared" si="1"/>
        <v>Cluster10_highStructure_RCP85_repl3.sqlite</v>
      </c>
      <c r="O13" s="11">
        <v>1</v>
      </c>
      <c r="P13" s="11">
        <v>0</v>
      </c>
      <c r="Q13" s="12" t="str">
        <f t="shared" si="7"/>
        <v>climate_db_ICHEC-EC-EARTH_rcp_8_5_v4.sqlite</v>
      </c>
      <c r="R13" s="12" t="str">
        <f t="shared" si="2"/>
        <v>log/Cluster10_highStructure_RCP85_repl3.txt</v>
      </c>
      <c r="S13" s="16" t="str">
        <f t="shared" si="8"/>
        <v>init_JM/env_file_CLUSTER10_ICHEC-EC-EARTH_rcp_8_5_REPL3.csv</v>
      </c>
      <c r="T13" s="16" t="str">
        <f t="shared" si="9"/>
        <v>init_JM/env_grid_CLUSTER10_REPL3.asc</v>
      </c>
      <c r="U13" s="16" t="str">
        <f t="shared" si="10"/>
        <v>init_JM/env_grid_CLUSTER10_REPL3.asc</v>
      </c>
      <c r="V13" s="16" t="str">
        <f t="shared" si="11"/>
        <v>../init_JM/trees_cluster10_repl3.csv</v>
      </c>
      <c r="W13" s="16" t="str">
        <f t="shared" si="12"/>
        <v>../init_JM/saplings_cluster10_repl3.csv</v>
      </c>
      <c r="X13" s="12">
        <f t="shared" si="3"/>
        <v>1231</v>
      </c>
      <c r="Y13" s="16" t="str">
        <f t="shared" si="13"/>
        <v>abe/stand_files2/highStructure_cl10_repl3.csv</v>
      </c>
      <c r="Z13" s="12" t="str">
        <f t="shared" si="4"/>
        <v>true</v>
      </c>
      <c r="AA13" s="16" t="str">
        <f t="shared" si="14"/>
        <v>gis/WindModifier_cl10.asc</v>
      </c>
      <c r="AB13" s="12" t="str">
        <f t="shared" si="15"/>
        <v>true</v>
      </c>
      <c r="AC13" s="12" t="str">
        <f t="shared" si="5"/>
        <v>true</v>
      </c>
      <c r="AD13" s="12" t="str">
        <f t="shared" si="16"/>
        <v>ICHEC-EC-EARTH_rcp_8_5_point32685</v>
      </c>
      <c r="AE13" s="12" t="str">
        <f t="shared" si="17"/>
        <v>true</v>
      </c>
      <c r="AF13" s="12" t="str">
        <f t="shared" si="19"/>
        <v>wind_Events/cl10_repl3.txt</v>
      </c>
      <c r="AG13" s="16" t="str">
        <f t="shared" si="18"/>
        <v>Cluster10_highStructure_RCP85_repl3</v>
      </c>
    </row>
    <row r="14" spans="1:33" ht="13.8">
      <c r="A14" s="7" t="str">
        <f t="shared" si="6"/>
        <v>Cluster10_highStructure_historical_repl4</v>
      </c>
      <c r="B14" s="8" t="s">
        <v>25</v>
      </c>
      <c r="C14" s="8" t="s">
        <v>32</v>
      </c>
      <c r="D14" s="9" t="s">
        <v>17</v>
      </c>
      <c r="E14" s="9" t="str">
        <f t="shared" si="0"/>
        <v>historical</v>
      </c>
      <c r="F14" s="8">
        <v>350</v>
      </c>
      <c r="G14" s="8" t="s">
        <v>18</v>
      </c>
      <c r="H14" s="8">
        <v>10</v>
      </c>
      <c r="I14" s="8">
        <v>4</v>
      </c>
      <c r="J14" s="8" t="s">
        <v>19</v>
      </c>
      <c r="K14" s="8" t="s">
        <v>41</v>
      </c>
      <c r="L14" s="10" t="s">
        <v>21</v>
      </c>
      <c r="M14" s="17">
        <v>150</v>
      </c>
      <c r="N14" s="10" t="str">
        <f t="shared" si="1"/>
        <v>Cluster10_highStructure_historical_repl4.sqlite</v>
      </c>
      <c r="O14" s="11">
        <v>1</v>
      </c>
      <c r="P14" s="11">
        <v>0</v>
      </c>
      <c r="Q14" s="12" t="str">
        <f t="shared" si="7"/>
        <v>climate_db_ICHEC-EC-EARTH_historical_v4.sqlite</v>
      </c>
      <c r="R14" s="12" t="str">
        <f t="shared" si="2"/>
        <v>log/Cluster10_highStructure_historical_repl4.txt</v>
      </c>
      <c r="S14" s="16" t="str">
        <f t="shared" si="8"/>
        <v>init_JM/env_file_CLUSTER10_ICHEC-EC-EARTH_historical_REPL4.csv</v>
      </c>
      <c r="T14" s="16" t="str">
        <f t="shared" si="9"/>
        <v>init_JM/env_grid_CLUSTER10_REPL4.asc</v>
      </c>
      <c r="U14" s="16" t="str">
        <f t="shared" si="10"/>
        <v>init_JM/env_grid_CLUSTER10_REPL4.asc</v>
      </c>
      <c r="V14" s="16" t="str">
        <f t="shared" si="11"/>
        <v>../init_JM/trees_cluster10_repl4.csv</v>
      </c>
      <c r="W14" s="16" t="str">
        <f t="shared" si="12"/>
        <v>../init_JM/saplings_cluster10_repl4.csv</v>
      </c>
      <c r="X14" s="12">
        <f t="shared" si="3"/>
        <v>350</v>
      </c>
      <c r="Y14" s="16" t="str">
        <f t="shared" si="13"/>
        <v>abe/stand_files2/highStructure_cl10_repl4.csv</v>
      </c>
      <c r="Z14" s="12" t="str">
        <f t="shared" si="4"/>
        <v>true</v>
      </c>
      <c r="AA14" s="16" t="str">
        <f t="shared" si="14"/>
        <v>gis/WindModifier_cl10.asc</v>
      </c>
      <c r="AB14" s="12" t="str">
        <f t="shared" si="15"/>
        <v>true</v>
      </c>
      <c r="AC14" s="12" t="str">
        <f t="shared" si="5"/>
        <v>true</v>
      </c>
      <c r="AD14" s="12" t="str">
        <f t="shared" si="16"/>
        <v>ICHEC-EC-EARTH_historical_point32685</v>
      </c>
      <c r="AE14" s="12" t="str">
        <f t="shared" si="17"/>
        <v>true</v>
      </c>
      <c r="AF14" s="12" t="str">
        <f t="shared" si="19"/>
        <v>wind_Events/cl10_repl4.txt</v>
      </c>
      <c r="AG14" s="16" t="str">
        <f t="shared" si="18"/>
        <v>Cluster10_highStructure_historical_repl4</v>
      </c>
    </row>
    <row r="15" spans="1:33" ht="13.8">
      <c r="A15" s="7" t="str">
        <f t="shared" si="6"/>
        <v>Cluster10_highStructure_RCP26_repl4</v>
      </c>
      <c r="B15" s="8" t="s">
        <v>25</v>
      </c>
      <c r="C15" s="8" t="s">
        <v>32</v>
      </c>
      <c r="D15" s="8" t="s">
        <v>34</v>
      </c>
      <c r="E15" s="9" t="str">
        <f t="shared" si="0"/>
        <v>rcp_2_6</v>
      </c>
      <c r="F15" s="8">
        <v>427</v>
      </c>
      <c r="G15" s="8" t="s">
        <v>18</v>
      </c>
      <c r="H15" s="8">
        <v>10</v>
      </c>
      <c r="I15" s="8">
        <v>4</v>
      </c>
      <c r="J15" s="8" t="s">
        <v>19</v>
      </c>
      <c r="K15" s="8" t="s">
        <v>41</v>
      </c>
      <c r="L15" s="10" t="s">
        <v>22</v>
      </c>
      <c r="M15" s="17">
        <v>150</v>
      </c>
      <c r="N15" s="10" t="str">
        <f t="shared" si="1"/>
        <v>Cluster10_highStructure_RCP26_repl4.sqlite</v>
      </c>
      <c r="O15" s="11">
        <v>1</v>
      </c>
      <c r="P15" s="11">
        <v>0</v>
      </c>
      <c r="Q15" s="12" t="str">
        <f t="shared" si="7"/>
        <v>climate_db_ICHEC-EC-EARTH_rcp_2_6_v4.sqlite</v>
      </c>
      <c r="R15" s="12" t="str">
        <f t="shared" si="2"/>
        <v>log/Cluster10_highStructure_RCP26_repl4.txt</v>
      </c>
      <c r="S15" s="16" t="str">
        <f t="shared" si="8"/>
        <v>init_JM/env_file_CLUSTER10_ICHEC-EC-EARTH_rcp_2_6_REPL4.csv</v>
      </c>
      <c r="T15" s="16" t="str">
        <f t="shared" si="9"/>
        <v>init_JM/env_grid_CLUSTER10_REPL4.asc</v>
      </c>
      <c r="U15" s="16" t="str">
        <f t="shared" si="10"/>
        <v>init_JM/env_grid_CLUSTER10_REPL4.asc</v>
      </c>
      <c r="V15" s="16" t="str">
        <f t="shared" si="11"/>
        <v>../init_JM/trees_cluster10_repl4.csv</v>
      </c>
      <c r="W15" s="16" t="str">
        <f t="shared" si="12"/>
        <v>../init_JM/saplings_cluster10_repl4.csv</v>
      </c>
      <c r="X15" s="12">
        <f t="shared" si="3"/>
        <v>427</v>
      </c>
      <c r="Y15" s="16" t="str">
        <f t="shared" si="13"/>
        <v>abe/stand_files2/highStructure_cl10_repl4.csv</v>
      </c>
      <c r="Z15" s="12" t="str">
        <f t="shared" si="4"/>
        <v>true</v>
      </c>
      <c r="AA15" s="16" t="str">
        <f t="shared" si="14"/>
        <v>gis/WindModifier_cl10.asc</v>
      </c>
      <c r="AB15" s="12" t="str">
        <f t="shared" si="15"/>
        <v>true</v>
      </c>
      <c r="AC15" s="12" t="str">
        <f t="shared" si="5"/>
        <v>true</v>
      </c>
      <c r="AD15" s="12" t="str">
        <f t="shared" si="16"/>
        <v>ICHEC-EC-EARTH_rcp_2_6_point32685</v>
      </c>
      <c r="AE15" s="12" t="str">
        <f t="shared" si="17"/>
        <v>true</v>
      </c>
      <c r="AF15" s="12" t="str">
        <f t="shared" si="19"/>
        <v>wind_Events/cl10_repl4.txt</v>
      </c>
      <c r="AG15" s="16" t="str">
        <f t="shared" si="18"/>
        <v>Cluster10_highStructure_RCP26_repl4</v>
      </c>
    </row>
    <row r="16" spans="1:33" ht="13.8">
      <c r="A16" s="7" t="str">
        <f t="shared" si="6"/>
        <v>Cluster10_highStructure_RCP45_repl4</v>
      </c>
      <c r="B16" s="8" t="s">
        <v>25</v>
      </c>
      <c r="C16" s="8" t="s">
        <v>32</v>
      </c>
      <c r="D16" s="8" t="s">
        <v>35</v>
      </c>
      <c r="E16" s="9" t="str">
        <f t="shared" si="0"/>
        <v>rcp_4_5</v>
      </c>
      <c r="F16" s="8">
        <v>728</v>
      </c>
      <c r="G16" s="8" t="s">
        <v>18</v>
      </c>
      <c r="H16" s="8">
        <v>10</v>
      </c>
      <c r="I16" s="8">
        <v>4</v>
      </c>
      <c r="J16" s="8" t="s">
        <v>19</v>
      </c>
      <c r="K16" s="8" t="s">
        <v>41</v>
      </c>
      <c r="L16" s="10" t="s">
        <v>22</v>
      </c>
      <c r="M16" s="17">
        <v>150</v>
      </c>
      <c r="N16" s="10" t="str">
        <f t="shared" si="1"/>
        <v>Cluster10_highStructure_RCP45_repl4.sqlite</v>
      </c>
      <c r="O16" s="11">
        <v>1</v>
      </c>
      <c r="P16" s="11">
        <v>0</v>
      </c>
      <c r="Q16" s="12" t="str">
        <f t="shared" si="7"/>
        <v>climate_db_ICHEC-EC-EARTH_rcp_4_5_v4.sqlite</v>
      </c>
      <c r="R16" s="12" t="str">
        <f t="shared" si="2"/>
        <v>log/Cluster10_highStructure_RCP45_repl4.txt</v>
      </c>
      <c r="S16" s="16" t="str">
        <f t="shared" si="8"/>
        <v>init_JM/env_file_CLUSTER10_ICHEC-EC-EARTH_rcp_4_5_REPL4.csv</v>
      </c>
      <c r="T16" s="16" t="str">
        <f t="shared" si="9"/>
        <v>init_JM/env_grid_CLUSTER10_REPL4.asc</v>
      </c>
      <c r="U16" s="16" t="str">
        <f t="shared" si="10"/>
        <v>init_JM/env_grid_CLUSTER10_REPL4.asc</v>
      </c>
      <c r="V16" s="16" t="str">
        <f t="shared" si="11"/>
        <v>../init_JM/trees_cluster10_repl4.csv</v>
      </c>
      <c r="W16" s="16" t="str">
        <f t="shared" si="12"/>
        <v>../init_JM/saplings_cluster10_repl4.csv</v>
      </c>
      <c r="X16" s="12">
        <f t="shared" si="3"/>
        <v>728</v>
      </c>
      <c r="Y16" s="16" t="str">
        <f t="shared" si="13"/>
        <v>abe/stand_files2/highStructure_cl10_repl4.csv</v>
      </c>
      <c r="Z16" s="12" t="str">
        <f t="shared" si="4"/>
        <v>true</v>
      </c>
      <c r="AA16" s="16" t="str">
        <f t="shared" si="14"/>
        <v>gis/WindModifier_cl10.asc</v>
      </c>
      <c r="AB16" s="12" t="str">
        <f t="shared" si="15"/>
        <v>true</v>
      </c>
      <c r="AC16" s="12" t="str">
        <f t="shared" si="5"/>
        <v>true</v>
      </c>
      <c r="AD16" s="12" t="str">
        <f t="shared" si="16"/>
        <v>ICHEC-EC-EARTH_rcp_4_5_point32685</v>
      </c>
      <c r="AE16" s="12" t="str">
        <f t="shared" si="17"/>
        <v>true</v>
      </c>
      <c r="AF16" s="12" t="str">
        <f t="shared" si="19"/>
        <v>wind_Events/cl10_repl4.txt</v>
      </c>
      <c r="AG16" s="16" t="str">
        <f t="shared" si="18"/>
        <v>Cluster10_highStructure_RCP45_repl4</v>
      </c>
    </row>
    <row r="17" spans="1:33" ht="13.8">
      <c r="A17" s="7" t="str">
        <f t="shared" si="6"/>
        <v>Cluster10_highStructure_RCP85_repl4</v>
      </c>
      <c r="B17" s="8" t="s">
        <v>25</v>
      </c>
      <c r="C17" s="8" t="s">
        <v>32</v>
      </c>
      <c r="D17" s="8" t="s">
        <v>36</v>
      </c>
      <c r="E17" s="9" t="str">
        <f t="shared" si="0"/>
        <v>rcp_8_5</v>
      </c>
      <c r="F17" s="8">
        <v>1231</v>
      </c>
      <c r="G17" s="8" t="s">
        <v>18</v>
      </c>
      <c r="H17" s="8">
        <v>10</v>
      </c>
      <c r="I17" s="8">
        <v>4</v>
      </c>
      <c r="J17" s="8" t="s">
        <v>19</v>
      </c>
      <c r="K17" s="8" t="s">
        <v>41</v>
      </c>
      <c r="L17" s="10" t="s">
        <v>22</v>
      </c>
      <c r="M17" s="17">
        <v>150</v>
      </c>
      <c r="N17" s="10" t="str">
        <f t="shared" si="1"/>
        <v>Cluster10_highStructure_RCP85_repl4.sqlite</v>
      </c>
      <c r="O17" s="11">
        <v>1</v>
      </c>
      <c r="P17" s="11">
        <v>0</v>
      </c>
      <c r="Q17" s="12" t="str">
        <f t="shared" si="7"/>
        <v>climate_db_ICHEC-EC-EARTH_rcp_8_5_v4.sqlite</v>
      </c>
      <c r="R17" s="12" t="str">
        <f t="shared" si="2"/>
        <v>log/Cluster10_highStructure_RCP85_repl4.txt</v>
      </c>
      <c r="S17" s="16" t="str">
        <f t="shared" si="8"/>
        <v>init_JM/env_file_CLUSTER10_ICHEC-EC-EARTH_rcp_8_5_REPL4.csv</v>
      </c>
      <c r="T17" s="16" t="str">
        <f t="shared" si="9"/>
        <v>init_JM/env_grid_CLUSTER10_REPL4.asc</v>
      </c>
      <c r="U17" s="16" t="str">
        <f t="shared" si="10"/>
        <v>init_JM/env_grid_CLUSTER10_REPL4.asc</v>
      </c>
      <c r="V17" s="16" t="str">
        <f t="shared" si="11"/>
        <v>../init_JM/trees_cluster10_repl4.csv</v>
      </c>
      <c r="W17" s="16" t="str">
        <f t="shared" si="12"/>
        <v>../init_JM/saplings_cluster10_repl4.csv</v>
      </c>
      <c r="X17" s="12">
        <f t="shared" si="3"/>
        <v>1231</v>
      </c>
      <c r="Y17" s="16" t="str">
        <f t="shared" si="13"/>
        <v>abe/stand_files2/highStructure_cl10_repl4.csv</v>
      </c>
      <c r="Z17" s="12" t="str">
        <f t="shared" si="4"/>
        <v>true</v>
      </c>
      <c r="AA17" s="16" t="str">
        <f t="shared" si="14"/>
        <v>gis/WindModifier_cl10.asc</v>
      </c>
      <c r="AB17" s="12" t="str">
        <f t="shared" si="15"/>
        <v>true</v>
      </c>
      <c r="AC17" s="12" t="str">
        <f t="shared" si="5"/>
        <v>true</v>
      </c>
      <c r="AD17" s="12" t="str">
        <f t="shared" si="16"/>
        <v>ICHEC-EC-EARTH_rcp_8_5_point32685</v>
      </c>
      <c r="AE17" s="12" t="str">
        <f t="shared" si="17"/>
        <v>true</v>
      </c>
      <c r="AF17" s="12" t="str">
        <f t="shared" si="19"/>
        <v>wind_Events/cl10_repl4.txt</v>
      </c>
      <c r="AG17" s="16" t="str">
        <f t="shared" si="18"/>
        <v>Cluster10_highStructure_RCP85_repl4</v>
      </c>
    </row>
    <row r="18" spans="1:33" ht="13.8">
      <c r="A18" s="7" t="str">
        <f t="shared" si="6"/>
        <v>Cluster10_highStructure_historical_repl5</v>
      </c>
      <c r="B18" s="8" t="s">
        <v>25</v>
      </c>
      <c r="C18" s="8" t="s">
        <v>32</v>
      </c>
      <c r="D18" s="9" t="s">
        <v>17</v>
      </c>
      <c r="E18" s="9" t="str">
        <f t="shared" si="0"/>
        <v>historical</v>
      </c>
      <c r="F18" s="8">
        <v>350</v>
      </c>
      <c r="G18" s="8" t="s">
        <v>18</v>
      </c>
      <c r="H18" s="8">
        <v>10</v>
      </c>
      <c r="I18" s="8">
        <v>5</v>
      </c>
      <c r="J18" s="8" t="s">
        <v>19</v>
      </c>
      <c r="K18" s="8" t="s">
        <v>41</v>
      </c>
      <c r="L18" s="10" t="s">
        <v>21</v>
      </c>
      <c r="M18" s="17">
        <v>150</v>
      </c>
      <c r="N18" s="10" t="str">
        <f t="shared" si="1"/>
        <v>Cluster10_highStructure_historical_repl5.sqlite</v>
      </c>
      <c r="O18" s="11">
        <v>1</v>
      </c>
      <c r="P18" s="11">
        <v>0</v>
      </c>
      <c r="Q18" s="12" t="str">
        <f t="shared" si="7"/>
        <v>climate_db_ICHEC-EC-EARTH_historical_v4.sqlite</v>
      </c>
      <c r="R18" s="12" t="str">
        <f t="shared" si="2"/>
        <v>log/Cluster10_highStructure_historical_repl5.txt</v>
      </c>
      <c r="S18" s="16" t="str">
        <f t="shared" si="8"/>
        <v>init_JM/env_file_CLUSTER10_ICHEC-EC-EARTH_historical_REPL5.csv</v>
      </c>
      <c r="T18" s="16" t="str">
        <f t="shared" si="9"/>
        <v>init_JM/env_grid_CLUSTER10_REPL5.asc</v>
      </c>
      <c r="U18" s="16" t="str">
        <f t="shared" si="10"/>
        <v>init_JM/env_grid_CLUSTER10_REPL5.asc</v>
      </c>
      <c r="V18" s="16" t="str">
        <f t="shared" si="11"/>
        <v>../init_JM/trees_cluster10_repl5.csv</v>
      </c>
      <c r="W18" s="16" t="str">
        <f t="shared" si="12"/>
        <v>../init_JM/saplings_cluster10_repl5.csv</v>
      </c>
      <c r="X18" s="12">
        <f t="shared" si="3"/>
        <v>350</v>
      </c>
      <c r="Y18" s="16" t="str">
        <f t="shared" si="13"/>
        <v>abe/stand_files2/highStructure_cl10_repl5.csv</v>
      </c>
      <c r="Z18" s="12" t="str">
        <f t="shared" si="4"/>
        <v>true</v>
      </c>
      <c r="AA18" s="16" t="str">
        <f t="shared" si="14"/>
        <v>gis/WindModifier_cl10.asc</v>
      </c>
      <c r="AB18" s="12" t="str">
        <f t="shared" si="15"/>
        <v>true</v>
      </c>
      <c r="AC18" s="12" t="str">
        <f t="shared" si="5"/>
        <v>true</v>
      </c>
      <c r="AD18" s="12" t="str">
        <f t="shared" si="16"/>
        <v>ICHEC-EC-EARTH_historical_point32685</v>
      </c>
      <c r="AE18" s="12" t="str">
        <f t="shared" si="17"/>
        <v>true</v>
      </c>
      <c r="AF18" s="12" t="str">
        <f t="shared" si="19"/>
        <v>wind_Events/cl10_repl5.txt</v>
      </c>
      <c r="AG18" s="16" t="str">
        <f t="shared" si="18"/>
        <v>Cluster10_highStructure_historical_repl5</v>
      </c>
    </row>
    <row r="19" spans="1:33" ht="13.8">
      <c r="A19" s="7" t="str">
        <f t="shared" si="6"/>
        <v>Cluster10_highStructure_RCP26_repl5</v>
      </c>
      <c r="B19" s="8" t="s">
        <v>25</v>
      </c>
      <c r="C19" s="8" t="s">
        <v>32</v>
      </c>
      <c r="D19" s="8" t="s">
        <v>34</v>
      </c>
      <c r="E19" s="9" t="str">
        <f t="shared" si="0"/>
        <v>rcp_2_6</v>
      </c>
      <c r="F19" s="8">
        <v>427</v>
      </c>
      <c r="G19" s="8" t="s">
        <v>18</v>
      </c>
      <c r="H19" s="8">
        <v>10</v>
      </c>
      <c r="I19" s="8">
        <v>5</v>
      </c>
      <c r="J19" s="8" t="s">
        <v>19</v>
      </c>
      <c r="K19" s="8" t="s">
        <v>41</v>
      </c>
      <c r="L19" s="10" t="s">
        <v>22</v>
      </c>
      <c r="M19" s="17">
        <v>150</v>
      </c>
      <c r="N19" s="10" t="str">
        <f t="shared" si="1"/>
        <v>Cluster10_highStructure_RCP26_repl5.sqlite</v>
      </c>
      <c r="O19" s="11">
        <v>1</v>
      </c>
      <c r="P19" s="11">
        <v>0</v>
      </c>
      <c r="Q19" s="12" t="str">
        <f t="shared" si="7"/>
        <v>climate_db_ICHEC-EC-EARTH_rcp_2_6_v4.sqlite</v>
      </c>
      <c r="R19" s="12" t="str">
        <f t="shared" si="2"/>
        <v>log/Cluster10_highStructure_RCP26_repl5.txt</v>
      </c>
      <c r="S19" s="16" t="str">
        <f t="shared" si="8"/>
        <v>init_JM/env_file_CLUSTER10_ICHEC-EC-EARTH_rcp_2_6_REPL5.csv</v>
      </c>
      <c r="T19" s="16" t="str">
        <f t="shared" si="9"/>
        <v>init_JM/env_grid_CLUSTER10_REPL5.asc</v>
      </c>
      <c r="U19" s="16" t="str">
        <f t="shared" si="10"/>
        <v>init_JM/env_grid_CLUSTER10_REPL5.asc</v>
      </c>
      <c r="V19" s="16" t="str">
        <f t="shared" si="11"/>
        <v>../init_JM/trees_cluster10_repl5.csv</v>
      </c>
      <c r="W19" s="16" t="str">
        <f t="shared" si="12"/>
        <v>../init_JM/saplings_cluster10_repl5.csv</v>
      </c>
      <c r="X19" s="12">
        <f t="shared" si="3"/>
        <v>427</v>
      </c>
      <c r="Y19" s="16" t="str">
        <f t="shared" si="13"/>
        <v>abe/stand_files2/highStructure_cl10_repl5.csv</v>
      </c>
      <c r="Z19" s="12" t="str">
        <f t="shared" si="4"/>
        <v>true</v>
      </c>
      <c r="AA19" s="16" t="str">
        <f t="shared" si="14"/>
        <v>gis/WindModifier_cl10.asc</v>
      </c>
      <c r="AB19" s="12" t="str">
        <f t="shared" si="15"/>
        <v>true</v>
      </c>
      <c r="AC19" s="12" t="str">
        <f t="shared" si="5"/>
        <v>true</v>
      </c>
      <c r="AD19" s="12" t="str">
        <f t="shared" si="16"/>
        <v>ICHEC-EC-EARTH_rcp_2_6_point32685</v>
      </c>
      <c r="AE19" s="12" t="str">
        <f t="shared" si="17"/>
        <v>true</v>
      </c>
      <c r="AF19" s="12" t="str">
        <f t="shared" si="19"/>
        <v>wind_Events/cl10_repl5.txt</v>
      </c>
      <c r="AG19" s="16" t="str">
        <f t="shared" si="18"/>
        <v>Cluster10_highStructure_RCP26_repl5</v>
      </c>
    </row>
    <row r="20" spans="1:33" ht="13.8">
      <c r="A20" s="7" t="str">
        <f t="shared" si="6"/>
        <v>Cluster10_highStructure_RCP45_repl5</v>
      </c>
      <c r="B20" s="8" t="s">
        <v>25</v>
      </c>
      <c r="C20" s="8" t="s">
        <v>32</v>
      </c>
      <c r="D20" s="8" t="s">
        <v>35</v>
      </c>
      <c r="E20" s="9" t="str">
        <f t="shared" si="0"/>
        <v>rcp_4_5</v>
      </c>
      <c r="F20" s="8">
        <v>728</v>
      </c>
      <c r="G20" s="8" t="s">
        <v>18</v>
      </c>
      <c r="H20" s="8">
        <v>10</v>
      </c>
      <c r="I20" s="8">
        <v>5</v>
      </c>
      <c r="J20" s="8" t="s">
        <v>19</v>
      </c>
      <c r="K20" s="8" t="s">
        <v>41</v>
      </c>
      <c r="L20" s="10" t="s">
        <v>22</v>
      </c>
      <c r="M20" s="17">
        <v>150</v>
      </c>
      <c r="N20" s="10" t="str">
        <f t="shared" si="1"/>
        <v>Cluster10_highStructure_RCP45_repl5.sqlite</v>
      </c>
      <c r="O20" s="11">
        <v>1</v>
      </c>
      <c r="P20" s="11">
        <v>0</v>
      </c>
      <c r="Q20" s="12" t="str">
        <f t="shared" si="7"/>
        <v>climate_db_ICHEC-EC-EARTH_rcp_4_5_v4.sqlite</v>
      </c>
      <c r="R20" s="12" t="str">
        <f t="shared" si="2"/>
        <v>log/Cluster10_highStructure_RCP45_repl5.txt</v>
      </c>
      <c r="S20" s="16" t="str">
        <f t="shared" si="8"/>
        <v>init_JM/env_file_CLUSTER10_ICHEC-EC-EARTH_rcp_4_5_REPL5.csv</v>
      </c>
      <c r="T20" s="16" t="str">
        <f t="shared" si="9"/>
        <v>init_JM/env_grid_CLUSTER10_REPL5.asc</v>
      </c>
      <c r="U20" s="16" t="str">
        <f t="shared" si="10"/>
        <v>init_JM/env_grid_CLUSTER10_REPL5.asc</v>
      </c>
      <c r="V20" s="16" t="str">
        <f t="shared" si="11"/>
        <v>../init_JM/trees_cluster10_repl5.csv</v>
      </c>
      <c r="W20" s="16" t="str">
        <f t="shared" si="12"/>
        <v>../init_JM/saplings_cluster10_repl5.csv</v>
      </c>
      <c r="X20" s="12">
        <f t="shared" si="3"/>
        <v>728</v>
      </c>
      <c r="Y20" s="16" t="str">
        <f t="shared" si="13"/>
        <v>abe/stand_files2/highStructure_cl10_repl5.csv</v>
      </c>
      <c r="Z20" s="12" t="str">
        <f t="shared" si="4"/>
        <v>true</v>
      </c>
      <c r="AA20" s="16" t="str">
        <f t="shared" si="14"/>
        <v>gis/WindModifier_cl10.asc</v>
      </c>
      <c r="AB20" s="12" t="str">
        <f t="shared" si="15"/>
        <v>true</v>
      </c>
      <c r="AC20" s="12" t="str">
        <f t="shared" si="5"/>
        <v>true</v>
      </c>
      <c r="AD20" s="12" t="str">
        <f t="shared" si="16"/>
        <v>ICHEC-EC-EARTH_rcp_4_5_point32685</v>
      </c>
      <c r="AE20" s="12" t="str">
        <f t="shared" si="17"/>
        <v>true</v>
      </c>
      <c r="AF20" s="12" t="str">
        <f t="shared" si="19"/>
        <v>wind_Events/cl10_repl5.txt</v>
      </c>
      <c r="AG20" s="16" t="str">
        <f t="shared" si="18"/>
        <v>Cluster10_highStructure_RCP45_repl5</v>
      </c>
    </row>
    <row r="21" spans="1:33" ht="13.8">
      <c r="A21" s="7" t="str">
        <f t="shared" si="6"/>
        <v>Cluster10_highStructure_RCP85_repl5</v>
      </c>
      <c r="B21" s="8" t="s">
        <v>25</v>
      </c>
      <c r="C21" s="8" t="s">
        <v>32</v>
      </c>
      <c r="D21" s="8" t="s">
        <v>36</v>
      </c>
      <c r="E21" s="9" t="str">
        <f t="shared" si="0"/>
        <v>rcp_8_5</v>
      </c>
      <c r="F21" s="8">
        <v>1231</v>
      </c>
      <c r="G21" s="8" t="s">
        <v>18</v>
      </c>
      <c r="H21" s="8">
        <v>10</v>
      </c>
      <c r="I21" s="8">
        <v>5</v>
      </c>
      <c r="J21" s="8" t="s">
        <v>19</v>
      </c>
      <c r="K21" s="8" t="s">
        <v>41</v>
      </c>
      <c r="L21" s="10" t="s">
        <v>22</v>
      </c>
      <c r="M21" s="17">
        <v>150</v>
      </c>
      <c r="N21" s="10" t="str">
        <f t="shared" si="1"/>
        <v>Cluster10_highStructure_RCP85_repl5.sqlite</v>
      </c>
      <c r="O21" s="11">
        <v>1</v>
      </c>
      <c r="P21" s="11">
        <v>0</v>
      </c>
      <c r="Q21" s="12" t="str">
        <f t="shared" si="7"/>
        <v>climate_db_ICHEC-EC-EARTH_rcp_8_5_v4.sqlite</v>
      </c>
      <c r="R21" s="12" t="str">
        <f t="shared" si="2"/>
        <v>log/Cluster10_highStructure_RCP85_repl5.txt</v>
      </c>
      <c r="S21" s="16" t="str">
        <f t="shared" si="8"/>
        <v>init_JM/env_file_CLUSTER10_ICHEC-EC-EARTH_rcp_8_5_REPL5.csv</v>
      </c>
      <c r="T21" s="16" t="str">
        <f t="shared" si="9"/>
        <v>init_JM/env_grid_CLUSTER10_REPL5.asc</v>
      </c>
      <c r="U21" s="16" t="str">
        <f t="shared" si="10"/>
        <v>init_JM/env_grid_CLUSTER10_REPL5.asc</v>
      </c>
      <c r="V21" s="16" t="str">
        <f t="shared" si="11"/>
        <v>../init_JM/trees_cluster10_repl5.csv</v>
      </c>
      <c r="W21" s="16" t="str">
        <f t="shared" si="12"/>
        <v>../init_JM/saplings_cluster10_repl5.csv</v>
      </c>
      <c r="X21" s="12">
        <f t="shared" si="3"/>
        <v>1231</v>
      </c>
      <c r="Y21" s="16" t="str">
        <f t="shared" si="13"/>
        <v>abe/stand_files2/highStructure_cl10_repl5.csv</v>
      </c>
      <c r="Z21" s="12" t="str">
        <f t="shared" si="4"/>
        <v>true</v>
      </c>
      <c r="AA21" s="16" t="str">
        <f t="shared" si="14"/>
        <v>gis/WindModifier_cl10.asc</v>
      </c>
      <c r="AB21" s="12" t="str">
        <f t="shared" si="15"/>
        <v>true</v>
      </c>
      <c r="AC21" s="12" t="str">
        <f t="shared" si="5"/>
        <v>true</v>
      </c>
      <c r="AD21" s="12" t="str">
        <f t="shared" si="16"/>
        <v>ICHEC-EC-EARTH_rcp_8_5_point32685</v>
      </c>
      <c r="AE21" s="12" t="str">
        <f t="shared" si="17"/>
        <v>true</v>
      </c>
      <c r="AF21" s="12" t="str">
        <f t="shared" si="19"/>
        <v>wind_Events/cl10_repl5.txt</v>
      </c>
      <c r="AG21" s="16" t="str">
        <f t="shared" si="18"/>
        <v>Cluster10_highStructure_RCP85_repl5</v>
      </c>
    </row>
    <row r="22" spans="1:33" ht="13.8">
      <c r="A22" s="7" t="str">
        <f t="shared" si="6"/>
        <v>Cluster10_lowStructure_historical_repl1</v>
      </c>
      <c r="B22" s="8" t="s">
        <v>23</v>
      </c>
      <c r="C22" s="8" t="s">
        <v>32</v>
      </c>
      <c r="D22" s="9" t="s">
        <v>17</v>
      </c>
      <c r="E22" s="9" t="str">
        <f t="shared" si="0"/>
        <v>historical</v>
      </c>
      <c r="F22" s="8">
        <v>350</v>
      </c>
      <c r="G22" s="8" t="s">
        <v>18</v>
      </c>
      <c r="H22" s="8">
        <v>10</v>
      </c>
      <c r="I22" s="8">
        <v>1</v>
      </c>
      <c r="J22" s="8" t="s">
        <v>19</v>
      </c>
      <c r="K22" s="8" t="s">
        <v>41</v>
      </c>
      <c r="L22" s="10" t="s">
        <v>21</v>
      </c>
      <c r="M22" s="17">
        <v>150</v>
      </c>
      <c r="N22" s="10" t="str">
        <f t="shared" si="1"/>
        <v>Cluster10_lowStructure_historical_repl1.sqlite</v>
      </c>
      <c r="O22" s="11">
        <v>1</v>
      </c>
      <c r="P22" s="11">
        <v>0</v>
      </c>
      <c r="Q22" s="12" t="str">
        <f t="shared" si="7"/>
        <v>climate_db_ICHEC-EC-EARTH_historical_v4.sqlite</v>
      </c>
      <c r="R22" s="12" t="str">
        <f t="shared" si="2"/>
        <v>log/Cluster10_lowStructure_historical_repl1.txt</v>
      </c>
      <c r="S22" s="16" t="str">
        <f t="shared" si="8"/>
        <v>init_JM/env_file_CLUSTER10_ICHEC-EC-EARTH_historical_REPL1.csv</v>
      </c>
      <c r="T22" s="16" t="str">
        <f t="shared" si="9"/>
        <v>init_JM/env_grid_CLUSTER10_REPL1.asc</v>
      </c>
      <c r="U22" s="16" t="str">
        <f t="shared" si="10"/>
        <v>init_JM/env_grid_CLUSTER10_REPL1.asc</v>
      </c>
      <c r="V22" s="16" t="str">
        <f t="shared" si="11"/>
        <v>../init_JM/trees_cluster10_repl1.csv</v>
      </c>
      <c r="W22" s="16" t="str">
        <f t="shared" si="12"/>
        <v>../init_JM/saplings_cluster10_repl1.csv</v>
      </c>
      <c r="X22" s="12">
        <f t="shared" si="3"/>
        <v>350</v>
      </c>
      <c r="Y22" s="16" t="str">
        <f t="shared" si="13"/>
        <v>abe/stand_files2/lowStructure_cl10_repl1.csv</v>
      </c>
      <c r="Z22" s="12" t="str">
        <f t="shared" si="4"/>
        <v>true</v>
      </c>
      <c r="AA22" s="16" t="str">
        <f t="shared" si="14"/>
        <v>gis/WindModifier_cl10.asc</v>
      </c>
      <c r="AB22" s="12" t="str">
        <f t="shared" si="15"/>
        <v>true</v>
      </c>
      <c r="AC22" s="12" t="str">
        <f t="shared" si="5"/>
        <v>true</v>
      </c>
      <c r="AD22" s="12" t="str">
        <f t="shared" si="16"/>
        <v>ICHEC-EC-EARTH_historical_point32685</v>
      </c>
      <c r="AE22" s="12" t="str">
        <f t="shared" si="17"/>
        <v>true</v>
      </c>
      <c r="AF22" s="12" t="str">
        <f t="shared" si="19"/>
        <v>wind_Events/cl10_repl1.txt</v>
      </c>
      <c r="AG22" s="16" t="str">
        <f t="shared" si="18"/>
        <v>Cluster10_lowStructure_historical_repl1</v>
      </c>
    </row>
    <row r="23" spans="1:33" ht="13.8">
      <c r="A23" s="7" t="str">
        <f t="shared" si="6"/>
        <v>Cluster10_lowStructure_RCP26_repl1</v>
      </c>
      <c r="B23" s="8" t="s">
        <v>23</v>
      </c>
      <c r="C23" s="8" t="s">
        <v>32</v>
      </c>
      <c r="D23" s="8" t="s">
        <v>34</v>
      </c>
      <c r="E23" s="9" t="str">
        <f t="shared" si="0"/>
        <v>rcp_2_6</v>
      </c>
      <c r="F23" s="8">
        <v>427</v>
      </c>
      <c r="G23" s="8" t="s">
        <v>18</v>
      </c>
      <c r="H23" s="8">
        <v>10</v>
      </c>
      <c r="I23" s="8">
        <v>1</v>
      </c>
      <c r="J23" s="8" t="s">
        <v>19</v>
      </c>
      <c r="K23" s="8" t="s">
        <v>41</v>
      </c>
      <c r="L23" s="10" t="s">
        <v>22</v>
      </c>
      <c r="M23" s="17">
        <v>150</v>
      </c>
      <c r="N23" s="10" t="str">
        <f t="shared" si="1"/>
        <v>Cluster10_lowStructure_RCP26_repl1.sqlite</v>
      </c>
      <c r="O23" s="11">
        <v>1</v>
      </c>
      <c r="P23" s="11">
        <v>0</v>
      </c>
      <c r="Q23" s="12" t="str">
        <f t="shared" si="7"/>
        <v>climate_db_ICHEC-EC-EARTH_rcp_2_6_v4.sqlite</v>
      </c>
      <c r="R23" s="12" t="str">
        <f t="shared" si="2"/>
        <v>log/Cluster10_lowStructure_RCP26_repl1.txt</v>
      </c>
      <c r="S23" s="16" t="str">
        <f t="shared" si="8"/>
        <v>init_JM/env_file_CLUSTER10_ICHEC-EC-EARTH_rcp_2_6_REPL1.csv</v>
      </c>
      <c r="T23" s="16" t="str">
        <f t="shared" si="9"/>
        <v>init_JM/env_grid_CLUSTER10_REPL1.asc</v>
      </c>
      <c r="U23" s="16" t="str">
        <f t="shared" si="10"/>
        <v>init_JM/env_grid_CLUSTER10_REPL1.asc</v>
      </c>
      <c r="V23" s="16" t="str">
        <f t="shared" si="11"/>
        <v>../init_JM/trees_cluster10_repl1.csv</v>
      </c>
      <c r="W23" s="16" t="str">
        <f t="shared" si="12"/>
        <v>../init_JM/saplings_cluster10_repl1.csv</v>
      </c>
      <c r="X23" s="12">
        <f t="shared" si="3"/>
        <v>427</v>
      </c>
      <c r="Y23" s="16" t="str">
        <f t="shared" si="13"/>
        <v>abe/stand_files2/lowStructure_cl10_repl1.csv</v>
      </c>
      <c r="Z23" s="12" t="str">
        <f t="shared" si="4"/>
        <v>true</v>
      </c>
      <c r="AA23" s="16" t="str">
        <f t="shared" si="14"/>
        <v>gis/WindModifier_cl10.asc</v>
      </c>
      <c r="AB23" s="12" t="str">
        <f t="shared" si="15"/>
        <v>true</v>
      </c>
      <c r="AC23" s="12" t="str">
        <f t="shared" si="5"/>
        <v>true</v>
      </c>
      <c r="AD23" s="12" t="str">
        <f t="shared" si="16"/>
        <v>ICHEC-EC-EARTH_rcp_2_6_point32685</v>
      </c>
      <c r="AE23" s="12" t="str">
        <f t="shared" si="17"/>
        <v>true</v>
      </c>
      <c r="AF23" s="12" t="str">
        <f t="shared" si="19"/>
        <v>wind_Events/cl10_repl1.txt</v>
      </c>
      <c r="AG23" s="16" t="str">
        <f t="shared" si="18"/>
        <v>Cluster10_lowStructure_RCP26_repl1</v>
      </c>
    </row>
    <row r="24" spans="1:33" ht="13.8">
      <c r="A24" s="7" t="str">
        <f t="shared" si="6"/>
        <v>Cluster10_lowStructure_RCP45_repl1</v>
      </c>
      <c r="B24" s="8" t="s">
        <v>23</v>
      </c>
      <c r="C24" s="8" t="s">
        <v>32</v>
      </c>
      <c r="D24" s="8" t="s">
        <v>35</v>
      </c>
      <c r="E24" s="9" t="str">
        <f t="shared" si="0"/>
        <v>rcp_4_5</v>
      </c>
      <c r="F24" s="8">
        <v>728</v>
      </c>
      <c r="G24" s="8" t="s">
        <v>18</v>
      </c>
      <c r="H24" s="8">
        <v>10</v>
      </c>
      <c r="I24" s="8">
        <v>1</v>
      </c>
      <c r="J24" s="8" t="s">
        <v>19</v>
      </c>
      <c r="K24" s="8" t="s">
        <v>41</v>
      </c>
      <c r="L24" s="10" t="s">
        <v>22</v>
      </c>
      <c r="M24" s="17">
        <v>150</v>
      </c>
      <c r="N24" s="10" t="str">
        <f t="shared" si="1"/>
        <v>Cluster10_lowStructure_RCP45_repl1.sqlite</v>
      </c>
      <c r="O24" s="11">
        <v>1</v>
      </c>
      <c r="P24" s="11">
        <v>0</v>
      </c>
      <c r="Q24" s="12" t="str">
        <f t="shared" si="7"/>
        <v>climate_db_ICHEC-EC-EARTH_rcp_4_5_v4.sqlite</v>
      </c>
      <c r="R24" s="12" t="str">
        <f t="shared" si="2"/>
        <v>log/Cluster10_lowStructure_RCP45_repl1.txt</v>
      </c>
      <c r="S24" s="16" t="str">
        <f t="shared" si="8"/>
        <v>init_JM/env_file_CLUSTER10_ICHEC-EC-EARTH_rcp_4_5_REPL1.csv</v>
      </c>
      <c r="T24" s="16" t="str">
        <f t="shared" si="9"/>
        <v>init_JM/env_grid_CLUSTER10_REPL1.asc</v>
      </c>
      <c r="U24" s="16" t="str">
        <f t="shared" si="10"/>
        <v>init_JM/env_grid_CLUSTER10_REPL1.asc</v>
      </c>
      <c r="V24" s="16" t="str">
        <f t="shared" si="11"/>
        <v>../init_JM/trees_cluster10_repl1.csv</v>
      </c>
      <c r="W24" s="16" t="str">
        <f t="shared" si="12"/>
        <v>../init_JM/saplings_cluster10_repl1.csv</v>
      </c>
      <c r="X24" s="12">
        <f t="shared" si="3"/>
        <v>728</v>
      </c>
      <c r="Y24" s="16" t="str">
        <f t="shared" si="13"/>
        <v>abe/stand_files2/lowStructure_cl10_repl1.csv</v>
      </c>
      <c r="Z24" s="12" t="str">
        <f t="shared" si="4"/>
        <v>true</v>
      </c>
      <c r="AA24" s="16" t="str">
        <f t="shared" si="14"/>
        <v>gis/WindModifier_cl10.asc</v>
      </c>
      <c r="AB24" s="12" t="str">
        <f t="shared" si="15"/>
        <v>true</v>
      </c>
      <c r="AC24" s="12" t="str">
        <f t="shared" si="5"/>
        <v>true</v>
      </c>
      <c r="AD24" s="12" t="str">
        <f t="shared" si="16"/>
        <v>ICHEC-EC-EARTH_rcp_4_5_point32685</v>
      </c>
      <c r="AE24" s="12" t="str">
        <f t="shared" si="17"/>
        <v>true</v>
      </c>
      <c r="AF24" s="12" t="str">
        <f t="shared" si="19"/>
        <v>wind_Events/cl10_repl1.txt</v>
      </c>
      <c r="AG24" s="16" t="str">
        <f t="shared" si="18"/>
        <v>Cluster10_lowStructure_RCP45_repl1</v>
      </c>
    </row>
    <row r="25" spans="1:33" ht="13.8">
      <c r="A25" s="7" t="str">
        <f t="shared" si="6"/>
        <v>Cluster10_lowStructure_RCP85_repl1</v>
      </c>
      <c r="B25" s="8" t="s">
        <v>23</v>
      </c>
      <c r="C25" s="8" t="s">
        <v>32</v>
      </c>
      <c r="D25" s="8" t="s">
        <v>36</v>
      </c>
      <c r="E25" s="9" t="str">
        <f t="shared" si="0"/>
        <v>rcp_8_5</v>
      </c>
      <c r="F25" s="8">
        <v>1231</v>
      </c>
      <c r="G25" s="8" t="s">
        <v>18</v>
      </c>
      <c r="H25" s="8">
        <v>10</v>
      </c>
      <c r="I25" s="8">
        <v>1</v>
      </c>
      <c r="J25" s="8" t="s">
        <v>19</v>
      </c>
      <c r="K25" s="8" t="s">
        <v>41</v>
      </c>
      <c r="L25" s="10" t="s">
        <v>22</v>
      </c>
      <c r="M25" s="17">
        <v>150</v>
      </c>
      <c r="N25" s="10" t="str">
        <f t="shared" si="1"/>
        <v>Cluster10_lowStructure_RCP85_repl1.sqlite</v>
      </c>
      <c r="O25" s="11">
        <v>1</v>
      </c>
      <c r="P25" s="11">
        <v>0</v>
      </c>
      <c r="Q25" s="12" t="str">
        <f t="shared" si="7"/>
        <v>climate_db_ICHEC-EC-EARTH_rcp_8_5_v4.sqlite</v>
      </c>
      <c r="R25" s="12" t="str">
        <f t="shared" si="2"/>
        <v>log/Cluster10_lowStructure_RCP85_repl1.txt</v>
      </c>
      <c r="S25" s="16" t="str">
        <f t="shared" si="8"/>
        <v>init_JM/env_file_CLUSTER10_ICHEC-EC-EARTH_rcp_8_5_REPL1.csv</v>
      </c>
      <c r="T25" s="16" t="str">
        <f t="shared" si="9"/>
        <v>init_JM/env_grid_CLUSTER10_REPL1.asc</v>
      </c>
      <c r="U25" s="16" t="str">
        <f t="shared" si="10"/>
        <v>init_JM/env_grid_CLUSTER10_REPL1.asc</v>
      </c>
      <c r="V25" s="16" t="str">
        <f t="shared" si="11"/>
        <v>../init_JM/trees_cluster10_repl1.csv</v>
      </c>
      <c r="W25" s="16" t="str">
        <f t="shared" si="12"/>
        <v>../init_JM/saplings_cluster10_repl1.csv</v>
      </c>
      <c r="X25" s="12">
        <f t="shared" si="3"/>
        <v>1231</v>
      </c>
      <c r="Y25" s="16" t="str">
        <f t="shared" si="13"/>
        <v>abe/stand_files2/lowStructure_cl10_repl1.csv</v>
      </c>
      <c r="Z25" s="12" t="str">
        <f t="shared" si="4"/>
        <v>true</v>
      </c>
      <c r="AA25" s="16" t="str">
        <f t="shared" si="14"/>
        <v>gis/WindModifier_cl10.asc</v>
      </c>
      <c r="AB25" s="12" t="str">
        <f t="shared" si="15"/>
        <v>true</v>
      </c>
      <c r="AC25" s="12" t="str">
        <f t="shared" si="5"/>
        <v>true</v>
      </c>
      <c r="AD25" s="12" t="str">
        <f t="shared" si="16"/>
        <v>ICHEC-EC-EARTH_rcp_8_5_point32685</v>
      </c>
      <c r="AE25" s="12" t="str">
        <f t="shared" si="17"/>
        <v>true</v>
      </c>
      <c r="AF25" s="12" t="str">
        <f t="shared" si="19"/>
        <v>wind_Events/cl10_repl1.txt</v>
      </c>
      <c r="AG25" s="16" t="str">
        <f t="shared" si="18"/>
        <v>Cluster10_lowStructure_RCP85_repl1</v>
      </c>
    </row>
    <row r="26" spans="1:33" ht="13.8">
      <c r="A26" s="7" t="str">
        <f t="shared" si="6"/>
        <v>Cluster10_lowStructure_historical_repl2</v>
      </c>
      <c r="B26" s="8" t="s">
        <v>23</v>
      </c>
      <c r="C26" s="8" t="s">
        <v>32</v>
      </c>
      <c r="D26" s="9" t="s">
        <v>17</v>
      </c>
      <c r="E26" s="9" t="str">
        <f t="shared" si="0"/>
        <v>historical</v>
      </c>
      <c r="F26" s="8">
        <v>350</v>
      </c>
      <c r="G26" s="8" t="s">
        <v>18</v>
      </c>
      <c r="H26" s="8">
        <v>10</v>
      </c>
      <c r="I26" s="8">
        <v>2</v>
      </c>
      <c r="J26" s="8" t="s">
        <v>19</v>
      </c>
      <c r="K26" s="8" t="s">
        <v>41</v>
      </c>
      <c r="L26" s="10" t="s">
        <v>21</v>
      </c>
      <c r="M26" s="17">
        <v>150</v>
      </c>
      <c r="N26" s="10" t="str">
        <f t="shared" si="1"/>
        <v>Cluster10_lowStructure_historical_repl2.sqlite</v>
      </c>
      <c r="O26" s="11">
        <v>1</v>
      </c>
      <c r="P26" s="11">
        <v>0</v>
      </c>
      <c r="Q26" s="12" t="str">
        <f t="shared" si="7"/>
        <v>climate_db_ICHEC-EC-EARTH_historical_v4.sqlite</v>
      </c>
      <c r="R26" s="12" t="str">
        <f t="shared" si="2"/>
        <v>log/Cluster10_lowStructure_historical_repl2.txt</v>
      </c>
      <c r="S26" s="16" t="str">
        <f t="shared" si="8"/>
        <v>init_JM/env_file_CLUSTER10_ICHEC-EC-EARTH_historical_REPL2.csv</v>
      </c>
      <c r="T26" s="16" t="str">
        <f t="shared" si="9"/>
        <v>init_JM/env_grid_CLUSTER10_REPL2.asc</v>
      </c>
      <c r="U26" s="16" t="str">
        <f t="shared" si="10"/>
        <v>init_JM/env_grid_CLUSTER10_REPL2.asc</v>
      </c>
      <c r="V26" s="16" t="str">
        <f t="shared" si="11"/>
        <v>../init_JM/trees_cluster10_repl2.csv</v>
      </c>
      <c r="W26" s="16" t="str">
        <f t="shared" si="12"/>
        <v>../init_JM/saplings_cluster10_repl2.csv</v>
      </c>
      <c r="X26" s="12">
        <f t="shared" si="3"/>
        <v>350</v>
      </c>
      <c r="Y26" s="16" t="str">
        <f t="shared" si="13"/>
        <v>abe/stand_files2/lowStructure_cl10_repl2.csv</v>
      </c>
      <c r="Z26" s="12" t="str">
        <f t="shared" si="4"/>
        <v>true</v>
      </c>
      <c r="AA26" s="16" t="str">
        <f t="shared" si="14"/>
        <v>gis/WindModifier_cl10.asc</v>
      </c>
      <c r="AB26" s="12" t="str">
        <f t="shared" si="15"/>
        <v>true</v>
      </c>
      <c r="AC26" s="12" t="str">
        <f t="shared" si="5"/>
        <v>true</v>
      </c>
      <c r="AD26" s="12" t="str">
        <f t="shared" si="16"/>
        <v>ICHEC-EC-EARTH_historical_point32685</v>
      </c>
      <c r="AE26" s="12" t="str">
        <f t="shared" si="17"/>
        <v>true</v>
      </c>
      <c r="AF26" s="12" t="str">
        <f t="shared" si="19"/>
        <v>wind_Events/cl10_repl2.txt</v>
      </c>
      <c r="AG26" s="16" t="str">
        <f t="shared" si="18"/>
        <v>Cluster10_lowStructure_historical_repl2</v>
      </c>
    </row>
    <row r="27" spans="1:33" ht="13.8">
      <c r="A27" s="7" t="str">
        <f t="shared" si="6"/>
        <v>Cluster10_lowStructure_RCP26_repl2</v>
      </c>
      <c r="B27" s="8" t="s">
        <v>23</v>
      </c>
      <c r="C27" s="8" t="s">
        <v>32</v>
      </c>
      <c r="D27" s="8" t="s">
        <v>34</v>
      </c>
      <c r="E27" s="9" t="str">
        <f t="shared" si="0"/>
        <v>rcp_2_6</v>
      </c>
      <c r="F27" s="8">
        <v>427</v>
      </c>
      <c r="G27" s="8" t="s">
        <v>18</v>
      </c>
      <c r="H27" s="8">
        <v>10</v>
      </c>
      <c r="I27" s="8">
        <v>2</v>
      </c>
      <c r="J27" s="8" t="s">
        <v>19</v>
      </c>
      <c r="K27" s="8" t="s">
        <v>41</v>
      </c>
      <c r="L27" s="10" t="s">
        <v>22</v>
      </c>
      <c r="M27" s="17">
        <v>150</v>
      </c>
      <c r="N27" s="10" t="str">
        <f t="shared" si="1"/>
        <v>Cluster10_lowStructure_RCP26_repl2.sqlite</v>
      </c>
      <c r="O27" s="11">
        <v>1</v>
      </c>
      <c r="P27" s="11">
        <v>0</v>
      </c>
      <c r="Q27" s="12" t="str">
        <f t="shared" si="7"/>
        <v>climate_db_ICHEC-EC-EARTH_rcp_2_6_v4.sqlite</v>
      </c>
      <c r="R27" s="12" t="str">
        <f t="shared" si="2"/>
        <v>log/Cluster10_lowStructure_RCP26_repl2.txt</v>
      </c>
      <c r="S27" s="16" t="str">
        <f t="shared" si="8"/>
        <v>init_JM/env_file_CLUSTER10_ICHEC-EC-EARTH_rcp_2_6_REPL2.csv</v>
      </c>
      <c r="T27" s="16" t="str">
        <f t="shared" si="9"/>
        <v>init_JM/env_grid_CLUSTER10_REPL2.asc</v>
      </c>
      <c r="U27" s="16" t="str">
        <f t="shared" si="10"/>
        <v>init_JM/env_grid_CLUSTER10_REPL2.asc</v>
      </c>
      <c r="V27" s="16" t="str">
        <f t="shared" si="11"/>
        <v>../init_JM/trees_cluster10_repl2.csv</v>
      </c>
      <c r="W27" s="16" t="str">
        <f t="shared" si="12"/>
        <v>../init_JM/saplings_cluster10_repl2.csv</v>
      </c>
      <c r="X27" s="12">
        <f t="shared" si="3"/>
        <v>427</v>
      </c>
      <c r="Y27" s="16" t="str">
        <f t="shared" si="13"/>
        <v>abe/stand_files2/lowStructure_cl10_repl2.csv</v>
      </c>
      <c r="Z27" s="12" t="str">
        <f t="shared" si="4"/>
        <v>true</v>
      </c>
      <c r="AA27" s="16" t="str">
        <f t="shared" si="14"/>
        <v>gis/WindModifier_cl10.asc</v>
      </c>
      <c r="AB27" s="12" t="str">
        <f t="shared" si="15"/>
        <v>true</v>
      </c>
      <c r="AC27" s="12" t="str">
        <f t="shared" si="5"/>
        <v>true</v>
      </c>
      <c r="AD27" s="12" t="str">
        <f t="shared" si="16"/>
        <v>ICHEC-EC-EARTH_rcp_2_6_point32685</v>
      </c>
      <c r="AE27" s="12" t="str">
        <f t="shared" si="17"/>
        <v>true</v>
      </c>
      <c r="AF27" s="12" t="str">
        <f t="shared" si="19"/>
        <v>wind_Events/cl10_repl2.txt</v>
      </c>
      <c r="AG27" s="16" t="str">
        <f t="shared" si="18"/>
        <v>Cluster10_lowStructure_RCP26_repl2</v>
      </c>
    </row>
    <row r="28" spans="1:33" ht="13.8">
      <c r="A28" s="7" t="str">
        <f t="shared" si="6"/>
        <v>Cluster10_lowStructure_RCP45_repl2</v>
      </c>
      <c r="B28" s="8" t="s">
        <v>23</v>
      </c>
      <c r="C28" s="8" t="s">
        <v>32</v>
      </c>
      <c r="D28" s="8" t="s">
        <v>35</v>
      </c>
      <c r="E28" s="9" t="str">
        <f t="shared" si="0"/>
        <v>rcp_4_5</v>
      </c>
      <c r="F28" s="8">
        <v>728</v>
      </c>
      <c r="G28" s="8" t="s">
        <v>18</v>
      </c>
      <c r="H28" s="8">
        <v>10</v>
      </c>
      <c r="I28" s="8">
        <v>2</v>
      </c>
      <c r="J28" s="8" t="s">
        <v>19</v>
      </c>
      <c r="K28" s="8" t="s">
        <v>41</v>
      </c>
      <c r="L28" s="10" t="s">
        <v>22</v>
      </c>
      <c r="M28" s="17">
        <v>150</v>
      </c>
      <c r="N28" s="10" t="str">
        <f t="shared" si="1"/>
        <v>Cluster10_lowStructure_RCP45_repl2.sqlite</v>
      </c>
      <c r="O28" s="11">
        <v>1</v>
      </c>
      <c r="P28" s="11">
        <v>0</v>
      </c>
      <c r="Q28" s="12" t="str">
        <f t="shared" si="7"/>
        <v>climate_db_ICHEC-EC-EARTH_rcp_4_5_v4.sqlite</v>
      </c>
      <c r="R28" s="12" t="str">
        <f t="shared" si="2"/>
        <v>log/Cluster10_lowStructure_RCP45_repl2.txt</v>
      </c>
      <c r="S28" s="16" t="str">
        <f t="shared" si="8"/>
        <v>init_JM/env_file_CLUSTER10_ICHEC-EC-EARTH_rcp_4_5_REPL2.csv</v>
      </c>
      <c r="T28" s="16" t="str">
        <f t="shared" si="9"/>
        <v>init_JM/env_grid_CLUSTER10_REPL2.asc</v>
      </c>
      <c r="U28" s="16" t="str">
        <f t="shared" si="10"/>
        <v>init_JM/env_grid_CLUSTER10_REPL2.asc</v>
      </c>
      <c r="V28" s="16" t="str">
        <f t="shared" si="11"/>
        <v>../init_JM/trees_cluster10_repl2.csv</v>
      </c>
      <c r="W28" s="16" t="str">
        <f t="shared" si="12"/>
        <v>../init_JM/saplings_cluster10_repl2.csv</v>
      </c>
      <c r="X28" s="12">
        <f t="shared" si="3"/>
        <v>728</v>
      </c>
      <c r="Y28" s="16" t="str">
        <f t="shared" si="13"/>
        <v>abe/stand_files2/lowStructure_cl10_repl2.csv</v>
      </c>
      <c r="Z28" s="12" t="str">
        <f t="shared" si="4"/>
        <v>true</v>
      </c>
      <c r="AA28" s="16" t="str">
        <f t="shared" si="14"/>
        <v>gis/WindModifier_cl10.asc</v>
      </c>
      <c r="AB28" s="12" t="str">
        <f t="shared" si="15"/>
        <v>true</v>
      </c>
      <c r="AC28" s="12" t="str">
        <f t="shared" si="5"/>
        <v>true</v>
      </c>
      <c r="AD28" s="12" t="str">
        <f t="shared" si="16"/>
        <v>ICHEC-EC-EARTH_rcp_4_5_point32685</v>
      </c>
      <c r="AE28" s="12" t="str">
        <f t="shared" si="17"/>
        <v>true</v>
      </c>
      <c r="AF28" s="12" t="str">
        <f t="shared" si="19"/>
        <v>wind_Events/cl10_repl2.txt</v>
      </c>
      <c r="AG28" s="16" t="str">
        <f t="shared" si="18"/>
        <v>Cluster10_lowStructure_RCP45_repl2</v>
      </c>
    </row>
    <row r="29" spans="1:33" ht="13.8">
      <c r="A29" s="7" t="str">
        <f t="shared" si="6"/>
        <v>Cluster10_lowStructure_RCP85_repl2</v>
      </c>
      <c r="B29" s="8" t="s">
        <v>23</v>
      </c>
      <c r="C29" s="8" t="s">
        <v>32</v>
      </c>
      <c r="D29" s="8" t="s">
        <v>36</v>
      </c>
      <c r="E29" s="9" t="str">
        <f t="shared" si="0"/>
        <v>rcp_8_5</v>
      </c>
      <c r="F29" s="8">
        <v>1231</v>
      </c>
      <c r="G29" s="8" t="s">
        <v>18</v>
      </c>
      <c r="H29" s="8">
        <v>10</v>
      </c>
      <c r="I29" s="8">
        <v>2</v>
      </c>
      <c r="J29" s="8" t="s">
        <v>19</v>
      </c>
      <c r="K29" s="8" t="s">
        <v>41</v>
      </c>
      <c r="L29" s="10" t="s">
        <v>22</v>
      </c>
      <c r="M29" s="17">
        <v>150</v>
      </c>
      <c r="N29" s="10" t="str">
        <f t="shared" si="1"/>
        <v>Cluster10_lowStructure_RCP85_repl2.sqlite</v>
      </c>
      <c r="O29" s="11">
        <v>1</v>
      </c>
      <c r="P29" s="11">
        <v>0</v>
      </c>
      <c r="Q29" s="12" t="str">
        <f t="shared" si="7"/>
        <v>climate_db_ICHEC-EC-EARTH_rcp_8_5_v4.sqlite</v>
      </c>
      <c r="R29" s="12" t="str">
        <f t="shared" si="2"/>
        <v>log/Cluster10_lowStructure_RCP85_repl2.txt</v>
      </c>
      <c r="S29" s="16" t="str">
        <f t="shared" si="8"/>
        <v>init_JM/env_file_CLUSTER10_ICHEC-EC-EARTH_rcp_8_5_REPL2.csv</v>
      </c>
      <c r="T29" s="16" t="str">
        <f t="shared" si="9"/>
        <v>init_JM/env_grid_CLUSTER10_REPL2.asc</v>
      </c>
      <c r="U29" s="16" t="str">
        <f t="shared" si="10"/>
        <v>init_JM/env_grid_CLUSTER10_REPL2.asc</v>
      </c>
      <c r="V29" s="16" t="str">
        <f t="shared" si="11"/>
        <v>../init_JM/trees_cluster10_repl2.csv</v>
      </c>
      <c r="W29" s="16" t="str">
        <f t="shared" si="12"/>
        <v>../init_JM/saplings_cluster10_repl2.csv</v>
      </c>
      <c r="X29" s="12">
        <f t="shared" si="3"/>
        <v>1231</v>
      </c>
      <c r="Y29" s="16" t="str">
        <f t="shared" si="13"/>
        <v>abe/stand_files2/lowStructure_cl10_repl2.csv</v>
      </c>
      <c r="Z29" s="12" t="str">
        <f t="shared" si="4"/>
        <v>true</v>
      </c>
      <c r="AA29" s="16" t="str">
        <f t="shared" si="14"/>
        <v>gis/WindModifier_cl10.asc</v>
      </c>
      <c r="AB29" s="12" t="str">
        <f t="shared" si="15"/>
        <v>true</v>
      </c>
      <c r="AC29" s="12" t="str">
        <f t="shared" si="5"/>
        <v>true</v>
      </c>
      <c r="AD29" s="12" t="str">
        <f t="shared" si="16"/>
        <v>ICHEC-EC-EARTH_rcp_8_5_point32685</v>
      </c>
      <c r="AE29" s="12" t="str">
        <f t="shared" si="17"/>
        <v>true</v>
      </c>
      <c r="AF29" s="12" t="str">
        <f t="shared" si="19"/>
        <v>wind_Events/cl10_repl2.txt</v>
      </c>
      <c r="AG29" s="16" t="str">
        <f t="shared" si="18"/>
        <v>Cluster10_lowStructure_RCP85_repl2</v>
      </c>
    </row>
    <row r="30" spans="1:33" ht="13.8">
      <c r="A30" s="7" t="str">
        <f t="shared" si="6"/>
        <v>Cluster10_lowStructure_historical_repl3</v>
      </c>
      <c r="B30" s="8" t="s">
        <v>23</v>
      </c>
      <c r="C30" s="8" t="s">
        <v>32</v>
      </c>
      <c r="D30" s="9" t="s">
        <v>17</v>
      </c>
      <c r="E30" s="9" t="str">
        <f t="shared" si="0"/>
        <v>historical</v>
      </c>
      <c r="F30" s="8">
        <v>350</v>
      </c>
      <c r="G30" s="8" t="s">
        <v>18</v>
      </c>
      <c r="H30" s="8">
        <v>10</v>
      </c>
      <c r="I30" s="8">
        <v>3</v>
      </c>
      <c r="J30" s="8" t="s">
        <v>19</v>
      </c>
      <c r="K30" s="8" t="s">
        <v>41</v>
      </c>
      <c r="L30" s="10" t="s">
        <v>21</v>
      </c>
      <c r="M30" s="17">
        <v>150</v>
      </c>
      <c r="N30" s="10" t="str">
        <f t="shared" si="1"/>
        <v>Cluster10_lowStructure_historical_repl3.sqlite</v>
      </c>
      <c r="O30" s="11">
        <v>1</v>
      </c>
      <c r="P30" s="11">
        <v>0</v>
      </c>
      <c r="Q30" s="12" t="str">
        <f t="shared" si="7"/>
        <v>climate_db_ICHEC-EC-EARTH_historical_v4.sqlite</v>
      </c>
      <c r="R30" s="12" t="str">
        <f t="shared" si="2"/>
        <v>log/Cluster10_lowStructure_historical_repl3.txt</v>
      </c>
      <c r="S30" s="16" t="str">
        <f t="shared" si="8"/>
        <v>init_JM/env_file_CLUSTER10_ICHEC-EC-EARTH_historical_REPL3.csv</v>
      </c>
      <c r="T30" s="16" t="str">
        <f t="shared" si="9"/>
        <v>init_JM/env_grid_CLUSTER10_REPL3.asc</v>
      </c>
      <c r="U30" s="16" t="str">
        <f t="shared" si="10"/>
        <v>init_JM/env_grid_CLUSTER10_REPL3.asc</v>
      </c>
      <c r="V30" s="16" t="str">
        <f t="shared" si="11"/>
        <v>../init_JM/trees_cluster10_repl3.csv</v>
      </c>
      <c r="W30" s="16" t="str">
        <f t="shared" si="12"/>
        <v>../init_JM/saplings_cluster10_repl3.csv</v>
      </c>
      <c r="X30" s="12">
        <f t="shared" si="3"/>
        <v>350</v>
      </c>
      <c r="Y30" s="16" t="str">
        <f t="shared" si="13"/>
        <v>abe/stand_files2/lowStructure_cl10_repl3.csv</v>
      </c>
      <c r="Z30" s="12" t="str">
        <f t="shared" si="4"/>
        <v>true</v>
      </c>
      <c r="AA30" s="16" t="str">
        <f t="shared" si="14"/>
        <v>gis/WindModifier_cl10.asc</v>
      </c>
      <c r="AB30" s="12" t="str">
        <f t="shared" si="15"/>
        <v>true</v>
      </c>
      <c r="AC30" s="12" t="str">
        <f t="shared" si="5"/>
        <v>true</v>
      </c>
      <c r="AD30" s="12" t="str">
        <f t="shared" si="16"/>
        <v>ICHEC-EC-EARTH_historical_point32685</v>
      </c>
      <c r="AE30" s="12" t="str">
        <f t="shared" si="17"/>
        <v>true</v>
      </c>
      <c r="AF30" s="12" t="str">
        <f t="shared" si="19"/>
        <v>wind_Events/cl10_repl3.txt</v>
      </c>
      <c r="AG30" s="16" t="str">
        <f t="shared" si="18"/>
        <v>Cluster10_lowStructure_historical_repl3</v>
      </c>
    </row>
    <row r="31" spans="1:33" ht="13.8">
      <c r="A31" s="7" t="str">
        <f t="shared" si="6"/>
        <v>Cluster10_lowStructure_RCP26_repl3</v>
      </c>
      <c r="B31" s="8" t="s">
        <v>23</v>
      </c>
      <c r="C31" s="8" t="s">
        <v>32</v>
      </c>
      <c r="D31" s="8" t="s">
        <v>34</v>
      </c>
      <c r="E31" s="9" t="str">
        <f t="shared" si="0"/>
        <v>rcp_2_6</v>
      </c>
      <c r="F31" s="8">
        <v>427</v>
      </c>
      <c r="G31" s="8" t="s">
        <v>18</v>
      </c>
      <c r="H31" s="8">
        <v>10</v>
      </c>
      <c r="I31" s="8">
        <v>3</v>
      </c>
      <c r="J31" s="8" t="s">
        <v>19</v>
      </c>
      <c r="K31" s="8" t="s">
        <v>41</v>
      </c>
      <c r="L31" s="10" t="s">
        <v>22</v>
      </c>
      <c r="M31" s="17">
        <v>150</v>
      </c>
      <c r="N31" s="10" t="str">
        <f t="shared" si="1"/>
        <v>Cluster10_lowStructure_RCP26_repl3.sqlite</v>
      </c>
      <c r="O31" s="11">
        <v>1</v>
      </c>
      <c r="P31" s="11">
        <v>0</v>
      </c>
      <c r="Q31" s="12" t="str">
        <f t="shared" si="7"/>
        <v>climate_db_ICHEC-EC-EARTH_rcp_2_6_v4.sqlite</v>
      </c>
      <c r="R31" s="12" t="str">
        <f t="shared" si="2"/>
        <v>log/Cluster10_lowStructure_RCP26_repl3.txt</v>
      </c>
      <c r="S31" s="16" t="str">
        <f t="shared" si="8"/>
        <v>init_JM/env_file_CLUSTER10_ICHEC-EC-EARTH_rcp_2_6_REPL3.csv</v>
      </c>
      <c r="T31" s="16" t="str">
        <f t="shared" si="9"/>
        <v>init_JM/env_grid_CLUSTER10_REPL3.asc</v>
      </c>
      <c r="U31" s="16" t="str">
        <f t="shared" si="10"/>
        <v>init_JM/env_grid_CLUSTER10_REPL3.asc</v>
      </c>
      <c r="V31" s="16" t="str">
        <f t="shared" si="11"/>
        <v>../init_JM/trees_cluster10_repl3.csv</v>
      </c>
      <c r="W31" s="16" t="str">
        <f t="shared" si="12"/>
        <v>../init_JM/saplings_cluster10_repl3.csv</v>
      </c>
      <c r="X31" s="12">
        <f t="shared" si="3"/>
        <v>427</v>
      </c>
      <c r="Y31" s="16" t="str">
        <f t="shared" si="13"/>
        <v>abe/stand_files2/lowStructure_cl10_repl3.csv</v>
      </c>
      <c r="Z31" s="12" t="str">
        <f t="shared" si="4"/>
        <v>true</v>
      </c>
      <c r="AA31" s="16" t="str">
        <f t="shared" si="14"/>
        <v>gis/WindModifier_cl10.asc</v>
      </c>
      <c r="AB31" s="12" t="str">
        <f t="shared" si="15"/>
        <v>true</v>
      </c>
      <c r="AC31" s="12" t="str">
        <f t="shared" si="5"/>
        <v>true</v>
      </c>
      <c r="AD31" s="12" t="str">
        <f t="shared" si="16"/>
        <v>ICHEC-EC-EARTH_rcp_2_6_point32685</v>
      </c>
      <c r="AE31" s="12" t="str">
        <f t="shared" si="17"/>
        <v>true</v>
      </c>
      <c r="AF31" s="12" t="str">
        <f t="shared" si="19"/>
        <v>wind_Events/cl10_repl3.txt</v>
      </c>
      <c r="AG31" s="16" t="str">
        <f t="shared" si="18"/>
        <v>Cluster10_lowStructure_RCP26_repl3</v>
      </c>
    </row>
    <row r="32" spans="1:33" ht="13.8">
      <c r="A32" s="7" t="str">
        <f t="shared" si="6"/>
        <v>Cluster10_lowStructure_RCP45_repl3</v>
      </c>
      <c r="B32" s="8" t="s">
        <v>23</v>
      </c>
      <c r="C32" s="8" t="s">
        <v>32</v>
      </c>
      <c r="D32" s="8" t="s">
        <v>35</v>
      </c>
      <c r="E32" s="9" t="str">
        <f t="shared" si="0"/>
        <v>rcp_4_5</v>
      </c>
      <c r="F32" s="8">
        <v>728</v>
      </c>
      <c r="G32" s="8" t="s">
        <v>18</v>
      </c>
      <c r="H32" s="8">
        <v>10</v>
      </c>
      <c r="I32" s="8">
        <v>3</v>
      </c>
      <c r="J32" s="8" t="s">
        <v>19</v>
      </c>
      <c r="K32" s="8" t="s">
        <v>41</v>
      </c>
      <c r="L32" s="10" t="s">
        <v>22</v>
      </c>
      <c r="M32" s="17">
        <v>150</v>
      </c>
      <c r="N32" s="10" t="str">
        <f t="shared" si="1"/>
        <v>Cluster10_lowStructure_RCP45_repl3.sqlite</v>
      </c>
      <c r="O32" s="11">
        <v>1</v>
      </c>
      <c r="P32" s="11">
        <v>0</v>
      </c>
      <c r="Q32" s="12" t="str">
        <f t="shared" si="7"/>
        <v>climate_db_ICHEC-EC-EARTH_rcp_4_5_v4.sqlite</v>
      </c>
      <c r="R32" s="12" t="str">
        <f t="shared" si="2"/>
        <v>log/Cluster10_lowStructure_RCP45_repl3.txt</v>
      </c>
      <c r="S32" s="16" t="str">
        <f t="shared" si="8"/>
        <v>init_JM/env_file_CLUSTER10_ICHEC-EC-EARTH_rcp_4_5_REPL3.csv</v>
      </c>
      <c r="T32" s="16" t="str">
        <f t="shared" si="9"/>
        <v>init_JM/env_grid_CLUSTER10_REPL3.asc</v>
      </c>
      <c r="U32" s="16" t="str">
        <f t="shared" si="10"/>
        <v>init_JM/env_grid_CLUSTER10_REPL3.asc</v>
      </c>
      <c r="V32" s="16" t="str">
        <f t="shared" si="11"/>
        <v>../init_JM/trees_cluster10_repl3.csv</v>
      </c>
      <c r="W32" s="16" t="str">
        <f t="shared" si="12"/>
        <v>../init_JM/saplings_cluster10_repl3.csv</v>
      </c>
      <c r="X32" s="12">
        <f t="shared" si="3"/>
        <v>728</v>
      </c>
      <c r="Y32" s="16" t="str">
        <f t="shared" si="13"/>
        <v>abe/stand_files2/lowStructure_cl10_repl3.csv</v>
      </c>
      <c r="Z32" s="12" t="str">
        <f t="shared" si="4"/>
        <v>true</v>
      </c>
      <c r="AA32" s="16" t="str">
        <f t="shared" si="14"/>
        <v>gis/WindModifier_cl10.asc</v>
      </c>
      <c r="AB32" s="12" t="str">
        <f t="shared" si="15"/>
        <v>true</v>
      </c>
      <c r="AC32" s="12" t="str">
        <f t="shared" si="5"/>
        <v>true</v>
      </c>
      <c r="AD32" s="12" t="str">
        <f t="shared" si="16"/>
        <v>ICHEC-EC-EARTH_rcp_4_5_point32685</v>
      </c>
      <c r="AE32" s="12" t="str">
        <f t="shared" si="17"/>
        <v>true</v>
      </c>
      <c r="AF32" s="12" t="str">
        <f t="shared" si="19"/>
        <v>wind_Events/cl10_repl3.txt</v>
      </c>
      <c r="AG32" s="16" t="str">
        <f t="shared" si="18"/>
        <v>Cluster10_lowStructure_RCP45_repl3</v>
      </c>
    </row>
    <row r="33" spans="1:33" ht="13.8">
      <c r="A33" s="7" t="str">
        <f t="shared" si="6"/>
        <v>Cluster10_lowStructure_RCP85_repl3</v>
      </c>
      <c r="B33" s="8" t="s">
        <v>23</v>
      </c>
      <c r="C33" s="8" t="s">
        <v>32</v>
      </c>
      <c r="D33" s="8" t="s">
        <v>36</v>
      </c>
      <c r="E33" s="9" t="str">
        <f t="shared" si="0"/>
        <v>rcp_8_5</v>
      </c>
      <c r="F33" s="8">
        <v>1231</v>
      </c>
      <c r="G33" s="8" t="s">
        <v>18</v>
      </c>
      <c r="H33" s="8">
        <v>10</v>
      </c>
      <c r="I33" s="8">
        <v>3</v>
      </c>
      <c r="J33" s="8" t="s">
        <v>19</v>
      </c>
      <c r="K33" s="8" t="s">
        <v>41</v>
      </c>
      <c r="L33" s="10" t="s">
        <v>22</v>
      </c>
      <c r="M33" s="17">
        <v>150</v>
      </c>
      <c r="N33" s="10" t="str">
        <f t="shared" si="1"/>
        <v>Cluster10_lowStructure_RCP85_repl3.sqlite</v>
      </c>
      <c r="O33" s="11">
        <v>1</v>
      </c>
      <c r="P33" s="11">
        <v>0</v>
      </c>
      <c r="Q33" s="12" t="str">
        <f t="shared" si="7"/>
        <v>climate_db_ICHEC-EC-EARTH_rcp_8_5_v4.sqlite</v>
      </c>
      <c r="R33" s="12" t="str">
        <f t="shared" si="2"/>
        <v>log/Cluster10_lowStructure_RCP85_repl3.txt</v>
      </c>
      <c r="S33" s="16" t="str">
        <f t="shared" si="8"/>
        <v>init_JM/env_file_CLUSTER10_ICHEC-EC-EARTH_rcp_8_5_REPL3.csv</v>
      </c>
      <c r="T33" s="16" t="str">
        <f t="shared" si="9"/>
        <v>init_JM/env_grid_CLUSTER10_REPL3.asc</v>
      </c>
      <c r="U33" s="16" t="str">
        <f t="shared" si="10"/>
        <v>init_JM/env_grid_CLUSTER10_REPL3.asc</v>
      </c>
      <c r="V33" s="16" t="str">
        <f t="shared" si="11"/>
        <v>../init_JM/trees_cluster10_repl3.csv</v>
      </c>
      <c r="W33" s="16" t="str">
        <f t="shared" si="12"/>
        <v>../init_JM/saplings_cluster10_repl3.csv</v>
      </c>
      <c r="X33" s="12">
        <f t="shared" si="3"/>
        <v>1231</v>
      </c>
      <c r="Y33" s="16" t="str">
        <f t="shared" si="13"/>
        <v>abe/stand_files2/lowStructure_cl10_repl3.csv</v>
      </c>
      <c r="Z33" s="12" t="str">
        <f t="shared" si="4"/>
        <v>true</v>
      </c>
      <c r="AA33" s="16" t="str">
        <f t="shared" si="14"/>
        <v>gis/WindModifier_cl10.asc</v>
      </c>
      <c r="AB33" s="12" t="str">
        <f t="shared" si="15"/>
        <v>true</v>
      </c>
      <c r="AC33" s="12" t="str">
        <f t="shared" si="5"/>
        <v>true</v>
      </c>
      <c r="AD33" s="12" t="str">
        <f t="shared" si="16"/>
        <v>ICHEC-EC-EARTH_rcp_8_5_point32685</v>
      </c>
      <c r="AE33" s="12" t="str">
        <f t="shared" si="17"/>
        <v>true</v>
      </c>
      <c r="AF33" s="12" t="str">
        <f t="shared" si="19"/>
        <v>wind_Events/cl10_repl3.txt</v>
      </c>
      <c r="AG33" s="16" t="str">
        <f t="shared" si="18"/>
        <v>Cluster10_lowStructure_RCP85_repl3</v>
      </c>
    </row>
    <row r="34" spans="1:33" ht="13.8">
      <c r="A34" s="7" t="str">
        <f t="shared" si="6"/>
        <v>Cluster10_lowStructure_historical_repl4</v>
      </c>
      <c r="B34" s="8" t="s">
        <v>23</v>
      </c>
      <c r="C34" s="8" t="s">
        <v>32</v>
      </c>
      <c r="D34" s="9" t="s">
        <v>17</v>
      </c>
      <c r="E34" s="9" t="str">
        <f t="shared" ref="E34:E65" si="20">IF(D34="historical", "historical", IF(D34="RCP26", "rcp_2_6", IF(D34="RCP45", "rcp_4_5", "rcp_8_5")))</f>
        <v>historical</v>
      </c>
      <c r="F34" s="8">
        <v>350</v>
      </c>
      <c r="G34" s="8" t="s">
        <v>18</v>
      </c>
      <c r="H34" s="8">
        <v>10</v>
      </c>
      <c r="I34" s="8">
        <v>4</v>
      </c>
      <c r="J34" s="8" t="s">
        <v>19</v>
      </c>
      <c r="K34" s="8" t="s">
        <v>41</v>
      </c>
      <c r="L34" s="10" t="s">
        <v>21</v>
      </c>
      <c r="M34" s="17">
        <v>150</v>
      </c>
      <c r="N34" s="10" t="str">
        <f t="shared" ref="N34:N65" si="21">A34  &amp; ".sqlite"</f>
        <v>Cluster10_lowStructure_historical_repl4.sqlite</v>
      </c>
      <c r="O34" s="11">
        <v>1</v>
      </c>
      <c r="P34" s="11">
        <v>0</v>
      </c>
      <c r="Q34" s="12" t="str">
        <f t="shared" si="7"/>
        <v>climate_db_ICHEC-EC-EARTH_historical_v4.sqlite</v>
      </c>
      <c r="R34" s="12" t="str">
        <f t="shared" ref="R34:R65" si="22">"log/" &amp;A34  &amp; ".txt"</f>
        <v>log/Cluster10_lowStructure_historical_repl4.txt</v>
      </c>
      <c r="S34" s="16" t="str">
        <f t="shared" si="8"/>
        <v>init_JM/env_file_CLUSTER10_ICHEC-EC-EARTH_historical_REPL4.csv</v>
      </c>
      <c r="T34" s="16" t="str">
        <f t="shared" si="9"/>
        <v>init_JM/env_grid_CLUSTER10_REPL4.asc</v>
      </c>
      <c r="U34" s="16" t="str">
        <f t="shared" si="10"/>
        <v>init_JM/env_grid_CLUSTER10_REPL4.asc</v>
      </c>
      <c r="V34" s="16" t="str">
        <f t="shared" si="11"/>
        <v>../init_JM/trees_cluster10_repl4.csv</v>
      </c>
      <c r="W34" s="16" t="str">
        <f t="shared" si="12"/>
        <v>../init_JM/saplings_cluster10_repl4.csv</v>
      </c>
      <c r="X34" s="12">
        <f t="shared" ref="X34:X65" si="23">F34</f>
        <v>350</v>
      </c>
      <c r="Y34" s="16" t="str">
        <f t="shared" si="13"/>
        <v>abe/stand_files2/lowStructure_cl10_repl4.csv</v>
      </c>
      <c r="Z34" s="12" t="str">
        <f t="shared" ref="Z34:Z65" si="24">K34</f>
        <v>true</v>
      </c>
      <c r="AA34" s="16" t="str">
        <f t="shared" si="14"/>
        <v>gis/WindModifier_cl10.asc</v>
      </c>
      <c r="AB34" s="12" t="str">
        <f t="shared" si="15"/>
        <v>true</v>
      </c>
      <c r="AC34" s="12" t="str">
        <f t="shared" ref="AC34:AC65" si="25">K34</f>
        <v>true</v>
      </c>
      <c r="AD34" s="12" t="str">
        <f t="shared" si="16"/>
        <v>ICHEC-EC-EARTH_historical_point32685</v>
      </c>
      <c r="AE34" s="12" t="str">
        <f t="shared" si="17"/>
        <v>true</v>
      </c>
      <c r="AF34" s="12" t="str">
        <f t="shared" si="19"/>
        <v>wind_Events/cl10_repl4.txt</v>
      </c>
      <c r="AG34" s="16" t="str">
        <f t="shared" si="18"/>
        <v>Cluster10_lowStructure_historical_repl4</v>
      </c>
    </row>
    <row r="35" spans="1:33" ht="13.8">
      <c r="A35" s="7" t="str">
        <f t="shared" si="6"/>
        <v>Cluster10_lowStructure_RCP26_repl4</v>
      </c>
      <c r="B35" s="8" t="s">
        <v>23</v>
      </c>
      <c r="C35" s="8" t="s">
        <v>32</v>
      </c>
      <c r="D35" s="8" t="s">
        <v>34</v>
      </c>
      <c r="E35" s="9" t="str">
        <f t="shared" si="20"/>
        <v>rcp_2_6</v>
      </c>
      <c r="F35" s="8">
        <v>427</v>
      </c>
      <c r="G35" s="8" t="s">
        <v>18</v>
      </c>
      <c r="H35" s="8">
        <v>10</v>
      </c>
      <c r="I35" s="8">
        <v>4</v>
      </c>
      <c r="J35" s="8" t="s">
        <v>19</v>
      </c>
      <c r="K35" s="8" t="s">
        <v>41</v>
      </c>
      <c r="L35" s="10" t="s">
        <v>22</v>
      </c>
      <c r="M35" s="17">
        <v>150</v>
      </c>
      <c r="N35" s="10" t="str">
        <f t="shared" si="21"/>
        <v>Cluster10_lowStructure_RCP26_repl4.sqlite</v>
      </c>
      <c r="O35" s="11">
        <v>1</v>
      </c>
      <c r="P35" s="11">
        <v>0</v>
      </c>
      <c r="Q35" s="12" t="str">
        <f t="shared" si="7"/>
        <v>climate_db_ICHEC-EC-EARTH_rcp_2_6_v4.sqlite</v>
      </c>
      <c r="R35" s="12" t="str">
        <f t="shared" si="22"/>
        <v>log/Cluster10_lowStructure_RCP26_repl4.txt</v>
      </c>
      <c r="S35" s="16" t="str">
        <f t="shared" si="8"/>
        <v>init_JM/env_file_CLUSTER10_ICHEC-EC-EARTH_rcp_2_6_REPL4.csv</v>
      </c>
      <c r="T35" s="16" t="str">
        <f t="shared" si="9"/>
        <v>init_JM/env_grid_CLUSTER10_REPL4.asc</v>
      </c>
      <c r="U35" s="16" t="str">
        <f t="shared" si="10"/>
        <v>init_JM/env_grid_CLUSTER10_REPL4.asc</v>
      </c>
      <c r="V35" s="16" t="str">
        <f t="shared" si="11"/>
        <v>../init_JM/trees_cluster10_repl4.csv</v>
      </c>
      <c r="W35" s="16" t="str">
        <f t="shared" si="12"/>
        <v>../init_JM/saplings_cluster10_repl4.csv</v>
      </c>
      <c r="X35" s="12">
        <f t="shared" si="23"/>
        <v>427</v>
      </c>
      <c r="Y35" s="16" t="str">
        <f t="shared" si="13"/>
        <v>abe/stand_files2/lowStructure_cl10_repl4.csv</v>
      </c>
      <c r="Z35" s="12" t="str">
        <f t="shared" si="24"/>
        <v>true</v>
      </c>
      <c r="AA35" s="16" t="str">
        <f t="shared" si="14"/>
        <v>gis/WindModifier_cl10.asc</v>
      </c>
      <c r="AB35" s="12" t="str">
        <f t="shared" si="15"/>
        <v>true</v>
      </c>
      <c r="AC35" s="12" t="str">
        <f t="shared" si="25"/>
        <v>true</v>
      </c>
      <c r="AD35" s="12" t="str">
        <f t="shared" si="16"/>
        <v>ICHEC-EC-EARTH_rcp_2_6_point32685</v>
      </c>
      <c r="AE35" s="12" t="str">
        <f t="shared" si="17"/>
        <v>true</v>
      </c>
      <c r="AF35" s="12" t="str">
        <f t="shared" si="19"/>
        <v>wind_Events/cl10_repl4.txt</v>
      </c>
      <c r="AG35" s="16" t="str">
        <f t="shared" si="18"/>
        <v>Cluster10_lowStructure_RCP26_repl4</v>
      </c>
    </row>
    <row r="36" spans="1:33" ht="13.8">
      <c r="A36" s="7" t="str">
        <f t="shared" si="6"/>
        <v>Cluster10_lowStructure_RCP45_repl4</v>
      </c>
      <c r="B36" s="8" t="s">
        <v>23</v>
      </c>
      <c r="C36" s="8" t="s">
        <v>32</v>
      </c>
      <c r="D36" s="8" t="s">
        <v>35</v>
      </c>
      <c r="E36" s="9" t="str">
        <f t="shared" si="20"/>
        <v>rcp_4_5</v>
      </c>
      <c r="F36" s="8">
        <v>728</v>
      </c>
      <c r="G36" s="8" t="s">
        <v>18</v>
      </c>
      <c r="H36" s="8">
        <v>10</v>
      </c>
      <c r="I36" s="8">
        <v>4</v>
      </c>
      <c r="J36" s="8" t="s">
        <v>19</v>
      </c>
      <c r="K36" s="8" t="s">
        <v>41</v>
      </c>
      <c r="L36" s="10" t="s">
        <v>22</v>
      </c>
      <c r="M36" s="17">
        <v>150</v>
      </c>
      <c r="N36" s="10" t="str">
        <f t="shared" si="21"/>
        <v>Cluster10_lowStructure_RCP45_repl4.sqlite</v>
      </c>
      <c r="O36" s="11">
        <v>1</v>
      </c>
      <c r="P36" s="11">
        <v>0</v>
      </c>
      <c r="Q36" s="12" t="str">
        <f t="shared" si="7"/>
        <v>climate_db_ICHEC-EC-EARTH_rcp_4_5_v4.sqlite</v>
      </c>
      <c r="R36" s="12" t="str">
        <f t="shared" si="22"/>
        <v>log/Cluster10_lowStructure_RCP45_repl4.txt</v>
      </c>
      <c r="S36" s="16" t="str">
        <f t="shared" si="8"/>
        <v>init_JM/env_file_CLUSTER10_ICHEC-EC-EARTH_rcp_4_5_REPL4.csv</v>
      </c>
      <c r="T36" s="16" t="str">
        <f t="shared" si="9"/>
        <v>init_JM/env_grid_CLUSTER10_REPL4.asc</v>
      </c>
      <c r="U36" s="16" t="str">
        <f t="shared" si="10"/>
        <v>init_JM/env_grid_CLUSTER10_REPL4.asc</v>
      </c>
      <c r="V36" s="16" t="str">
        <f t="shared" si="11"/>
        <v>../init_JM/trees_cluster10_repl4.csv</v>
      </c>
      <c r="W36" s="16" t="str">
        <f t="shared" si="12"/>
        <v>../init_JM/saplings_cluster10_repl4.csv</v>
      </c>
      <c r="X36" s="12">
        <f t="shared" si="23"/>
        <v>728</v>
      </c>
      <c r="Y36" s="16" t="str">
        <f t="shared" si="13"/>
        <v>abe/stand_files2/lowStructure_cl10_repl4.csv</v>
      </c>
      <c r="Z36" s="12" t="str">
        <f t="shared" si="24"/>
        <v>true</v>
      </c>
      <c r="AA36" s="16" t="str">
        <f t="shared" si="14"/>
        <v>gis/WindModifier_cl10.asc</v>
      </c>
      <c r="AB36" s="12" t="str">
        <f t="shared" si="15"/>
        <v>true</v>
      </c>
      <c r="AC36" s="12" t="str">
        <f t="shared" si="25"/>
        <v>true</v>
      </c>
      <c r="AD36" s="12" t="str">
        <f t="shared" si="16"/>
        <v>ICHEC-EC-EARTH_rcp_4_5_point32685</v>
      </c>
      <c r="AE36" s="12" t="str">
        <f t="shared" si="17"/>
        <v>true</v>
      </c>
      <c r="AF36" s="12" t="str">
        <f t="shared" si="19"/>
        <v>wind_Events/cl10_repl4.txt</v>
      </c>
      <c r="AG36" s="16" t="str">
        <f t="shared" si="18"/>
        <v>Cluster10_lowStructure_RCP45_repl4</v>
      </c>
    </row>
    <row r="37" spans="1:33" ht="13.8">
      <c r="A37" s="7" t="str">
        <f t="shared" si="6"/>
        <v>Cluster10_lowStructure_RCP85_repl4</v>
      </c>
      <c r="B37" s="8" t="s">
        <v>23</v>
      </c>
      <c r="C37" s="8" t="s">
        <v>32</v>
      </c>
      <c r="D37" s="8" t="s">
        <v>36</v>
      </c>
      <c r="E37" s="9" t="str">
        <f t="shared" si="20"/>
        <v>rcp_8_5</v>
      </c>
      <c r="F37" s="8">
        <v>1231</v>
      </c>
      <c r="G37" s="8" t="s">
        <v>18</v>
      </c>
      <c r="H37" s="8">
        <v>10</v>
      </c>
      <c r="I37" s="8">
        <v>4</v>
      </c>
      <c r="J37" s="8" t="s">
        <v>19</v>
      </c>
      <c r="K37" s="8" t="s">
        <v>41</v>
      </c>
      <c r="L37" s="10" t="s">
        <v>22</v>
      </c>
      <c r="M37" s="17">
        <v>150</v>
      </c>
      <c r="N37" s="10" t="str">
        <f t="shared" si="21"/>
        <v>Cluster10_lowStructure_RCP85_repl4.sqlite</v>
      </c>
      <c r="O37" s="11">
        <v>1</v>
      </c>
      <c r="P37" s="11">
        <v>0</v>
      </c>
      <c r="Q37" s="12" t="str">
        <f t="shared" si="7"/>
        <v>climate_db_ICHEC-EC-EARTH_rcp_8_5_v4.sqlite</v>
      </c>
      <c r="R37" s="12" t="str">
        <f t="shared" si="22"/>
        <v>log/Cluster10_lowStructure_RCP85_repl4.txt</v>
      </c>
      <c r="S37" s="16" t="str">
        <f t="shared" si="8"/>
        <v>init_JM/env_file_CLUSTER10_ICHEC-EC-EARTH_rcp_8_5_REPL4.csv</v>
      </c>
      <c r="T37" s="16" t="str">
        <f t="shared" si="9"/>
        <v>init_JM/env_grid_CLUSTER10_REPL4.asc</v>
      </c>
      <c r="U37" s="16" t="str">
        <f t="shared" si="10"/>
        <v>init_JM/env_grid_CLUSTER10_REPL4.asc</v>
      </c>
      <c r="V37" s="16" t="str">
        <f t="shared" si="11"/>
        <v>../init_JM/trees_cluster10_repl4.csv</v>
      </c>
      <c r="W37" s="16" t="str">
        <f t="shared" si="12"/>
        <v>../init_JM/saplings_cluster10_repl4.csv</v>
      </c>
      <c r="X37" s="12">
        <f t="shared" si="23"/>
        <v>1231</v>
      </c>
      <c r="Y37" s="16" t="str">
        <f t="shared" si="13"/>
        <v>abe/stand_files2/lowStructure_cl10_repl4.csv</v>
      </c>
      <c r="Z37" s="12" t="str">
        <f t="shared" si="24"/>
        <v>true</v>
      </c>
      <c r="AA37" s="16" t="str">
        <f t="shared" si="14"/>
        <v>gis/WindModifier_cl10.asc</v>
      </c>
      <c r="AB37" s="12" t="str">
        <f t="shared" si="15"/>
        <v>true</v>
      </c>
      <c r="AC37" s="12" t="str">
        <f t="shared" si="25"/>
        <v>true</v>
      </c>
      <c r="AD37" s="12" t="str">
        <f t="shared" si="16"/>
        <v>ICHEC-EC-EARTH_rcp_8_5_point32685</v>
      </c>
      <c r="AE37" s="12" t="str">
        <f t="shared" si="17"/>
        <v>true</v>
      </c>
      <c r="AF37" s="12" t="str">
        <f t="shared" si="19"/>
        <v>wind_Events/cl10_repl4.txt</v>
      </c>
      <c r="AG37" s="16" t="str">
        <f t="shared" si="18"/>
        <v>Cluster10_lowStructure_RCP85_repl4</v>
      </c>
    </row>
    <row r="38" spans="1:33" ht="13.8">
      <c r="A38" s="7" t="str">
        <f t="shared" si="6"/>
        <v>Cluster10_lowStructure_historical_repl5</v>
      </c>
      <c r="B38" s="8" t="s">
        <v>23</v>
      </c>
      <c r="C38" s="8" t="s">
        <v>32</v>
      </c>
      <c r="D38" s="9" t="s">
        <v>17</v>
      </c>
      <c r="E38" s="9" t="str">
        <f t="shared" si="20"/>
        <v>historical</v>
      </c>
      <c r="F38" s="8">
        <v>350</v>
      </c>
      <c r="G38" s="8" t="s">
        <v>18</v>
      </c>
      <c r="H38" s="8">
        <v>10</v>
      </c>
      <c r="I38" s="8">
        <v>5</v>
      </c>
      <c r="J38" s="8" t="s">
        <v>19</v>
      </c>
      <c r="K38" s="8" t="s">
        <v>41</v>
      </c>
      <c r="L38" s="10" t="s">
        <v>21</v>
      </c>
      <c r="M38" s="17">
        <v>150</v>
      </c>
      <c r="N38" s="10" t="str">
        <f t="shared" si="21"/>
        <v>Cluster10_lowStructure_historical_repl5.sqlite</v>
      </c>
      <c r="O38" s="11">
        <v>1</v>
      </c>
      <c r="P38" s="11">
        <v>0</v>
      </c>
      <c r="Q38" s="12" t="str">
        <f t="shared" si="7"/>
        <v>climate_db_ICHEC-EC-EARTH_historical_v4.sqlite</v>
      </c>
      <c r="R38" s="12" t="str">
        <f t="shared" si="22"/>
        <v>log/Cluster10_lowStructure_historical_repl5.txt</v>
      </c>
      <c r="S38" s="16" t="str">
        <f t="shared" si="8"/>
        <v>init_JM/env_file_CLUSTER10_ICHEC-EC-EARTH_historical_REPL5.csv</v>
      </c>
      <c r="T38" s="16" t="str">
        <f t="shared" si="9"/>
        <v>init_JM/env_grid_CLUSTER10_REPL5.asc</v>
      </c>
      <c r="U38" s="16" t="str">
        <f t="shared" si="10"/>
        <v>init_JM/env_grid_CLUSTER10_REPL5.asc</v>
      </c>
      <c r="V38" s="16" t="str">
        <f t="shared" si="11"/>
        <v>../init_JM/trees_cluster10_repl5.csv</v>
      </c>
      <c r="W38" s="16" t="str">
        <f t="shared" si="12"/>
        <v>../init_JM/saplings_cluster10_repl5.csv</v>
      </c>
      <c r="X38" s="12">
        <f t="shared" si="23"/>
        <v>350</v>
      </c>
      <c r="Y38" s="16" t="str">
        <f t="shared" si="13"/>
        <v>abe/stand_files2/lowStructure_cl10_repl5.csv</v>
      </c>
      <c r="Z38" s="12" t="str">
        <f t="shared" si="24"/>
        <v>true</v>
      </c>
      <c r="AA38" s="16" t="str">
        <f t="shared" si="14"/>
        <v>gis/WindModifier_cl10.asc</v>
      </c>
      <c r="AB38" s="12" t="str">
        <f t="shared" si="15"/>
        <v>true</v>
      </c>
      <c r="AC38" s="12" t="str">
        <f t="shared" si="25"/>
        <v>true</v>
      </c>
      <c r="AD38" s="12" t="str">
        <f t="shared" si="16"/>
        <v>ICHEC-EC-EARTH_historical_point32685</v>
      </c>
      <c r="AE38" s="12" t="str">
        <f t="shared" si="17"/>
        <v>true</v>
      </c>
      <c r="AF38" s="12" t="str">
        <f t="shared" si="19"/>
        <v>wind_Events/cl10_repl5.txt</v>
      </c>
      <c r="AG38" s="16" t="str">
        <f t="shared" si="18"/>
        <v>Cluster10_lowStructure_historical_repl5</v>
      </c>
    </row>
    <row r="39" spans="1:33" ht="13.8">
      <c r="A39" s="7" t="str">
        <f t="shared" si="6"/>
        <v>Cluster10_lowStructure_RCP26_repl5</v>
      </c>
      <c r="B39" s="8" t="s">
        <v>23</v>
      </c>
      <c r="C39" s="8" t="s">
        <v>32</v>
      </c>
      <c r="D39" s="8" t="s">
        <v>34</v>
      </c>
      <c r="E39" s="9" t="str">
        <f t="shared" si="20"/>
        <v>rcp_2_6</v>
      </c>
      <c r="F39" s="8">
        <v>427</v>
      </c>
      <c r="G39" s="8" t="s">
        <v>18</v>
      </c>
      <c r="H39" s="8">
        <v>10</v>
      </c>
      <c r="I39" s="8">
        <v>5</v>
      </c>
      <c r="J39" s="8" t="s">
        <v>19</v>
      </c>
      <c r="K39" s="8" t="s">
        <v>41</v>
      </c>
      <c r="L39" s="10" t="s">
        <v>22</v>
      </c>
      <c r="M39" s="17">
        <v>150</v>
      </c>
      <c r="N39" s="10" t="str">
        <f t="shared" si="21"/>
        <v>Cluster10_lowStructure_RCP26_repl5.sqlite</v>
      </c>
      <c r="O39" s="11">
        <v>1</v>
      </c>
      <c r="P39" s="11">
        <v>0</v>
      </c>
      <c r="Q39" s="12" t="str">
        <f t="shared" si="7"/>
        <v>climate_db_ICHEC-EC-EARTH_rcp_2_6_v4.sqlite</v>
      </c>
      <c r="R39" s="12" t="str">
        <f t="shared" si="22"/>
        <v>log/Cluster10_lowStructure_RCP26_repl5.txt</v>
      </c>
      <c r="S39" s="16" t="str">
        <f t="shared" si="8"/>
        <v>init_JM/env_file_CLUSTER10_ICHEC-EC-EARTH_rcp_2_6_REPL5.csv</v>
      </c>
      <c r="T39" s="16" t="str">
        <f t="shared" si="9"/>
        <v>init_JM/env_grid_CLUSTER10_REPL5.asc</v>
      </c>
      <c r="U39" s="16" t="str">
        <f t="shared" si="10"/>
        <v>init_JM/env_grid_CLUSTER10_REPL5.asc</v>
      </c>
      <c r="V39" s="16" t="str">
        <f t="shared" si="11"/>
        <v>../init_JM/trees_cluster10_repl5.csv</v>
      </c>
      <c r="W39" s="16" t="str">
        <f t="shared" si="12"/>
        <v>../init_JM/saplings_cluster10_repl5.csv</v>
      </c>
      <c r="X39" s="12">
        <f t="shared" si="23"/>
        <v>427</v>
      </c>
      <c r="Y39" s="16" t="str">
        <f t="shared" si="13"/>
        <v>abe/stand_files2/lowStructure_cl10_repl5.csv</v>
      </c>
      <c r="Z39" s="12" t="str">
        <f t="shared" si="24"/>
        <v>true</v>
      </c>
      <c r="AA39" s="16" t="str">
        <f t="shared" si="14"/>
        <v>gis/WindModifier_cl10.asc</v>
      </c>
      <c r="AB39" s="12" t="str">
        <f t="shared" si="15"/>
        <v>true</v>
      </c>
      <c r="AC39" s="12" t="str">
        <f t="shared" si="25"/>
        <v>true</v>
      </c>
      <c r="AD39" s="12" t="str">
        <f t="shared" si="16"/>
        <v>ICHEC-EC-EARTH_rcp_2_6_point32685</v>
      </c>
      <c r="AE39" s="12" t="str">
        <f t="shared" si="17"/>
        <v>true</v>
      </c>
      <c r="AF39" s="12" t="str">
        <f t="shared" si="19"/>
        <v>wind_Events/cl10_repl5.txt</v>
      </c>
      <c r="AG39" s="16" t="str">
        <f t="shared" si="18"/>
        <v>Cluster10_lowStructure_RCP26_repl5</v>
      </c>
    </row>
    <row r="40" spans="1:33" ht="13.8">
      <c r="A40" s="7" t="str">
        <f t="shared" si="6"/>
        <v>Cluster10_lowStructure_RCP45_repl5</v>
      </c>
      <c r="B40" s="8" t="s">
        <v>23</v>
      </c>
      <c r="C40" s="8" t="s">
        <v>32</v>
      </c>
      <c r="D40" s="8" t="s">
        <v>35</v>
      </c>
      <c r="E40" s="9" t="str">
        <f t="shared" si="20"/>
        <v>rcp_4_5</v>
      </c>
      <c r="F40" s="8">
        <v>728</v>
      </c>
      <c r="G40" s="8" t="s">
        <v>18</v>
      </c>
      <c r="H40" s="8">
        <v>10</v>
      </c>
      <c r="I40" s="8">
        <v>5</v>
      </c>
      <c r="J40" s="8" t="s">
        <v>19</v>
      </c>
      <c r="K40" s="8" t="s">
        <v>41</v>
      </c>
      <c r="L40" s="10" t="s">
        <v>22</v>
      </c>
      <c r="M40" s="17">
        <v>150</v>
      </c>
      <c r="N40" s="10" t="str">
        <f t="shared" si="21"/>
        <v>Cluster10_lowStructure_RCP45_repl5.sqlite</v>
      </c>
      <c r="O40" s="11">
        <v>1</v>
      </c>
      <c r="P40" s="11">
        <v>0</v>
      </c>
      <c r="Q40" s="12" t="str">
        <f t="shared" si="7"/>
        <v>climate_db_ICHEC-EC-EARTH_rcp_4_5_v4.sqlite</v>
      </c>
      <c r="R40" s="12" t="str">
        <f t="shared" si="22"/>
        <v>log/Cluster10_lowStructure_RCP45_repl5.txt</v>
      </c>
      <c r="S40" s="16" t="str">
        <f t="shared" si="8"/>
        <v>init_JM/env_file_CLUSTER10_ICHEC-EC-EARTH_rcp_4_5_REPL5.csv</v>
      </c>
      <c r="T40" s="16" t="str">
        <f t="shared" si="9"/>
        <v>init_JM/env_grid_CLUSTER10_REPL5.asc</v>
      </c>
      <c r="U40" s="16" t="str">
        <f t="shared" si="10"/>
        <v>init_JM/env_grid_CLUSTER10_REPL5.asc</v>
      </c>
      <c r="V40" s="16" t="str">
        <f t="shared" si="11"/>
        <v>../init_JM/trees_cluster10_repl5.csv</v>
      </c>
      <c r="W40" s="16" t="str">
        <f t="shared" si="12"/>
        <v>../init_JM/saplings_cluster10_repl5.csv</v>
      </c>
      <c r="X40" s="12">
        <f t="shared" si="23"/>
        <v>728</v>
      </c>
      <c r="Y40" s="16" t="str">
        <f t="shared" si="13"/>
        <v>abe/stand_files2/lowStructure_cl10_repl5.csv</v>
      </c>
      <c r="Z40" s="12" t="str">
        <f t="shared" si="24"/>
        <v>true</v>
      </c>
      <c r="AA40" s="16" t="str">
        <f t="shared" si="14"/>
        <v>gis/WindModifier_cl10.asc</v>
      </c>
      <c r="AB40" s="12" t="str">
        <f t="shared" si="15"/>
        <v>true</v>
      </c>
      <c r="AC40" s="12" t="str">
        <f t="shared" si="25"/>
        <v>true</v>
      </c>
      <c r="AD40" s="12" t="str">
        <f t="shared" si="16"/>
        <v>ICHEC-EC-EARTH_rcp_4_5_point32685</v>
      </c>
      <c r="AE40" s="12" t="str">
        <f t="shared" si="17"/>
        <v>true</v>
      </c>
      <c r="AF40" s="12" t="str">
        <f t="shared" si="19"/>
        <v>wind_Events/cl10_repl5.txt</v>
      </c>
      <c r="AG40" s="16" t="str">
        <f t="shared" si="18"/>
        <v>Cluster10_lowStructure_RCP45_repl5</v>
      </c>
    </row>
    <row r="41" spans="1:33" ht="13.8">
      <c r="A41" s="7" t="str">
        <f t="shared" si="6"/>
        <v>Cluster10_lowStructure_RCP85_repl5</v>
      </c>
      <c r="B41" s="8" t="s">
        <v>23</v>
      </c>
      <c r="C41" s="8" t="s">
        <v>32</v>
      </c>
      <c r="D41" s="8" t="s">
        <v>36</v>
      </c>
      <c r="E41" s="9" t="str">
        <f t="shared" si="20"/>
        <v>rcp_8_5</v>
      </c>
      <c r="F41" s="8">
        <v>1231</v>
      </c>
      <c r="G41" s="8" t="s">
        <v>18</v>
      </c>
      <c r="H41" s="8">
        <v>10</v>
      </c>
      <c r="I41" s="8">
        <v>5</v>
      </c>
      <c r="J41" s="8" t="s">
        <v>19</v>
      </c>
      <c r="K41" s="8" t="s">
        <v>41</v>
      </c>
      <c r="L41" s="10" t="s">
        <v>22</v>
      </c>
      <c r="M41" s="17">
        <v>150</v>
      </c>
      <c r="N41" s="10" t="str">
        <f t="shared" si="21"/>
        <v>Cluster10_lowStructure_RCP85_repl5.sqlite</v>
      </c>
      <c r="O41" s="11">
        <v>1</v>
      </c>
      <c r="P41" s="11">
        <v>0</v>
      </c>
      <c r="Q41" s="12" t="str">
        <f t="shared" si="7"/>
        <v>climate_db_ICHEC-EC-EARTH_rcp_8_5_v4.sqlite</v>
      </c>
      <c r="R41" s="12" t="str">
        <f t="shared" si="22"/>
        <v>log/Cluster10_lowStructure_RCP85_repl5.txt</v>
      </c>
      <c r="S41" s="16" t="str">
        <f t="shared" si="8"/>
        <v>init_JM/env_file_CLUSTER10_ICHEC-EC-EARTH_rcp_8_5_REPL5.csv</v>
      </c>
      <c r="T41" s="16" t="str">
        <f t="shared" si="9"/>
        <v>init_JM/env_grid_CLUSTER10_REPL5.asc</v>
      </c>
      <c r="U41" s="16" t="str">
        <f t="shared" si="10"/>
        <v>init_JM/env_grid_CLUSTER10_REPL5.asc</v>
      </c>
      <c r="V41" s="16" t="str">
        <f t="shared" si="11"/>
        <v>../init_JM/trees_cluster10_repl5.csv</v>
      </c>
      <c r="W41" s="16" t="str">
        <f t="shared" si="12"/>
        <v>../init_JM/saplings_cluster10_repl5.csv</v>
      </c>
      <c r="X41" s="12">
        <f t="shared" si="23"/>
        <v>1231</v>
      </c>
      <c r="Y41" s="16" t="str">
        <f t="shared" si="13"/>
        <v>abe/stand_files2/lowStructure_cl10_repl5.csv</v>
      </c>
      <c r="Z41" s="12" t="str">
        <f t="shared" si="24"/>
        <v>true</v>
      </c>
      <c r="AA41" s="16" t="str">
        <f t="shared" si="14"/>
        <v>gis/WindModifier_cl10.asc</v>
      </c>
      <c r="AB41" s="12" t="str">
        <f t="shared" si="15"/>
        <v>true</v>
      </c>
      <c r="AC41" s="12" t="str">
        <f t="shared" si="25"/>
        <v>true</v>
      </c>
      <c r="AD41" s="12" t="str">
        <f t="shared" si="16"/>
        <v>ICHEC-EC-EARTH_rcp_8_5_point32685</v>
      </c>
      <c r="AE41" s="12" t="str">
        <f t="shared" si="17"/>
        <v>true</v>
      </c>
      <c r="AF41" s="12" t="str">
        <f t="shared" si="19"/>
        <v>wind_Events/cl10_repl5.txt</v>
      </c>
      <c r="AG41" s="16" t="str">
        <f t="shared" si="18"/>
        <v>Cluster10_lowStructure_RCP85_repl5</v>
      </c>
    </row>
    <row r="42" spans="1:33" ht="13.8">
      <c r="A42" s="7" t="str">
        <f t="shared" si="6"/>
        <v>Cluster10_mediumStructure_historical_repl1</v>
      </c>
      <c r="B42" s="8" t="s">
        <v>24</v>
      </c>
      <c r="C42" s="8" t="s">
        <v>32</v>
      </c>
      <c r="D42" s="9" t="s">
        <v>17</v>
      </c>
      <c r="E42" s="9" t="str">
        <f t="shared" si="20"/>
        <v>historical</v>
      </c>
      <c r="F42" s="8">
        <v>350</v>
      </c>
      <c r="G42" s="8" t="s">
        <v>18</v>
      </c>
      <c r="H42" s="8">
        <v>10</v>
      </c>
      <c r="I42" s="8">
        <v>1</v>
      </c>
      <c r="J42" s="8" t="s">
        <v>19</v>
      </c>
      <c r="K42" s="8" t="s">
        <v>41</v>
      </c>
      <c r="L42" s="10" t="s">
        <v>21</v>
      </c>
      <c r="M42" s="17">
        <v>150</v>
      </c>
      <c r="N42" s="10" t="str">
        <f t="shared" si="21"/>
        <v>Cluster10_mediumStructure_historical_repl1.sqlite</v>
      </c>
      <c r="O42" s="11">
        <v>1</v>
      </c>
      <c r="P42" s="11">
        <v>0</v>
      </c>
      <c r="Q42" s="12" t="str">
        <f t="shared" si="7"/>
        <v>climate_db_ICHEC-EC-EARTH_historical_v4.sqlite</v>
      </c>
      <c r="R42" s="12" t="str">
        <f t="shared" si="22"/>
        <v>log/Cluster10_mediumStructure_historical_repl1.txt</v>
      </c>
      <c r="S42" s="16" t="str">
        <f t="shared" si="8"/>
        <v>init_JM/env_file_CLUSTER10_ICHEC-EC-EARTH_historical_REPL1.csv</v>
      </c>
      <c r="T42" s="16" t="str">
        <f t="shared" si="9"/>
        <v>init_JM/env_grid_CLUSTER10_REPL1.asc</v>
      </c>
      <c r="U42" s="16" t="str">
        <f t="shared" si="10"/>
        <v>init_JM/env_grid_CLUSTER10_REPL1.asc</v>
      </c>
      <c r="V42" s="16" t="str">
        <f t="shared" si="11"/>
        <v>../init_JM/trees_cluster10_repl1.csv</v>
      </c>
      <c r="W42" s="16" t="str">
        <f t="shared" si="12"/>
        <v>../init_JM/saplings_cluster10_repl1.csv</v>
      </c>
      <c r="X42" s="12">
        <f t="shared" si="23"/>
        <v>350</v>
      </c>
      <c r="Y42" s="16" t="str">
        <f t="shared" si="13"/>
        <v>abe/stand_files2/mediumStructure_cl10_repl1.csv</v>
      </c>
      <c r="Z42" s="12" t="str">
        <f t="shared" si="24"/>
        <v>true</v>
      </c>
      <c r="AA42" s="16" t="str">
        <f t="shared" si="14"/>
        <v>gis/WindModifier_cl10.asc</v>
      </c>
      <c r="AB42" s="12" t="str">
        <f t="shared" si="15"/>
        <v>true</v>
      </c>
      <c r="AC42" s="12" t="str">
        <f t="shared" si="25"/>
        <v>true</v>
      </c>
      <c r="AD42" s="12" t="str">
        <f t="shared" si="16"/>
        <v>ICHEC-EC-EARTH_historical_point32685</v>
      </c>
      <c r="AE42" s="12" t="str">
        <f t="shared" si="17"/>
        <v>true</v>
      </c>
      <c r="AF42" s="12" t="str">
        <f t="shared" si="19"/>
        <v>wind_Events/cl10_repl1.txt</v>
      </c>
      <c r="AG42" s="16" t="str">
        <f t="shared" si="18"/>
        <v>Cluster10_mediumStructure_historical_repl1</v>
      </c>
    </row>
    <row r="43" spans="1:33" ht="13.8">
      <c r="A43" s="7" t="str">
        <f t="shared" si="6"/>
        <v>Cluster10_mediumStructure_RCP26_repl1</v>
      </c>
      <c r="B43" s="8" t="s">
        <v>24</v>
      </c>
      <c r="C43" s="8" t="s">
        <v>32</v>
      </c>
      <c r="D43" s="8" t="s">
        <v>34</v>
      </c>
      <c r="E43" s="9" t="str">
        <f t="shared" si="20"/>
        <v>rcp_2_6</v>
      </c>
      <c r="F43" s="8">
        <v>427</v>
      </c>
      <c r="G43" s="8" t="s">
        <v>18</v>
      </c>
      <c r="H43" s="8">
        <v>10</v>
      </c>
      <c r="I43" s="8">
        <v>1</v>
      </c>
      <c r="J43" s="8" t="s">
        <v>19</v>
      </c>
      <c r="K43" s="8" t="s">
        <v>41</v>
      </c>
      <c r="L43" s="10" t="s">
        <v>22</v>
      </c>
      <c r="M43" s="17">
        <v>150</v>
      </c>
      <c r="N43" s="10" t="str">
        <f t="shared" si="21"/>
        <v>Cluster10_mediumStructure_RCP26_repl1.sqlite</v>
      </c>
      <c r="O43" s="11">
        <v>1</v>
      </c>
      <c r="P43" s="11">
        <v>0</v>
      </c>
      <c r="Q43" s="12" t="str">
        <f t="shared" si="7"/>
        <v>climate_db_ICHEC-EC-EARTH_rcp_2_6_v4.sqlite</v>
      </c>
      <c r="R43" s="12" t="str">
        <f t="shared" si="22"/>
        <v>log/Cluster10_mediumStructure_RCP26_repl1.txt</v>
      </c>
      <c r="S43" s="16" t="str">
        <f t="shared" si="8"/>
        <v>init_JM/env_file_CLUSTER10_ICHEC-EC-EARTH_rcp_2_6_REPL1.csv</v>
      </c>
      <c r="T43" s="16" t="str">
        <f t="shared" si="9"/>
        <v>init_JM/env_grid_CLUSTER10_REPL1.asc</v>
      </c>
      <c r="U43" s="16" t="str">
        <f t="shared" si="10"/>
        <v>init_JM/env_grid_CLUSTER10_REPL1.asc</v>
      </c>
      <c r="V43" s="16" t="str">
        <f t="shared" si="11"/>
        <v>../init_JM/trees_cluster10_repl1.csv</v>
      </c>
      <c r="W43" s="16" t="str">
        <f t="shared" si="12"/>
        <v>../init_JM/saplings_cluster10_repl1.csv</v>
      </c>
      <c r="X43" s="12">
        <f t="shared" si="23"/>
        <v>427</v>
      </c>
      <c r="Y43" s="16" t="str">
        <f t="shared" si="13"/>
        <v>abe/stand_files2/mediumStructure_cl10_repl1.csv</v>
      </c>
      <c r="Z43" s="12" t="str">
        <f t="shared" si="24"/>
        <v>true</v>
      </c>
      <c r="AA43" s="16" t="str">
        <f t="shared" si="14"/>
        <v>gis/WindModifier_cl10.asc</v>
      </c>
      <c r="AB43" s="12" t="str">
        <f t="shared" si="15"/>
        <v>true</v>
      </c>
      <c r="AC43" s="12" t="str">
        <f t="shared" si="25"/>
        <v>true</v>
      </c>
      <c r="AD43" s="12" t="str">
        <f t="shared" si="16"/>
        <v>ICHEC-EC-EARTH_rcp_2_6_point32685</v>
      </c>
      <c r="AE43" s="12" t="str">
        <f t="shared" si="17"/>
        <v>true</v>
      </c>
      <c r="AF43" s="12" t="str">
        <f t="shared" si="19"/>
        <v>wind_Events/cl10_repl1.txt</v>
      </c>
      <c r="AG43" s="16" t="str">
        <f t="shared" si="18"/>
        <v>Cluster10_mediumStructure_RCP26_repl1</v>
      </c>
    </row>
    <row r="44" spans="1:33" ht="13.8">
      <c r="A44" s="7" t="str">
        <f t="shared" si="6"/>
        <v>Cluster10_mediumStructure_RCP45_repl1</v>
      </c>
      <c r="B44" s="8" t="s">
        <v>24</v>
      </c>
      <c r="C44" s="8" t="s">
        <v>32</v>
      </c>
      <c r="D44" s="8" t="s">
        <v>35</v>
      </c>
      <c r="E44" s="9" t="str">
        <f t="shared" si="20"/>
        <v>rcp_4_5</v>
      </c>
      <c r="F44" s="8">
        <v>728</v>
      </c>
      <c r="G44" s="8" t="s">
        <v>18</v>
      </c>
      <c r="H44" s="8">
        <v>10</v>
      </c>
      <c r="I44" s="8">
        <v>1</v>
      </c>
      <c r="J44" s="8" t="s">
        <v>19</v>
      </c>
      <c r="K44" s="8" t="s">
        <v>41</v>
      </c>
      <c r="L44" s="10" t="s">
        <v>22</v>
      </c>
      <c r="M44" s="17">
        <v>150</v>
      </c>
      <c r="N44" s="10" t="str">
        <f t="shared" si="21"/>
        <v>Cluster10_mediumStructure_RCP45_repl1.sqlite</v>
      </c>
      <c r="O44" s="11">
        <v>1</v>
      </c>
      <c r="P44" s="11">
        <v>0</v>
      </c>
      <c r="Q44" s="12" t="str">
        <f t="shared" si="7"/>
        <v>climate_db_ICHEC-EC-EARTH_rcp_4_5_v4.sqlite</v>
      </c>
      <c r="R44" s="12" t="str">
        <f t="shared" si="22"/>
        <v>log/Cluster10_mediumStructure_RCP45_repl1.txt</v>
      </c>
      <c r="S44" s="16" t="str">
        <f t="shared" si="8"/>
        <v>init_JM/env_file_CLUSTER10_ICHEC-EC-EARTH_rcp_4_5_REPL1.csv</v>
      </c>
      <c r="T44" s="16" t="str">
        <f t="shared" si="9"/>
        <v>init_JM/env_grid_CLUSTER10_REPL1.asc</v>
      </c>
      <c r="U44" s="16" t="str">
        <f t="shared" si="10"/>
        <v>init_JM/env_grid_CLUSTER10_REPL1.asc</v>
      </c>
      <c r="V44" s="16" t="str">
        <f t="shared" si="11"/>
        <v>../init_JM/trees_cluster10_repl1.csv</v>
      </c>
      <c r="W44" s="16" t="str">
        <f t="shared" si="12"/>
        <v>../init_JM/saplings_cluster10_repl1.csv</v>
      </c>
      <c r="X44" s="12">
        <f t="shared" si="23"/>
        <v>728</v>
      </c>
      <c r="Y44" s="16" t="str">
        <f t="shared" si="13"/>
        <v>abe/stand_files2/mediumStructure_cl10_repl1.csv</v>
      </c>
      <c r="Z44" s="12" t="str">
        <f t="shared" si="24"/>
        <v>true</v>
      </c>
      <c r="AA44" s="16" t="str">
        <f t="shared" si="14"/>
        <v>gis/WindModifier_cl10.asc</v>
      </c>
      <c r="AB44" s="12" t="str">
        <f t="shared" si="15"/>
        <v>true</v>
      </c>
      <c r="AC44" s="12" t="str">
        <f t="shared" si="25"/>
        <v>true</v>
      </c>
      <c r="AD44" s="12" t="str">
        <f t="shared" si="16"/>
        <v>ICHEC-EC-EARTH_rcp_4_5_point32685</v>
      </c>
      <c r="AE44" s="12" t="str">
        <f t="shared" si="17"/>
        <v>true</v>
      </c>
      <c r="AF44" s="12" t="str">
        <f t="shared" si="19"/>
        <v>wind_Events/cl10_repl1.txt</v>
      </c>
      <c r="AG44" s="16" t="str">
        <f t="shared" si="18"/>
        <v>Cluster10_mediumStructure_RCP45_repl1</v>
      </c>
    </row>
    <row r="45" spans="1:33" ht="13.8">
      <c r="A45" s="7" t="str">
        <f t="shared" si="6"/>
        <v>Cluster10_mediumStructure_RCP85_repl1</v>
      </c>
      <c r="B45" s="8" t="s">
        <v>24</v>
      </c>
      <c r="C45" s="8" t="s">
        <v>32</v>
      </c>
      <c r="D45" s="8" t="s">
        <v>36</v>
      </c>
      <c r="E45" s="9" t="str">
        <f t="shared" si="20"/>
        <v>rcp_8_5</v>
      </c>
      <c r="F45" s="8">
        <v>1231</v>
      </c>
      <c r="G45" s="8" t="s">
        <v>18</v>
      </c>
      <c r="H45" s="8">
        <v>10</v>
      </c>
      <c r="I45" s="8">
        <v>1</v>
      </c>
      <c r="J45" s="8" t="s">
        <v>19</v>
      </c>
      <c r="K45" s="8" t="s">
        <v>41</v>
      </c>
      <c r="L45" s="10" t="s">
        <v>22</v>
      </c>
      <c r="M45" s="17">
        <v>150</v>
      </c>
      <c r="N45" s="10" t="str">
        <f t="shared" si="21"/>
        <v>Cluster10_mediumStructure_RCP85_repl1.sqlite</v>
      </c>
      <c r="O45" s="11">
        <v>1</v>
      </c>
      <c r="P45" s="11">
        <v>0</v>
      </c>
      <c r="Q45" s="12" t="str">
        <f t="shared" si="7"/>
        <v>climate_db_ICHEC-EC-EARTH_rcp_8_5_v4.sqlite</v>
      </c>
      <c r="R45" s="12" t="str">
        <f t="shared" si="22"/>
        <v>log/Cluster10_mediumStructure_RCP85_repl1.txt</v>
      </c>
      <c r="S45" s="16" t="str">
        <f t="shared" si="8"/>
        <v>init_JM/env_file_CLUSTER10_ICHEC-EC-EARTH_rcp_8_5_REPL1.csv</v>
      </c>
      <c r="T45" s="16" t="str">
        <f t="shared" si="9"/>
        <v>init_JM/env_grid_CLUSTER10_REPL1.asc</v>
      </c>
      <c r="U45" s="16" t="str">
        <f t="shared" si="10"/>
        <v>init_JM/env_grid_CLUSTER10_REPL1.asc</v>
      </c>
      <c r="V45" s="16" t="str">
        <f t="shared" si="11"/>
        <v>../init_JM/trees_cluster10_repl1.csv</v>
      </c>
      <c r="W45" s="16" t="str">
        <f t="shared" si="12"/>
        <v>../init_JM/saplings_cluster10_repl1.csv</v>
      </c>
      <c r="X45" s="12">
        <f t="shared" si="23"/>
        <v>1231</v>
      </c>
      <c r="Y45" s="16" t="str">
        <f t="shared" si="13"/>
        <v>abe/stand_files2/mediumStructure_cl10_repl1.csv</v>
      </c>
      <c r="Z45" s="12" t="str">
        <f t="shared" si="24"/>
        <v>true</v>
      </c>
      <c r="AA45" s="16" t="str">
        <f t="shared" si="14"/>
        <v>gis/WindModifier_cl10.asc</v>
      </c>
      <c r="AB45" s="12" t="str">
        <f t="shared" si="15"/>
        <v>true</v>
      </c>
      <c r="AC45" s="12" t="str">
        <f t="shared" si="25"/>
        <v>true</v>
      </c>
      <c r="AD45" s="12" t="str">
        <f t="shared" si="16"/>
        <v>ICHEC-EC-EARTH_rcp_8_5_point32685</v>
      </c>
      <c r="AE45" s="12" t="str">
        <f t="shared" si="17"/>
        <v>true</v>
      </c>
      <c r="AF45" s="12" t="str">
        <f t="shared" si="19"/>
        <v>wind_Events/cl10_repl1.txt</v>
      </c>
      <c r="AG45" s="16" t="str">
        <f t="shared" si="18"/>
        <v>Cluster10_mediumStructure_RCP85_repl1</v>
      </c>
    </row>
    <row r="46" spans="1:33" ht="13.8">
      <c r="A46" s="7" t="str">
        <f t="shared" si="6"/>
        <v>Cluster10_mediumStructure_historical_repl2</v>
      </c>
      <c r="B46" s="8" t="s">
        <v>24</v>
      </c>
      <c r="C46" s="8" t="s">
        <v>32</v>
      </c>
      <c r="D46" s="9" t="s">
        <v>17</v>
      </c>
      <c r="E46" s="9" t="str">
        <f t="shared" si="20"/>
        <v>historical</v>
      </c>
      <c r="F46" s="8">
        <v>350</v>
      </c>
      <c r="G46" s="8" t="s">
        <v>18</v>
      </c>
      <c r="H46" s="8">
        <v>10</v>
      </c>
      <c r="I46" s="8">
        <v>2</v>
      </c>
      <c r="J46" s="8" t="s">
        <v>19</v>
      </c>
      <c r="K46" s="8" t="s">
        <v>41</v>
      </c>
      <c r="L46" s="10" t="s">
        <v>21</v>
      </c>
      <c r="M46" s="17">
        <v>150</v>
      </c>
      <c r="N46" s="10" t="str">
        <f t="shared" si="21"/>
        <v>Cluster10_mediumStructure_historical_repl2.sqlite</v>
      </c>
      <c r="O46" s="11">
        <v>1</v>
      </c>
      <c r="P46" s="11">
        <v>0</v>
      </c>
      <c r="Q46" s="12" t="str">
        <f t="shared" si="7"/>
        <v>climate_db_ICHEC-EC-EARTH_historical_v4.sqlite</v>
      </c>
      <c r="R46" s="12" t="str">
        <f t="shared" si="22"/>
        <v>log/Cluster10_mediumStructure_historical_repl2.txt</v>
      </c>
      <c r="S46" s="16" t="str">
        <f t="shared" si="8"/>
        <v>init_JM/env_file_CLUSTER10_ICHEC-EC-EARTH_historical_REPL2.csv</v>
      </c>
      <c r="T46" s="16" t="str">
        <f t="shared" si="9"/>
        <v>init_JM/env_grid_CLUSTER10_REPL2.asc</v>
      </c>
      <c r="U46" s="16" t="str">
        <f t="shared" si="10"/>
        <v>init_JM/env_grid_CLUSTER10_REPL2.asc</v>
      </c>
      <c r="V46" s="16" t="str">
        <f t="shared" si="11"/>
        <v>../init_JM/trees_cluster10_repl2.csv</v>
      </c>
      <c r="W46" s="16" t="str">
        <f t="shared" si="12"/>
        <v>../init_JM/saplings_cluster10_repl2.csv</v>
      </c>
      <c r="X46" s="12">
        <f t="shared" si="23"/>
        <v>350</v>
      </c>
      <c r="Y46" s="16" t="str">
        <f t="shared" si="13"/>
        <v>abe/stand_files2/mediumStructure_cl10_repl2.csv</v>
      </c>
      <c r="Z46" s="12" t="str">
        <f t="shared" si="24"/>
        <v>true</v>
      </c>
      <c r="AA46" s="16" t="str">
        <f t="shared" si="14"/>
        <v>gis/WindModifier_cl10.asc</v>
      </c>
      <c r="AB46" s="12" t="str">
        <f t="shared" si="15"/>
        <v>true</v>
      </c>
      <c r="AC46" s="12" t="str">
        <f t="shared" si="25"/>
        <v>true</v>
      </c>
      <c r="AD46" s="12" t="str">
        <f t="shared" si="16"/>
        <v>ICHEC-EC-EARTH_historical_point32685</v>
      </c>
      <c r="AE46" s="12" t="str">
        <f t="shared" si="17"/>
        <v>true</v>
      </c>
      <c r="AF46" s="12" t="str">
        <f t="shared" si="19"/>
        <v>wind_Events/cl10_repl2.txt</v>
      </c>
      <c r="AG46" s="16" t="str">
        <f t="shared" si="18"/>
        <v>Cluster10_mediumStructure_historical_repl2</v>
      </c>
    </row>
    <row r="47" spans="1:33" ht="13.8">
      <c r="A47" s="7" t="str">
        <f t="shared" si="6"/>
        <v>Cluster10_mediumStructure_RCP26_repl2</v>
      </c>
      <c r="B47" s="8" t="s">
        <v>24</v>
      </c>
      <c r="C47" s="8" t="s">
        <v>32</v>
      </c>
      <c r="D47" s="8" t="s">
        <v>34</v>
      </c>
      <c r="E47" s="9" t="str">
        <f t="shared" si="20"/>
        <v>rcp_2_6</v>
      </c>
      <c r="F47" s="8">
        <v>427</v>
      </c>
      <c r="G47" s="8" t="s">
        <v>18</v>
      </c>
      <c r="H47" s="8">
        <v>10</v>
      </c>
      <c r="I47" s="8">
        <v>2</v>
      </c>
      <c r="J47" s="8" t="s">
        <v>19</v>
      </c>
      <c r="K47" s="8" t="s">
        <v>41</v>
      </c>
      <c r="L47" s="10" t="s">
        <v>22</v>
      </c>
      <c r="M47" s="17">
        <v>150</v>
      </c>
      <c r="N47" s="10" t="str">
        <f t="shared" si="21"/>
        <v>Cluster10_mediumStructure_RCP26_repl2.sqlite</v>
      </c>
      <c r="O47" s="11">
        <v>1</v>
      </c>
      <c r="P47" s="11">
        <v>0</v>
      </c>
      <c r="Q47" s="12" t="str">
        <f t="shared" si="7"/>
        <v>climate_db_ICHEC-EC-EARTH_rcp_2_6_v4.sqlite</v>
      </c>
      <c r="R47" s="12" t="str">
        <f t="shared" si="22"/>
        <v>log/Cluster10_mediumStructure_RCP26_repl2.txt</v>
      </c>
      <c r="S47" s="16" t="str">
        <f t="shared" si="8"/>
        <v>init_JM/env_file_CLUSTER10_ICHEC-EC-EARTH_rcp_2_6_REPL2.csv</v>
      </c>
      <c r="T47" s="16" t="str">
        <f t="shared" si="9"/>
        <v>init_JM/env_grid_CLUSTER10_REPL2.asc</v>
      </c>
      <c r="U47" s="16" t="str">
        <f t="shared" si="10"/>
        <v>init_JM/env_grid_CLUSTER10_REPL2.asc</v>
      </c>
      <c r="V47" s="16" t="str">
        <f t="shared" si="11"/>
        <v>../init_JM/trees_cluster10_repl2.csv</v>
      </c>
      <c r="W47" s="16" t="str">
        <f t="shared" si="12"/>
        <v>../init_JM/saplings_cluster10_repl2.csv</v>
      </c>
      <c r="X47" s="12">
        <f t="shared" si="23"/>
        <v>427</v>
      </c>
      <c r="Y47" s="16" t="str">
        <f t="shared" si="13"/>
        <v>abe/stand_files2/mediumStructure_cl10_repl2.csv</v>
      </c>
      <c r="Z47" s="12" t="str">
        <f t="shared" si="24"/>
        <v>true</v>
      </c>
      <c r="AA47" s="16" t="str">
        <f t="shared" si="14"/>
        <v>gis/WindModifier_cl10.asc</v>
      </c>
      <c r="AB47" s="12" t="str">
        <f t="shared" si="15"/>
        <v>true</v>
      </c>
      <c r="AC47" s="12" t="str">
        <f t="shared" si="25"/>
        <v>true</v>
      </c>
      <c r="AD47" s="12" t="str">
        <f t="shared" si="16"/>
        <v>ICHEC-EC-EARTH_rcp_2_6_point32685</v>
      </c>
      <c r="AE47" s="12" t="str">
        <f t="shared" si="17"/>
        <v>true</v>
      </c>
      <c r="AF47" s="12" t="str">
        <f t="shared" si="19"/>
        <v>wind_Events/cl10_repl2.txt</v>
      </c>
      <c r="AG47" s="16" t="str">
        <f t="shared" si="18"/>
        <v>Cluster10_mediumStructure_RCP26_repl2</v>
      </c>
    </row>
    <row r="48" spans="1:33" ht="13.8">
      <c r="A48" s="7" t="str">
        <f t="shared" si="6"/>
        <v>Cluster10_mediumStructure_RCP45_repl2</v>
      </c>
      <c r="B48" s="8" t="s">
        <v>24</v>
      </c>
      <c r="C48" s="8" t="s">
        <v>32</v>
      </c>
      <c r="D48" s="8" t="s">
        <v>35</v>
      </c>
      <c r="E48" s="9" t="str">
        <f t="shared" si="20"/>
        <v>rcp_4_5</v>
      </c>
      <c r="F48" s="8">
        <v>728</v>
      </c>
      <c r="G48" s="8" t="s">
        <v>18</v>
      </c>
      <c r="H48" s="8">
        <v>10</v>
      </c>
      <c r="I48" s="8">
        <v>2</v>
      </c>
      <c r="J48" s="8" t="s">
        <v>19</v>
      </c>
      <c r="K48" s="8" t="s">
        <v>41</v>
      </c>
      <c r="L48" s="10" t="s">
        <v>22</v>
      </c>
      <c r="M48" s="17">
        <v>150</v>
      </c>
      <c r="N48" s="10" t="str">
        <f t="shared" si="21"/>
        <v>Cluster10_mediumStructure_RCP45_repl2.sqlite</v>
      </c>
      <c r="O48" s="11">
        <v>1</v>
      </c>
      <c r="P48" s="11">
        <v>0</v>
      </c>
      <c r="Q48" s="12" t="str">
        <f t="shared" si="7"/>
        <v>climate_db_ICHEC-EC-EARTH_rcp_4_5_v4.sqlite</v>
      </c>
      <c r="R48" s="12" t="str">
        <f t="shared" si="22"/>
        <v>log/Cluster10_mediumStructure_RCP45_repl2.txt</v>
      </c>
      <c r="S48" s="16" t="str">
        <f t="shared" si="8"/>
        <v>init_JM/env_file_CLUSTER10_ICHEC-EC-EARTH_rcp_4_5_REPL2.csv</v>
      </c>
      <c r="T48" s="16" t="str">
        <f t="shared" si="9"/>
        <v>init_JM/env_grid_CLUSTER10_REPL2.asc</v>
      </c>
      <c r="U48" s="16" t="str">
        <f t="shared" si="10"/>
        <v>init_JM/env_grid_CLUSTER10_REPL2.asc</v>
      </c>
      <c r="V48" s="16" t="str">
        <f t="shared" si="11"/>
        <v>../init_JM/trees_cluster10_repl2.csv</v>
      </c>
      <c r="W48" s="16" t="str">
        <f t="shared" si="12"/>
        <v>../init_JM/saplings_cluster10_repl2.csv</v>
      </c>
      <c r="X48" s="12">
        <f t="shared" si="23"/>
        <v>728</v>
      </c>
      <c r="Y48" s="16" t="str">
        <f t="shared" si="13"/>
        <v>abe/stand_files2/mediumStructure_cl10_repl2.csv</v>
      </c>
      <c r="Z48" s="12" t="str">
        <f t="shared" si="24"/>
        <v>true</v>
      </c>
      <c r="AA48" s="16" t="str">
        <f t="shared" si="14"/>
        <v>gis/WindModifier_cl10.asc</v>
      </c>
      <c r="AB48" s="12" t="str">
        <f t="shared" si="15"/>
        <v>true</v>
      </c>
      <c r="AC48" s="12" t="str">
        <f t="shared" si="25"/>
        <v>true</v>
      </c>
      <c r="AD48" s="12" t="str">
        <f t="shared" si="16"/>
        <v>ICHEC-EC-EARTH_rcp_4_5_point32685</v>
      </c>
      <c r="AE48" s="12" t="str">
        <f t="shared" si="17"/>
        <v>true</v>
      </c>
      <c r="AF48" s="12" t="str">
        <f t="shared" si="19"/>
        <v>wind_Events/cl10_repl2.txt</v>
      </c>
      <c r="AG48" s="16" t="str">
        <f t="shared" si="18"/>
        <v>Cluster10_mediumStructure_RCP45_repl2</v>
      </c>
    </row>
    <row r="49" spans="1:33" ht="13.8">
      <c r="A49" s="7" t="str">
        <f t="shared" si="6"/>
        <v>Cluster10_mediumStructure_RCP85_repl2</v>
      </c>
      <c r="B49" s="8" t="s">
        <v>24</v>
      </c>
      <c r="C49" s="8" t="s">
        <v>32</v>
      </c>
      <c r="D49" s="8" t="s">
        <v>36</v>
      </c>
      <c r="E49" s="9" t="str">
        <f t="shared" si="20"/>
        <v>rcp_8_5</v>
      </c>
      <c r="F49" s="8">
        <v>1231</v>
      </c>
      <c r="G49" s="8" t="s">
        <v>18</v>
      </c>
      <c r="H49" s="8">
        <v>10</v>
      </c>
      <c r="I49" s="8">
        <v>2</v>
      </c>
      <c r="J49" s="8" t="s">
        <v>19</v>
      </c>
      <c r="K49" s="8" t="s">
        <v>41</v>
      </c>
      <c r="L49" s="10" t="s">
        <v>22</v>
      </c>
      <c r="M49" s="17">
        <v>150</v>
      </c>
      <c r="N49" s="10" t="str">
        <f t="shared" si="21"/>
        <v>Cluster10_mediumStructure_RCP85_repl2.sqlite</v>
      </c>
      <c r="O49" s="11">
        <v>1</v>
      </c>
      <c r="P49" s="11">
        <v>0</v>
      </c>
      <c r="Q49" s="12" t="str">
        <f t="shared" si="7"/>
        <v>climate_db_ICHEC-EC-EARTH_rcp_8_5_v4.sqlite</v>
      </c>
      <c r="R49" s="12" t="str">
        <f t="shared" si="22"/>
        <v>log/Cluster10_mediumStructure_RCP85_repl2.txt</v>
      </c>
      <c r="S49" s="16" t="str">
        <f t="shared" si="8"/>
        <v>init_JM/env_file_CLUSTER10_ICHEC-EC-EARTH_rcp_8_5_REPL2.csv</v>
      </c>
      <c r="T49" s="16" t="str">
        <f t="shared" si="9"/>
        <v>init_JM/env_grid_CLUSTER10_REPL2.asc</v>
      </c>
      <c r="U49" s="16" t="str">
        <f t="shared" si="10"/>
        <v>init_JM/env_grid_CLUSTER10_REPL2.asc</v>
      </c>
      <c r="V49" s="16" t="str">
        <f t="shared" si="11"/>
        <v>../init_JM/trees_cluster10_repl2.csv</v>
      </c>
      <c r="W49" s="16" t="str">
        <f t="shared" si="12"/>
        <v>../init_JM/saplings_cluster10_repl2.csv</v>
      </c>
      <c r="X49" s="12">
        <f t="shared" si="23"/>
        <v>1231</v>
      </c>
      <c r="Y49" s="16" t="str">
        <f t="shared" si="13"/>
        <v>abe/stand_files2/mediumStructure_cl10_repl2.csv</v>
      </c>
      <c r="Z49" s="12" t="str">
        <f t="shared" si="24"/>
        <v>true</v>
      </c>
      <c r="AA49" s="16" t="str">
        <f t="shared" si="14"/>
        <v>gis/WindModifier_cl10.asc</v>
      </c>
      <c r="AB49" s="12" t="str">
        <f t="shared" si="15"/>
        <v>true</v>
      </c>
      <c r="AC49" s="12" t="str">
        <f t="shared" si="25"/>
        <v>true</v>
      </c>
      <c r="AD49" s="12" t="str">
        <f t="shared" si="16"/>
        <v>ICHEC-EC-EARTH_rcp_8_5_point32685</v>
      </c>
      <c r="AE49" s="12" t="str">
        <f t="shared" si="17"/>
        <v>true</v>
      </c>
      <c r="AF49" s="12" t="str">
        <f t="shared" si="19"/>
        <v>wind_Events/cl10_repl2.txt</v>
      </c>
      <c r="AG49" s="16" t="str">
        <f t="shared" si="18"/>
        <v>Cluster10_mediumStructure_RCP85_repl2</v>
      </c>
    </row>
    <row r="50" spans="1:33" ht="13.8">
      <c r="A50" s="7" t="str">
        <f t="shared" si="6"/>
        <v>Cluster10_mediumStructure_historical_repl3</v>
      </c>
      <c r="B50" s="8" t="s">
        <v>24</v>
      </c>
      <c r="C50" s="8" t="s">
        <v>32</v>
      </c>
      <c r="D50" s="9" t="s">
        <v>17</v>
      </c>
      <c r="E50" s="9" t="str">
        <f t="shared" si="20"/>
        <v>historical</v>
      </c>
      <c r="F50" s="8">
        <v>350</v>
      </c>
      <c r="G50" s="8" t="s">
        <v>18</v>
      </c>
      <c r="H50" s="8">
        <v>10</v>
      </c>
      <c r="I50" s="8">
        <v>3</v>
      </c>
      <c r="J50" s="8" t="s">
        <v>19</v>
      </c>
      <c r="K50" s="8" t="s">
        <v>41</v>
      </c>
      <c r="L50" s="10" t="s">
        <v>21</v>
      </c>
      <c r="M50" s="17">
        <v>150</v>
      </c>
      <c r="N50" s="10" t="str">
        <f t="shared" si="21"/>
        <v>Cluster10_mediumStructure_historical_repl3.sqlite</v>
      </c>
      <c r="O50" s="11">
        <v>1</v>
      </c>
      <c r="P50" s="11">
        <v>0</v>
      </c>
      <c r="Q50" s="12" t="str">
        <f t="shared" si="7"/>
        <v>climate_db_ICHEC-EC-EARTH_historical_v4.sqlite</v>
      </c>
      <c r="R50" s="12" t="str">
        <f t="shared" si="22"/>
        <v>log/Cluster10_mediumStructure_historical_repl3.txt</v>
      </c>
      <c r="S50" s="16" t="str">
        <f t="shared" si="8"/>
        <v>init_JM/env_file_CLUSTER10_ICHEC-EC-EARTH_historical_REPL3.csv</v>
      </c>
      <c r="T50" s="16" t="str">
        <f t="shared" si="9"/>
        <v>init_JM/env_grid_CLUSTER10_REPL3.asc</v>
      </c>
      <c r="U50" s="16" t="str">
        <f t="shared" si="10"/>
        <v>init_JM/env_grid_CLUSTER10_REPL3.asc</v>
      </c>
      <c r="V50" s="16" t="str">
        <f t="shared" si="11"/>
        <v>../init_JM/trees_cluster10_repl3.csv</v>
      </c>
      <c r="W50" s="16" t="str">
        <f t="shared" si="12"/>
        <v>../init_JM/saplings_cluster10_repl3.csv</v>
      </c>
      <c r="X50" s="12">
        <f t="shared" si="23"/>
        <v>350</v>
      </c>
      <c r="Y50" s="16" t="str">
        <f t="shared" si="13"/>
        <v>abe/stand_files2/mediumStructure_cl10_repl3.csv</v>
      </c>
      <c r="Z50" s="12" t="str">
        <f t="shared" si="24"/>
        <v>true</v>
      </c>
      <c r="AA50" s="16" t="str">
        <f t="shared" si="14"/>
        <v>gis/WindModifier_cl10.asc</v>
      </c>
      <c r="AB50" s="12" t="str">
        <f t="shared" si="15"/>
        <v>true</v>
      </c>
      <c r="AC50" s="12" t="str">
        <f t="shared" si="25"/>
        <v>true</v>
      </c>
      <c r="AD50" s="12" t="str">
        <f t="shared" si="16"/>
        <v>ICHEC-EC-EARTH_historical_point32685</v>
      </c>
      <c r="AE50" s="12" t="str">
        <f t="shared" si="17"/>
        <v>true</v>
      </c>
      <c r="AF50" s="12" t="str">
        <f t="shared" si="19"/>
        <v>wind_Events/cl10_repl3.txt</v>
      </c>
      <c r="AG50" s="16" t="str">
        <f t="shared" si="18"/>
        <v>Cluster10_mediumStructure_historical_repl3</v>
      </c>
    </row>
    <row r="51" spans="1:33" ht="13.8">
      <c r="A51" s="7" t="str">
        <f t="shared" si="6"/>
        <v>Cluster10_mediumStructure_RCP26_repl3</v>
      </c>
      <c r="B51" s="8" t="s">
        <v>24</v>
      </c>
      <c r="C51" s="8" t="s">
        <v>32</v>
      </c>
      <c r="D51" s="8" t="s">
        <v>34</v>
      </c>
      <c r="E51" s="9" t="str">
        <f t="shared" si="20"/>
        <v>rcp_2_6</v>
      </c>
      <c r="F51" s="8">
        <v>427</v>
      </c>
      <c r="G51" s="8" t="s">
        <v>18</v>
      </c>
      <c r="H51" s="8">
        <v>10</v>
      </c>
      <c r="I51" s="8">
        <v>3</v>
      </c>
      <c r="J51" s="8" t="s">
        <v>19</v>
      </c>
      <c r="K51" s="8" t="s">
        <v>41</v>
      </c>
      <c r="L51" s="10" t="s">
        <v>22</v>
      </c>
      <c r="M51" s="17">
        <v>150</v>
      </c>
      <c r="N51" s="10" t="str">
        <f t="shared" si="21"/>
        <v>Cluster10_mediumStructure_RCP26_repl3.sqlite</v>
      </c>
      <c r="O51" s="11">
        <v>1</v>
      </c>
      <c r="P51" s="11">
        <v>0</v>
      </c>
      <c r="Q51" s="12" t="str">
        <f t="shared" si="7"/>
        <v>climate_db_ICHEC-EC-EARTH_rcp_2_6_v4.sqlite</v>
      </c>
      <c r="R51" s="12" t="str">
        <f t="shared" si="22"/>
        <v>log/Cluster10_mediumStructure_RCP26_repl3.txt</v>
      </c>
      <c r="S51" s="16" t="str">
        <f t="shared" si="8"/>
        <v>init_JM/env_file_CLUSTER10_ICHEC-EC-EARTH_rcp_2_6_REPL3.csv</v>
      </c>
      <c r="T51" s="16" t="str">
        <f t="shared" si="9"/>
        <v>init_JM/env_grid_CLUSTER10_REPL3.asc</v>
      </c>
      <c r="U51" s="16" t="str">
        <f t="shared" si="10"/>
        <v>init_JM/env_grid_CLUSTER10_REPL3.asc</v>
      </c>
      <c r="V51" s="16" t="str">
        <f t="shared" si="11"/>
        <v>../init_JM/trees_cluster10_repl3.csv</v>
      </c>
      <c r="W51" s="16" t="str">
        <f t="shared" si="12"/>
        <v>../init_JM/saplings_cluster10_repl3.csv</v>
      </c>
      <c r="X51" s="12">
        <f t="shared" si="23"/>
        <v>427</v>
      </c>
      <c r="Y51" s="16" t="str">
        <f t="shared" si="13"/>
        <v>abe/stand_files2/mediumStructure_cl10_repl3.csv</v>
      </c>
      <c r="Z51" s="12" t="str">
        <f t="shared" si="24"/>
        <v>true</v>
      </c>
      <c r="AA51" s="16" t="str">
        <f t="shared" si="14"/>
        <v>gis/WindModifier_cl10.asc</v>
      </c>
      <c r="AB51" s="12" t="str">
        <f t="shared" si="15"/>
        <v>true</v>
      </c>
      <c r="AC51" s="12" t="str">
        <f t="shared" si="25"/>
        <v>true</v>
      </c>
      <c r="AD51" s="12" t="str">
        <f t="shared" si="16"/>
        <v>ICHEC-EC-EARTH_rcp_2_6_point32685</v>
      </c>
      <c r="AE51" s="12" t="str">
        <f t="shared" si="17"/>
        <v>true</v>
      </c>
      <c r="AF51" s="12" t="str">
        <f t="shared" si="19"/>
        <v>wind_Events/cl10_repl3.txt</v>
      </c>
      <c r="AG51" s="16" t="str">
        <f t="shared" si="18"/>
        <v>Cluster10_mediumStructure_RCP26_repl3</v>
      </c>
    </row>
    <row r="52" spans="1:33" ht="13.8">
      <c r="A52" s="7" t="str">
        <f t="shared" si="6"/>
        <v>Cluster10_mediumStructure_RCP45_repl3</v>
      </c>
      <c r="B52" s="8" t="s">
        <v>24</v>
      </c>
      <c r="C52" s="8" t="s">
        <v>32</v>
      </c>
      <c r="D52" s="8" t="s">
        <v>35</v>
      </c>
      <c r="E52" s="9" t="str">
        <f t="shared" si="20"/>
        <v>rcp_4_5</v>
      </c>
      <c r="F52" s="8">
        <v>728</v>
      </c>
      <c r="G52" s="8" t="s">
        <v>18</v>
      </c>
      <c r="H52" s="8">
        <v>10</v>
      </c>
      <c r="I52" s="8">
        <v>3</v>
      </c>
      <c r="J52" s="8" t="s">
        <v>19</v>
      </c>
      <c r="K52" s="8" t="s">
        <v>41</v>
      </c>
      <c r="L52" s="10" t="s">
        <v>22</v>
      </c>
      <c r="M52" s="17">
        <v>150</v>
      </c>
      <c r="N52" s="10" t="str">
        <f t="shared" si="21"/>
        <v>Cluster10_mediumStructure_RCP45_repl3.sqlite</v>
      </c>
      <c r="O52" s="11">
        <v>1</v>
      </c>
      <c r="P52" s="11">
        <v>0</v>
      </c>
      <c r="Q52" s="12" t="str">
        <f t="shared" si="7"/>
        <v>climate_db_ICHEC-EC-EARTH_rcp_4_5_v4.sqlite</v>
      </c>
      <c r="R52" s="12" t="str">
        <f t="shared" si="22"/>
        <v>log/Cluster10_mediumStructure_RCP45_repl3.txt</v>
      </c>
      <c r="S52" s="16" t="str">
        <f t="shared" si="8"/>
        <v>init_JM/env_file_CLUSTER10_ICHEC-EC-EARTH_rcp_4_5_REPL3.csv</v>
      </c>
      <c r="T52" s="16" t="str">
        <f t="shared" si="9"/>
        <v>init_JM/env_grid_CLUSTER10_REPL3.asc</v>
      </c>
      <c r="U52" s="16" t="str">
        <f t="shared" si="10"/>
        <v>init_JM/env_grid_CLUSTER10_REPL3.asc</v>
      </c>
      <c r="V52" s="16" t="str">
        <f t="shared" si="11"/>
        <v>../init_JM/trees_cluster10_repl3.csv</v>
      </c>
      <c r="W52" s="16" t="str">
        <f t="shared" si="12"/>
        <v>../init_JM/saplings_cluster10_repl3.csv</v>
      </c>
      <c r="X52" s="12">
        <f t="shared" si="23"/>
        <v>728</v>
      </c>
      <c r="Y52" s="16" t="str">
        <f t="shared" si="13"/>
        <v>abe/stand_files2/mediumStructure_cl10_repl3.csv</v>
      </c>
      <c r="Z52" s="12" t="str">
        <f t="shared" si="24"/>
        <v>true</v>
      </c>
      <c r="AA52" s="16" t="str">
        <f t="shared" si="14"/>
        <v>gis/WindModifier_cl10.asc</v>
      </c>
      <c r="AB52" s="12" t="str">
        <f t="shared" si="15"/>
        <v>true</v>
      </c>
      <c r="AC52" s="12" t="str">
        <f t="shared" si="25"/>
        <v>true</v>
      </c>
      <c r="AD52" s="12" t="str">
        <f t="shared" si="16"/>
        <v>ICHEC-EC-EARTH_rcp_4_5_point32685</v>
      </c>
      <c r="AE52" s="12" t="str">
        <f t="shared" si="17"/>
        <v>true</v>
      </c>
      <c r="AF52" s="12" t="str">
        <f t="shared" si="19"/>
        <v>wind_Events/cl10_repl3.txt</v>
      </c>
      <c r="AG52" s="16" t="str">
        <f t="shared" si="18"/>
        <v>Cluster10_mediumStructure_RCP45_repl3</v>
      </c>
    </row>
    <row r="53" spans="1:33" ht="13.8">
      <c r="A53" s="7" t="str">
        <f t="shared" si="6"/>
        <v>Cluster10_mediumStructure_RCP85_repl3</v>
      </c>
      <c r="B53" s="8" t="s">
        <v>24</v>
      </c>
      <c r="C53" s="8" t="s">
        <v>32</v>
      </c>
      <c r="D53" s="8" t="s">
        <v>36</v>
      </c>
      <c r="E53" s="9" t="str">
        <f t="shared" si="20"/>
        <v>rcp_8_5</v>
      </c>
      <c r="F53" s="8">
        <v>1231</v>
      </c>
      <c r="G53" s="8" t="s">
        <v>18</v>
      </c>
      <c r="H53" s="8">
        <v>10</v>
      </c>
      <c r="I53" s="8">
        <v>3</v>
      </c>
      <c r="J53" s="8" t="s">
        <v>19</v>
      </c>
      <c r="K53" s="8" t="s">
        <v>41</v>
      </c>
      <c r="L53" s="10" t="s">
        <v>22</v>
      </c>
      <c r="M53" s="17">
        <v>150</v>
      </c>
      <c r="N53" s="10" t="str">
        <f t="shared" si="21"/>
        <v>Cluster10_mediumStructure_RCP85_repl3.sqlite</v>
      </c>
      <c r="O53" s="11">
        <v>1</v>
      </c>
      <c r="P53" s="11">
        <v>0</v>
      </c>
      <c r="Q53" s="12" t="str">
        <f t="shared" si="7"/>
        <v>climate_db_ICHEC-EC-EARTH_rcp_8_5_v4.sqlite</v>
      </c>
      <c r="R53" s="12" t="str">
        <f t="shared" si="22"/>
        <v>log/Cluster10_mediumStructure_RCP85_repl3.txt</v>
      </c>
      <c r="S53" s="16" t="str">
        <f t="shared" si="8"/>
        <v>init_JM/env_file_CLUSTER10_ICHEC-EC-EARTH_rcp_8_5_REPL3.csv</v>
      </c>
      <c r="T53" s="16" t="str">
        <f t="shared" si="9"/>
        <v>init_JM/env_grid_CLUSTER10_REPL3.asc</v>
      </c>
      <c r="U53" s="16" t="str">
        <f t="shared" si="10"/>
        <v>init_JM/env_grid_CLUSTER10_REPL3.asc</v>
      </c>
      <c r="V53" s="16" t="str">
        <f t="shared" si="11"/>
        <v>../init_JM/trees_cluster10_repl3.csv</v>
      </c>
      <c r="W53" s="16" t="str">
        <f t="shared" si="12"/>
        <v>../init_JM/saplings_cluster10_repl3.csv</v>
      </c>
      <c r="X53" s="12">
        <f t="shared" si="23"/>
        <v>1231</v>
      </c>
      <c r="Y53" s="16" t="str">
        <f t="shared" si="13"/>
        <v>abe/stand_files2/mediumStructure_cl10_repl3.csv</v>
      </c>
      <c r="Z53" s="12" t="str">
        <f t="shared" si="24"/>
        <v>true</v>
      </c>
      <c r="AA53" s="16" t="str">
        <f t="shared" si="14"/>
        <v>gis/WindModifier_cl10.asc</v>
      </c>
      <c r="AB53" s="12" t="str">
        <f t="shared" si="15"/>
        <v>true</v>
      </c>
      <c r="AC53" s="12" t="str">
        <f t="shared" si="25"/>
        <v>true</v>
      </c>
      <c r="AD53" s="12" t="str">
        <f t="shared" si="16"/>
        <v>ICHEC-EC-EARTH_rcp_8_5_point32685</v>
      </c>
      <c r="AE53" s="12" t="str">
        <f t="shared" si="17"/>
        <v>true</v>
      </c>
      <c r="AF53" s="12" t="str">
        <f t="shared" si="19"/>
        <v>wind_Events/cl10_repl3.txt</v>
      </c>
      <c r="AG53" s="16" t="str">
        <f t="shared" si="18"/>
        <v>Cluster10_mediumStructure_RCP85_repl3</v>
      </c>
    </row>
    <row r="54" spans="1:33" ht="13.8">
      <c r="A54" s="7" t="str">
        <f t="shared" si="6"/>
        <v>Cluster10_mediumStructure_historical_repl4</v>
      </c>
      <c r="B54" s="8" t="s">
        <v>24</v>
      </c>
      <c r="C54" s="8" t="s">
        <v>32</v>
      </c>
      <c r="D54" s="9" t="s">
        <v>17</v>
      </c>
      <c r="E54" s="9" t="str">
        <f t="shared" si="20"/>
        <v>historical</v>
      </c>
      <c r="F54" s="8">
        <v>350</v>
      </c>
      <c r="G54" s="8" t="s">
        <v>18</v>
      </c>
      <c r="H54" s="8">
        <v>10</v>
      </c>
      <c r="I54" s="8">
        <v>4</v>
      </c>
      <c r="J54" s="8" t="s">
        <v>19</v>
      </c>
      <c r="K54" s="8" t="s">
        <v>41</v>
      </c>
      <c r="L54" s="10" t="s">
        <v>21</v>
      </c>
      <c r="M54" s="17">
        <v>150</v>
      </c>
      <c r="N54" s="10" t="str">
        <f t="shared" si="21"/>
        <v>Cluster10_mediumStructure_historical_repl4.sqlite</v>
      </c>
      <c r="O54" s="11">
        <v>1</v>
      </c>
      <c r="P54" s="11">
        <v>0</v>
      </c>
      <c r="Q54" s="12" t="str">
        <f t="shared" si="7"/>
        <v>climate_db_ICHEC-EC-EARTH_historical_v4.sqlite</v>
      </c>
      <c r="R54" s="12" t="str">
        <f t="shared" si="22"/>
        <v>log/Cluster10_mediumStructure_historical_repl4.txt</v>
      </c>
      <c r="S54" s="16" t="str">
        <f t="shared" si="8"/>
        <v>init_JM/env_file_CLUSTER10_ICHEC-EC-EARTH_historical_REPL4.csv</v>
      </c>
      <c r="T54" s="16" t="str">
        <f t="shared" si="9"/>
        <v>init_JM/env_grid_CLUSTER10_REPL4.asc</v>
      </c>
      <c r="U54" s="16" t="str">
        <f t="shared" si="10"/>
        <v>init_JM/env_grid_CLUSTER10_REPL4.asc</v>
      </c>
      <c r="V54" s="16" t="str">
        <f t="shared" si="11"/>
        <v>../init_JM/trees_cluster10_repl4.csv</v>
      </c>
      <c r="W54" s="16" t="str">
        <f t="shared" si="12"/>
        <v>../init_JM/saplings_cluster10_repl4.csv</v>
      </c>
      <c r="X54" s="12">
        <f t="shared" si="23"/>
        <v>350</v>
      </c>
      <c r="Y54" s="16" t="str">
        <f t="shared" si="13"/>
        <v>abe/stand_files2/mediumStructure_cl10_repl4.csv</v>
      </c>
      <c r="Z54" s="12" t="str">
        <f t="shared" si="24"/>
        <v>true</v>
      </c>
      <c r="AA54" s="16" t="str">
        <f t="shared" si="14"/>
        <v>gis/WindModifier_cl10.asc</v>
      </c>
      <c r="AB54" s="12" t="str">
        <f t="shared" si="15"/>
        <v>true</v>
      </c>
      <c r="AC54" s="12" t="str">
        <f t="shared" si="25"/>
        <v>true</v>
      </c>
      <c r="AD54" s="12" t="str">
        <f t="shared" si="16"/>
        <v>ICHEC-EC-EARTH_historical_point32685</v>
      </c>
      <c r="AE54" s="12" t="str">
        <f t="shared" si="17"/>
        <v>true</v>
      </c>
      <c r="AF54" s="12" t="str">
        <f t="shared" si="19"/>
        <v>wind_Events/cl10_repl4.txt</v>
      </c>
      <c r="AG54" s="16" t="str">
        <f t="shared" si="18"/>
        <v>Cluster10_mediumStructure_historical_repl4</v>
      </c>
    </row>
    <row r="55" spans="1:33" ht="13.8">
      <c r="A55" s="7" t="str">
        <f t="shared" si="6"/>
        <v>Cluster10_mediumStructure_RCP26_repl4</v>
      </c>
      <c r="B55" s="8" t="s">
        <v>24</v>
      </c>
      <c r="C55" s="8" t="s">
        <v>32</v>
      </c>
      <c r="D55" s="8" t="s">
        <v>34</v>
      </c>
      <c r="E55" s="9" t="str">
        <f t="shared" si="20"/>
        <v>rcp_2_6</v>
      </c>
      <c r="F55" s="8">
        <v>427</v>
      </c>
      <c r="G55" s="8" t="s">
        <v>18</v>
      </c>
      <c r="H55" s="8">
        <v>10</v>
      </c>
      <c r="I55" s="8">
        <v>4</v>
      </c>
      <c r="J55" s="8" t="s">
        <v>19</v>
      </c>
      <c r="K55" s="8" t="s">
        <v>41</v>
      </c>
      <c r="L55" s="10" t="s">
        <v>22</v>
      </c>
      <c r="M55" s="17">
        <v>150</v>
      </c>
      <c r="N55" s="10" t="str">
        <f t="shared" si="21"/>
        <v>Cluster10_mediumStructure_RCP26_repl4.sqlite</v>
      </c>
      <c r="O55" s="11">
        <v>1</v>
      </c>
      <c r="P55" s="11">
        <v>0</v>
      </c>
      <c r="Q55" s="12" t="str">
        <f t="shared" si="7"/>
        <v>climate_db_ICHEC-EC-EARTH_rcp_2_6_v4.sqlite</v>
      </c>
      <c r="R55" s="12" t="str">
        <f t="shared" si="22"/>
        <v>log/Cluster10_mediumStructure_RCP26_repl4.txt</v>
      </c>
      <c r="S55" s="16" t="str">
        <f t="shared" si="8"/>
        <v>init_JM/env_file_CLUSTER10_ICHEC-EC-EARTH_rcp_2_6_REPL4.csv</v>
      </c>
      <c r="T55" s="16" t="str">
        <f t="shared" si="9"/>
        <v>init_JM/env_grid_CLUSTER10_REPL4.asc</v>
      </c>
      <c r="U55" s="16" t="str">
        <f t="shared" si="10"/>
        <v>init_JM/env_grid_CLUSTER10_REPL4.asc</v>
      </c>
      <c r="V55" s="16" t="str">
        <f t="shared" si="11"/>
        <v>../init_JM/trees_cluster10_repl4.csv</v>
      </c>
      <c r="W55" s="16" t="str">
        <f t="shared" si="12"/>
        <v>../init_JM/saplings_cluster10_repl4.csv</v>
      </c>
      <c r="X55" s="12">
        <f t="shared" si="23"/>
        <v>427</v>
      </c>
      <c r="Y55" s="16" t="str">
        <f t="shared" si="13"/>
        <v>abe/stand_files2/mediumStructure_cl10_repl4.csv</v>
      </c>
      <c r="Z55" s="12" t="str">
        <f t="shared" si="24"/>
        <v>true</v>
      </c>
      <c r="AA55" s="16" t="str">
        <f t="shared" si="14"/>
        <v>gis/WindModifier_cl10.asc</v>
      </c>
      <c r="AB55" s="12" t="str">
        <f t="shared" si="15"/>
        <v>true</v>
      </c>
      <c r="AC55" s="12" t="str">
        <f t="shared" si="25"/>
        <v>true</v>
      </c>
      <c r="AD55" s="12" t="str">
        <f t="shared" si="16"/>
        <v>ICHEC-EC-EARTH_rcp_2_6_point32685</v>
      </c>
      <c r="AE55" s="12" t="str">
        <f t="shared" si="17"/>
        <v>true</v>
      </c>
      <c r="AF55" s="12" t="str">
        <f t="shared" si="19"/>
        <v>wind_Events/cl10_repl4.txt</v>
      </c>
      <c r="AG55" s="16" t="str">
        <f t="shared" si="18"/>
        <v>Cluster10_mediumStructure_RCP26_repl4</v>
      </c>
    </row>
    <row r="56" spans="1:33" ht="13.8">
      <c r="A56" s="7" t="str">
        <f t="shared" si="6"/>
        <v>Cluster10_mediumStructure_RCP45_repl4</v>
      </c>
      <c r="B56" s="8" t="s">
        <v>24</v>
      </c>
      <c r="C56" s="8" t="s">
        <v>32</v>
      </c>
      <c r="D56" s="8" t="s">
        <v>35</v>
      </c>
      <c r="E56" s="9" t="str">
        <f t="shared" si="20"/>
        <v>rcp_4_5</v>
      </c>
      <c r="F56" s="8">
        <v>728</v>
      </c>
      <c r="G56" s="8" t="s">
        <v>18</v>
      </c>
      <c r="H56" s="8">
        <v>10</v>
      </c>
      <c r="I56" s="8">
        <v>4</v>
      </c>
      <c r="J56" s="8" t="s">
        <v>19</v>
      </c>
      <c r="K56" s="8" t="s">
        <v>41</v>
      </c>
      <c r="L56" s="10" t="s">
        <v>22</v>
      </c>
      <c r="M56" s="17">
        <v>150</v>
      </c>
      <c r="N56" s="10" t="str">
        <f t="shared" si="21"/>
        <v>Cluster10_mediumStructure_RCP45_repl4.sqlite</v>
      </c>
      <c r="O56" s="11">
        <v>1</v>
      </c>
      <c r="P56" s="11">
        <v>0</v>
      </c>
      <c r="Q56" s="12" t="str">
        <f t="shared" si="7"/>
        <v>climate_db_ICHEC-EC-EARTH_rcp_4_5_v4.sqlite</v>
      </c>
      <c r="R56" s="12" t="str">
        <f t="shared" si="22"/>
        <v>log/Cluster10_mediumStructure_RCP45_repl4.txt</v>
      </c>
      <c r="S56" s="16" t="str">
        <f t="shared" si="8"/>
        <v>init_JM/env_file_CLUSTER10_ICHEC-EC-EARTH_rcp_4_5_REPL4.csv</v>
      </c>
      <c r="T56" s="16" t="str">
        <f t="shared" si="9"/>
        <v>init_JM/env_grid_CLUSTER10_REPL4.asc</v>
      </c>
      <c r="U56" s="16" t="str">
        <f t="shared" si="10"/>
        <v>init_JM/env_grid_CLUSTER10_REPL4.asc</v>
      </c>
      <c r="V56" s="16" t="str">
        <f t="shared" si="11"/>
        <v>../init_JM/trees_cluster10_repl4.csv</v>
      </c>
      <c r="W56" s="16" t="str">
        <f t="shared" si="12"/>
        <v>../init_JM/saplings_cluster10_repl4.csv</v>
      </c>
      <c r="X56" s="12">
        <f t="shared" si="23"/>
        <v>728</v>
      </c>
      <c r="Y56" s="16" t="str">
        <f t="shared" si="13"/>
        <v>abe/stand_files2/mediumStructure_cl10_repl4.csv</v>
      </c>
      <c r="Z56" s="12" t="str">
        <f t="shared" si="24"/>
        <v>true</v>
      </c>
      <c r="AA56" s="16" t="str">
        <f t="shared" si="14"/>
        <v>gis/WindModifier_cl10.asc</v>
      </c>
      <c r="AB56" s="12" t="str">
        <f t="shared" si="15"/>
        <v>true</v>
      </c>
      <c r="AC56" s="12" t="str">
        <f t="shared" si="25"/>
        <v>true</v>
      </c>
      <c r="AD56" s="12" t="str">
        <f t="shared" si="16"/>
        <v>ICHEC-EC-EARTH_rcp_4_5_point32685</v>
      </c>
      <c r="AE56" s="12" t="str">
        <f t="shared" si="17"/>
        <v>true</v>
      </c>
      <c r="AF56" s="12" t="str">
        <f t="shared" si="19"/>
        <v>wind_Events/cl10_repl4.txt</v>
      </c>
      <c r="AG56" s="16" t="str">
        <f t="shared" si="18"/>
        <v>Cluster10_mediumStructure_RCP45_repl4</v>
      </c>
    </row>
    <row r="57" spans="1:33" ht="13.8">
      <c r="A57" s="7" t="str">
        <f t="shared" si="6"/>
        <v>Cluster10_mediumStructure_RCP85_repl4</v>
      </c>
      <c r="B57" s="8" t="s">
        <v>24</v>
      </c>
      <c r="C57" s="8" t="s">
        <v>32</v>
      </c>
      <c r="D57" s="8" t="s">
        <v>36</v>
      </c>
      <c r="E57" s="9" t="str">
        <f t="shared" si="20"/>
        <v>rcp_8_5</v>
      </c>
      <c r="F57" s="8">
        <v>1231</v>
      </c>
      <c r="G57" s="8" t="s">
        <v>18</v>
      </c>
      <c r="H57" s="8">
        <v>10</v>
      </c>
      <c r="I57" s="8">
        <v>4</v>
      </c>
      <c r="J57" s="8" t="s">
        <v>19</v>
      </c>
      <c r="K57" s="8" t="s">
        <v>41</v>
      </c>
      <c r="L57" s="10" t="s">
        <v>22</v>
      </c>
      <c r="M57" s="17">
        <v>150</v>
      </c>
      <c r="N57" s="10" t="str">
        <f t="shared" si="21"/>
        <v>Cluster10_mediumStructure_RCP85_repl4.sqlite</v>
      </c>
      <c r="O57" s="11">
        <v>1</v>
      </c>
      <c r="P57" s="11">
        <v>0</v>
      </c>
      <c r="Q57" s="12" t="str">
        <f t="shared" si="7"/>
        <v>climate_db_ICHEC-EC-EARTH_rcp_8_5_v4.sqlite</v>
      </c>
      <c r="R57" s="12" t="str">
        <f t="shared" si="22"/>
        <v>log/Cluster10_mediumStructure_RCP85_repl4.txt</v>
      </c>
      <c r="S57" s="16" t="str">
        <f t="shared" si="8"/>
        <v>init_JM/env_file_CLUSTER10_ICHEC-EC-EARTH_rcp_8_5_REPL4.csv</v>
      </c>
      <c r="T57" s="16" t="str">
        <f t="shared" si="9"/>
        <v>init_JM/env_grid_CLUSTER10_REPL4.asc</v>
      </c>
      <c r="U57" s="16" t="str">
        <f t="shared" si="10"/>
        <v>init_JM/env_grid_CLUSTER10_REPL4.asc</v>
      </c>
      <c r="V57" s="16" t="str">
        <f t="shared" si="11"/>
        <v>../init_JM/trees_cluster10_repl4.csv</v>
      </c>
      <c r="W57" s="16" t="str">
        <f t="shared" si="12"/>
        <v>../init_JM/saplings_cluster10_repl4.csv</v>
      </c>
      <c r="X57" s="12">
        <f t="shared" si="23"/>
        <v>1231</v>
      </c>
      <c r="Y57" s="16" t="str">
        <f t="shared" si="13"/>
        <v>abe/stand_files2/mediumStructure_cl10_repl4.csv</v>
      </c>
      <c r="Z57" s="12" t="str">
        <f t="shared" si="24"/>
        <v>true</v>
      </c>
      <c r="AA57" s="16" t="str">
        <f t="shared" si="14"/>
        <v>gis/WindModifier_cl10.asc</v>
      </c>
      <c r="AB57" s="12" t="str">
        <f t="shared" si="15"/>
        <v>true</v>
      </c>
      <c r="AC57" s="12" t="str">
        <f t="shared" si="25"/>
        <v>true</v>
      </c>
      <c r="AD57" s="12" t="str">
        <f t="shared" si="16"/>
        <v>ICHEC-EC-EARTH_rcp_8_5_point32685</v>
      </c>
      <c r="AE57" s="12" t="str">
        <f t="shared" si="17"/>
        <v>true</v>
      </c>
      <c r="AF57" s="12" t="str">
        <f t="shared" si="19"/>
        <v>wind_Events/cl10_repl4.txt</v>
      </c>
      <c r="AG57" s="16" t="str">
        <f t="shared" si="18"/>
        <v>Cluster10_mediumStructure_RCP85_repl4</v>
      </c>
    </row>
    <row r="58" spans="1:33" ht="13.8">
      <c r="A58" s="7" t="str">
        <f t="shared" si="6"/>
        <v>Cluster10_mediumStructure_historical_repl5</v>
      </c>
      <c r="B58" s="8" t="s">
        <v>24</v>
      </c>
      <c r="C58" s="8" t="s">
        <v>32</v>
      </c>
      <c r="D58" s="9" t="s">
        <v>17</v>
      </c>
      <c r="E58" s="9" t="str">
        <f t="shared" si="20"/>
        <v>historical</v>
      </c>
      <c r="F58" s="8">
        <v>350</v>
      </c>
      <c r="G58" s="8" t="s">
        <v>18</v>
      </c>
      <c r="H58" s="8">
        <v>10</v>
      </c>
      <c r="I58" s="8">
        <v>5</v>
      </c>
      <c r="J58" s="8" t="s">
        <v>19</v>
      </c>
      <c r="K58" s="8" t="s">
        <v>41</v>
      </c>
      <c r="L58" s="10" t="s">
        <v>21</v>
      </c>
      <c r="M58" s="17">
        <v>150</v>
      </c>
      <c r="N58" s="10" t="str">
        <f t="shared" si="21"/>
        <v>Cluster10_mediumStructure_historical_repl5.sqlite</v>
      </c>
      <c r="O58" s="11">
        <v>1</v>
      </c>
      <c r="P58" s="11">
        <v>0</v>
      </c>
      <c r="Q58" s="12" t="str">
        <f t="shared" si="7"/>
        <v>climate_db_ICHEC-EC-EARTH_historical_v4.sqlite</v>
      </c>
      <c r="R58" s="12" t="str">
        <f t="shared" si="22"/>
        <v>log/Cluster10_mediumStructure_historical_repl5.txt</v>
      </c>
      <c r="S58" s="16" t="str">
        <f t="shared" si="8"/>
        <v>init_JM/env_file_CLUSTER10_ICHEC-EC-EARTH_historical_REPL5.csv</v>
      </c>
      <c r="T58" s="16" t="str">
        <f t="shared" si="9"/>
        <v>init_JM/env_grid_CLUSTER10_REPL5.asc</v>
      </c>
      <c r="U58" s="16" t="str">
        <f t="shared" si="10"/>
        <v>init_JM/env_grid_CLUSTER10_REPL5.asc</v>
      </c>
      <c r="V58" s="16" t="str">
        <f t="shared" si="11"/>
        <v>../init_JM/trees_cluster10_repl5.csv</v>
      </c>
      <c r="W58" s="16" t="str">
        <f t="shared" si="12"/>
        <v>../init_JM/saplings_cluster10_repl5.csv</v>
      </c>
      <c r="X58" s="12">
        <f t="shared" si="23"/>
        <v>350</v>
      </c>
      <c r="Y58" s="16" t="str">
        <f t="shared" si="13"/>
        <v>abe/stand_files2/mediumStructure_cl10_repl5.csv</v>
      </c>
      <c r="Z58" s="12" t="str">
        <f t="shared" si="24"/>
        <v>true</v>
      </c>
      <c r="AA58" s="16" t="str">
        <f t="shared" si="14"/>
        <v>gis/WindModifier_cl10.asc</v>
      </c>
      <c r="AB58" s="12" t="str">
        <f t="shared" si="15"/>
        <v>true</v>
      </c>
      <c r="AC58" s="12" t="str">
        <f t="shared" si="25"/>
        <v>true</v>
      </c>
      <c r="AD58" s="12" t="str">
        <f t="shared" si="16"/>
        <v>ICHEC-EC-EARTH_historical_point32685</v>
      </c>
      <c r="AE58" s="12" t="str">
        <f t="shared" si="17"/>
        <v>true</v>
      </c>
      <c r="AF58" s="12" t="str">
        <f t="shared" si="19"/>
        <v>wind_Events/cl10_repl5.txt</v>
      </c>
      <c r="AG58" s="16" t="str">
        <f t="shared" si="18"/>
        <v>Cluster10_mediumStructure_historical_repl5</v>
      </c>
    </row>
    <row r="59" spans="1:33" ht="13.8">
      <c r="A59" s="7" t="str">
        <f t="shared" si="6"/>
        <v>Cluster10_mediumStructure_RCP26_repl5</v>
      </c>
      <c r="B59" s="8" t="s">
        <v>24</v>
      </c>
      <c r="C59" s="8" t="s">
        <v>32</v>
      </c>
      <c r="D59" s="8" t="s">
        <v>34</v>
      </c>
      <c r="E59" s="9" t="str">
        <f t="shared" si="20"/>
        <v>rcp_2_6</v>
      </c>
      <c r="F59" s="8">
        <v>427</v>
      </c>
      <c r="G59" s="8" t="s">
        <v>18</v>
      </c>
      <c r="H59" s="8">
        <v>10</v>
      </c>
      <c r="I59" s="8">
        <v>5</v>
      </c>
      <c r="J59" s="8" t="s">
        <v>19</v>
      </c>
      <c r="K59" s="8" t="s">
        <v>41</v>
      </c>
      <c r="L59" s="10" t="s">
        <v>22</v>
      </c>
      <c r="M59" s="17">
        <v>150</v>
      </c>
      <c r="N59" s="10" t="str">
        <f t="shared" si="21"/>
        <v>Cluster10_mediumStructure_RCP26_repl5.sqlite</v>
      </c>
      <c r="O59" s="11">
        <v>1</v>
      </c>
      <c r="P59" s="11">
        <v>0</v>
      </c>
      <c r="Q59" s="12" t="str">
        <f t="shared" si="7"/>
        <v>climate_db_ICHEC-EC-EARTH_rcp_2_6_v4.sqlite</v>
      </c>
      <c r="R59" s="12" t="str">
        <f t="shared" si="22"/>
        <v>log/Cluster10_mediumStructure_RCP26_repl5.txt</v>
      </c>
      <c r="S59" s="16" t="str">
        <f t="shared" si="8"/>
        <v>init_JM/env_file_CLUSTER10_ICHEC-EC-EARTH_rcp_2_6_REPL5.csv</v>
      </c>
      <c r="T59" s="16" t="str">
        <f t="shared" si="9"/>
        <v>init_JM/env_grid_CLUSTER10_REPL5.asc</v>
      </c>
      <c r="U59" s="16" t="str">
        <f t="shared" si="10"/>
        <v>init_JM/env_grid_CLUSTER10_REPL5.asc</v>
      </c>
      <c r="V59" s="16" t="str">
        <f t="shared" si="11"/>
        <v>../init_JM/trees_cluster10_repl5.csv</v>
      </c>
      <c r="W59" s="16" t="str">
        <f t="shared" si="12"/>
        <v>../init_JM/saplings_cluster10_repl5.csv</v>
      </c>
      <c r="X59" s="12">
        <f t="shared" si="23"/>
        <v>427</v>
      </c>
      <c r="Y59" s="16" t="str">
        <f t="shared" si="13"/>
        <v>abe/stand_files2/mediumStructure_cl10_repl5.csv</v>
      </c>
      <c r="Z59" s="12" t="str">
        <f t="shared" si="24"/>
        <v>true</v>
      </c>
      <c r="AA59" s="16" t="str">
        <f t="shared" si="14"/>
        <v>gis/WindModifier_cl10.asc</v>
      </c>
      <c r="AB59" s="12" t="str">
        <f t="shared" si="15"/>
        <v>true</v>
      </c>
      <c r="AC59" s="12" t="str">
        <f t="shared" si="25"/>
        <v>true</v>
      </c>
      <c r="AD59" s="12" t="str">
        <f t="shared" si="16"/>
        <v>ICHEC-EC-EARTH_rcp_2_6_point32685</v>
      </c>
      <c r="AE59" s="12" t="str">
        <f t="shared" si="17"/>
        <v>true</v>
      </c>
      <c r="AF59" s="12" t="str">
        <f t="shared" si="19"/>
        <v>wind_Events/cl10_repl5.txt</v>
      </c>
      <c r="AG59" s="16" t="str">
        <f t="shared" si="18"/>
        <v>Cluster10_mediumStructure_RCP26_repl5</v>
      </c>
    </row>
    <row r="60" spans="1:33" ht="13.8">
      <c r="A60" s="7" t="str">
        <f t="shared" si="6"/>
        <v>Cluster10_mediumStructure_RCP45_repl5</v>
      </c>
      <c r="B60" s="8" t="s">
        <v>24</v>
      </c>
      <c r="C60" s="8" t="s">
        <v>32</v>
      </c>
      <c r="D60" s="8" t="s">
        <v>35</v>
      </c>
      <c r="E60" s="9" t="str">
        <f t="shared" si="20"/>
        <v>rcp_4_5</v>
      </c>
      <c r="F60" s="8">
        <v>728</v>
      </c>
      <c r="G60" s="8" t="s">
        <v>18</v>
      </c>
      <c r="H60" s="8">
        <v>10</v>
      </c>
      <c r="I60" s="8">
        <v>5</v>
      </c>
      <c r="J60" s="8" t="s">
        <v>19</v>
      </c>
      <c r="K60" s="8" t="s">
        <v>41</v>
      </c>
      <c r="L60" s="10" t="s">
        <v>22</v>
      </c>
      <c r="M60" s="17">
        <v>150</v>
      </c>
      <c r="N60" s="10" t="str">
        <f t="shared" si="21"/>
        <v>Cluster10_mediumStructure_RCP45_repl5.sqlite</v>
      </c>
      <c r="O60" s="11">
        <v>1</v>
      </c>
      <c r="P60" s="11">
        <v>0</v>
      </c>
      <c r="Q60" s="12" t="str">
        <f t="shared" si="7"/>
        <v>climate_db_ICHEC-EC-EARTH_rcp_4_5_v4.sqlite</v>
      </c>
      <c r="R60" s="12" t="str">
        <f t="shared" si="22"/>
        <v>log/Cluster10_mediumStructure_RCP45_repl5.txt</v>
      </c>
      <c r="S60" s="16" t="str">
        <f t="shared" si="8"/>
        <v>init_JM/env_file_CLUSTER10_ICHEC-EC-EARTH_rcp_4_5_REPL5.csv</v>
      </c>
      <c r="T60" s="16" t="str">
        <f t="shared" si="9"/>
        <v>init_JM/env_grid_CLUSTER10_REPL5.asc</v>
      </c>
      <c r="U60" s="16" t="str">
        <f t="shared" si="10"/>
        <v>init_JM/env_grid_CLUSTER10_REPL5.asc</v>
      </c>
      <c r="V60" s="16" t="str">
        <f t="shared" si="11"/>
        <v>../init_JM/trees_cluster10_repl5.csv</v>
      </c>
      <c r="W60" s="16" t="str">
        <f t="shared" si="12"/>
        <v>../init_JM/saplings_cluster10_repl5.csv</v>
      </c>
      <c r="X60" s="12">
        <f t="shared" si="23"/>
        <v>728</v>
      </c>
      <c r="Y60" s="16" t="str">
        <f t="shared" si="13"/>
        <v>abe/stand_files2/mediumStructure_cl10_repl5.csv</v>
      </c>
      <c r="Z60" s="12" t="str">
        <f t="shared" si="24"/>
        <v>true</v>
      </c>
      <c r="AA60" s="16" t="str">
        <f t="shared" si="14"/>
        <v>gis/WindModifier_cl10.asc</v>
      </c>
      <c r="AB60" s="12" t="str">
        <f t="shared" si="15"/>
        <v>true</v>
      </c>
      <c r="AC60" s="12" t="str">
        <f t="shared" si="25"/>
        <v>true</v>
      </c>
      <c r="AD60" s="12" t="str">
        <f t="shared" si="16"/>
        <v>ICHEC-EC-EARTH_rcp_4_5_point32685</v>
      </c>
      <c r="AE60" s="12" t="str">
        <f t="shared" si="17"/>
        <v>true</v>
      </c>
      <c r="AF60" s="12" t="str">
        <f t="shared" si="19"/>
        <v>wind_Events/cl10_repl5.txt</v>
      </c>
      <c r="AG60" s="16" t="str">
        <f t="shared" si="18"/>
        <v>Cluster10_mediumStructure_RCP45_repl5</v>
      </c>
    </row>
    <row r="61" spans="1:33" ht="13.8">
      <c r="A61" s="7" t="str">
        <f t="shared" si="6"/>
        <v>Cluster10_mediumStructure_RCP85_repl5</v>
      </c>
      <c r="B61" s="8" t="s">
        <v>24</v>
      </c>
      <c r="C61" s="8" t="s">
        <v>32</v>
      </c>
      <c r="D61" s="8" t="s">
        <v>36</v>
      </c>
      <c r="E61" s="9" t="str">
        <f t="shared" si="20"/>
        <v>rcp_8_5</v>
      </c>
      <c r="F61" s="8">
        <v>1231</v>
      </c>
      <c r="G61" s="8" t="s">
        <v>18</v>
      </c>
      <c r="H61" s="8">
        <v>10</v>
      </c>
      <c r="I61" s="8">
        <v>5</v>
      </c>
      <c r="J61" s="8" t="s">
        <v>19</v>
      </c>
      <c r="K61" s="8" t="s">
        <v>41</v>
      </c>
      <c r="L61" s="10" t="s">
        <v>22</v>
      </c>
      <c r="M61" s="17">
        <v>150</v>
      </c>
      <c r="N61" s="10" t="str">
        <f t="shared" si="21"/>
        <v>Cluster10_mediumStructure_RCP85_repl5.sqlite</v>
      </c>
      <c r="O61" s="11">
        <v>1</v>
      </c>
      <c r="P61" s="11">
        <v>0</v>
      </c>
      <c r="Q61" s="12" t="str">
        <f t="shared" si="7"/>
        <v>climate_db_ICHEC-EC-EARTH_rcp_8_5_v4.sqlite</v>
      </c>
      <c r="R61" s="12" t="str">
        <f t="shared" si="22"/>
        <v>log/Cluster10_mediumStructure_RCP85_repl5.txt</v>
      </c>
      <c r="S61" s="16" t="str">
        <f t="shared" si="8"/>
        <v>init_JM/env_file_CLUSTER10_ICHEC-EC-EARTH_rcp_8_5_REPL5.csv</v>
      </c>
      <c r="T61" s="16" t="str">
        <f t="shared" si="9"/>
        <v>init_JM/env_grid_CLUSTER10_REPL5.asc</v>
      </c>
      <c r="U61" s="16" t="str">
        <f t="shared" si="10"/>
        <v>init_JM/env_grid_CLUSTER10_REPL5.asc</v>
      </c>
      <c r="V61" s="16" t="str">
        <f t="shared" si="11"/>
        <v>../init_JM/trees_cluster10_repl5.csv</v>
      </c>
      <c r="W61" s="16" t="str">
        <f t="shared" si="12"/>
        <v>../init_JM/saplings_cluster10_repl5.csv</v>
      </c>
      <c r="X61" s="12">
        <f t="shared" si="23"/>
        <v>1231</v>
      </c>
      <c r="Y61" s="16" t="str">
        <f t="shared" si="13"/>
        <v>abe/stand_files2/mediumStructure_cl10_repl5.csv</v>
      </c>
      <c r="Z61" s="12" t="str">
        <f t="shared" si="24"/>
        <v>true</v>
      </c>
      <c r="AA61" s="16" t="str">
        <f t="shared" si="14"/>
        <v>gis/WindModifier_cl10.asc</v>
      </c>
      <c r="AB61" s="12" t="str">
        <f t="shared" si="15"/>
        <v>true</v>
      </c>
      <c r="AC61" s="12" t="str">
        <f t="shared" si="25"/>
        <v>true</v>
      </c>
      <c r="AD61" s="12" t="str">
        <f t="shared" si="16"/>
        <v>ICHEC-EC-EARTH_rcp_8_5_point32685</v>
      </c>
      <c r="AE61" s="12" t="str">
        <f t="shared" si="17"/>
        <v>true</v>
      </c>
      <c r="AF61" s="12" t="str">
        <f t="shared" si="19"/>
        <v>wind_Events/cl10_repl5.txt</v>
      </c>
      <c r="AG61" s="16" t="str">
        <f t="shared" si="18"/>
        <v>Cluster10_mediumStructure_RCP85_repl5</v>
      </c>
    </row>
    <row r="62" spans="1:33" ht="13.8">
      <c r="A62" s="7" t="str">
        <f t="shared" si="6"/>
        <v>Cluster10_noMgmt_historical_repl1</v>
      </c>
      <c r="B62" s="8" t="s">
        <v>16</v>
      </c>
      <c r="C62" s="8" t="s">
        <v>32</v>
      </c>
      <c r="D62" s="9" t="s">
        <v>17</v>
      </c>
      <c r="E62" s="9" t="str">
        <f t="shared" si="20"/>
        <v>historical</v>
      </c>
      <c r="F62" s="8">
        <v>350</v>
      </c>
      <c r="G62" s="8" t="s">
        <v>18</v>
      </c>
      <c r="H62" s="8">
        <v>10</v>
      </c>
      <c r="I62" s="8">
        <v>1</v>
      </c>
      <c r="J62" s="8" t="s">
        <v>19</v>
      </c>
      <c r="K62" s="8" t="s">
        <v>41</v>
      </c>
      <c r="L62" s="10" t="s">
        <v>21</v>
      </c>
      <c r="M62" s="17">
        <v>150</v>
      </c>
      <c r="N62" s="10" t="str">
        <f t="shared" si="21"/>
        <v>Cluster10_noMgmt_historical_repl1.sqlite</v>
      </c>
      <c r="O62" s="11">
        <v>1</v>
      </c>
      <c r="P62" s="11">
        <v>0</v>
      </c>
      <c r="Q62" s="12" t="str">
        <f t="shared" si="7"/>
        <v>climate_db_ICHEC-EC-EARTH_historical_v4.sqlite</v>
      </c>
      <c r="R62" s="12" t="str">
        <f t="shared" si="22"/>
        <v>log/Cluster10_noMgmt_historical_repl1.txt</v>
      </c>
      <c r="S62" s="16" t="str">
        <f t="shared" si="8"/>
        <v>init_JM/env_file_CLUSTER10_ICHEC-EC-EARTH_historical_REPL1.csv</v>
      </c>
      <c r="T62" s="16" t="str">
        <f t="shared" si="9"/>
        <v>init_JM/env_grid_CLUSTER10_REPL1.asc</v>
      </c>
      <c r="U62" s="16" t="str">
        <f t="shared" si="10"/>
        <v>init_JM/env_grid_CLUSTER10_REPL1.asc</v>
      </c>
      <c r="V62" s="16" t="str">
        <f t="shared" si="11"/>
        <v>../init_JM/trees_cluster10_repl1.csv</v>
      </c>
      <c r="W62" s="16" t="str">
        <f t="shared" si="12"/>
        <v>../init_JM/saplings_cluster10_repl1.csv</v>
      </c>
      <c r="X62" s="12">
        <f t="shared" si="23"/>
        <v>350</v>
      </c>
      <c r="Y62" s="16" t="str">
        <f t="shared" si="13"/>
        <v>abe/stand_files2/noMgmt_cl10_repl1.csv</v>
      </c>
      <c r="Z62" s="12" t="str">
        <f t="shared" si="24"/>
        <v>true</v>
      </c>
      <c r="AA62" s="16" t="str">
        <f t="shared" si="14"/>
        <v>gis/WindModifier_cl10.asc</v>
      </c>
      <c r="AB62" s="12" t="str">
        <f t="shared" si="15"/>
        <v>true</v>
      </c>
      <c r="AC62" s="12" t="str">
        <f t="shared" si="25"/>
        <v>true</v>
      </c>
      <c r="AD62" s="12" t="str">
        <f t="shared" si="16"/>
        <v>ICHEC-EC-EARTH_historical_point32685</v>
      </c>
      <c r="AE62" s="12" t="str">
        <f t="shared" si="17"/>
        <v>true</v>
      </c>
      <c r="AF62" s="12" t="str">
        <f t="shared" si="19"/>
        <v>wind_Events/cl10_repl1.txt</v>
      </c>
      <c r="AG62" s="16" t="str">
        <f t="shared" si="18"/>
        <v>Cluster10_noMgmt_historical_repl1</v>
      </c>
    </row>
    <row r="63" spans="1:33" ht="13.8">
      <c r="A63" s="7" t="str">
        <f t="shared" si="6"/>
        <v>Cluster10_noMgmt_RCP26_repl1</v>
      </c>
      <c r="B63" s="8" t="s">
        <v>16</v>
      </c>
      <c r="C63" s="8" t="s">
        <v>32</v>
      </c>
      <c r="D63" s="8" t="s">
        <v>34</v>
      </c>
      <c r="E63" s="9" t="str">
        <f t="shared" si="20"/>
        <v>rcp_2_6</v>
      </c>
      <c r="F63" s="8">
        <v>427</v>
      </c>
      <c r="G63" s="8" t="s">
        <v>18</v>
      </c>
      <c r="H63" s="8">
        <v>10</v>
      </c>
      <c r="I63" s="8">
        <v>1</v>
      </c>
      <c r="J63" s="8" t="s">
        <v>19</v>
      </c>
      <c r="K63" s="8" t="s">
        <v>41</v>
      </c>
      <c r="L63" s="10" t="s">
        <v>22</v>
      </c>
      <c r="M63" s="17">
        <v>150</v>
      </c>
      <c r="N63" s="10" t="str">
        <f t="shared" si="21"/>
        <v>Cluster10_noMgmt_RCP26_repl1.sqlite</v>
      </c>
      <c r="O63" s="11">
        <v>1</v>
      </c>
      <c r="P63" s="11">
        <v>0</v>
      </c>
      <c r="Q63" s="12" t="str">
        <f t="shared" si="7"/>
        <v>climate_db_ICHEC-EC-EARTH_rcp_2_6_v4.sqlite</v>
      </c>
      <c r="R63" s="12" t="str">
        <f t="shared" si="22"/>
        <v>log/Cluster10_noMgmt_RCP26_repl1.txt</v>
      </c>
      <c r="S63" s="16" t="str">
        <f t="shared" si="8"/>
        <v>init_JM/env_file_CLUSTER10_ICHEC-EC-EARTH_rcp_2_6_REPL1.csv</v>
      </c>
      <c r="T63" s="16" t="str">
        <f t="shared" si="9"/>
        <v>init_JM/env_grid_CLUSTER10_REPL1.asc</v>
      </c>
      <c r="U63" s="16" t="str">
        <f t="shared" si="10"/>
        <v>init_JM/env_grid_CLUSTER10_REPL1.asc</v>
      </c>
      <c r="V63" s="16" t="str">
        <f t="shared" si="11"/>
        <v>../init_JM/trees_cluster10_repl1.csv</v>
      </c>
      <c r="W63" s="16" t="str">
        <f t="shared" si="12"/>
        <v>../init_JM/saplings_cluster10_repl1.csv</v>
      </c>
      <c r="X63" s="12">
        <f t="shared" si="23"/>
        <v>427</v>
      </c>
      <c r="Y63" s="16" t="str">
        <f t="shared" si="13"/>
        <v>abe/stand_files2/noMgmt_cl10_repl1.csv</v>
      </c>
      <c r="Z63" s="12" t="str">
        <f t="shared" si="24"/>
        <v>true</v>
      </c>
      <c r="AA63" s="16" t="str">
        <f t="shared" si="14"/>
        <v>gis/WindModifier_cl10.asc</v>
      </c>
      <c r="AB63" s="12" t="str">
        <f t="shared" si="15"/>
        <v>true</v>
      </c>
      <c r="AC63" s="12" t="str">
        <f t="shared" si="25"/>
        <v>true</v>
      </c>
      <c r="AD63" s="12" t="str">
        <f t="shared" si="16"/>
        <v>ICHEC-EC-EARTH_rcp_2_6_point32685</v>
      </c>
      <c r="AE63" s="12" t="str">
        <f t="shared" si="17"/>
        <v>true</v>
      </c>
      <c r="AF63" s="12" t="str">
        <f t="shared" si="19"/>
        <v>wind_Events/cl10_repl1.txt</v>
      </c>
      <c r="AG63" s="16" t="str">
        <f t="shared" si="18"/>
        <v>Cluster10_noMgmt_RCP26_repl1</v>
      </c>
    </row>
    <row r="64" spans="1:33" ht="13.8">
      <c r="A64" s="7" t="str">
        <f t="shared" si="6"/>
        <v>Cluster10_noMgmt_RCP45_repl1</v>
      </c>
      <c r="B64" s="8" t="s">
        <v>16</v>
      </c>
      <c r="C64" s="8" t="s">
        <v>32</v>
      </c>
      <c r="D64" s="8" t="s">
        <v>35</v>
      </c>
      <c r="E64" s="9" t="str">
        <f t="shared" si="20"/>
        <v>rcp_4_5</v>
      </c>
      <c r="F64" s="8">
        <v>728</v>
      </c>
      <c r="G64" s="8" t="s">
        <v>18</v>
      </c>
      <c r="H64" s="8">
        <v>10</v>
      </c>
      <c r="I64" s="8">
        <v>1</v>
      </c>
      <c r="J64" s="8" t="s">
        <v>19</v>
      </c>
      <c r="K64" s="8" t="s">
        <v>41</v>
      </c>
      <c r="L64" s="10" t="s">
        <v>22</v>
      </c>
      <c r="M64" s="17">
        <v>150</v>
      </c>
      <c r="N64" s="10" t="str">
        <f t="shared" si="21"/>
        <v>Cluster10_noMgmt_RCP45_repl1.sqlite</v>
      </c>
      <c r="O64" s="11">
        <v>1</v>
      </c>
      <c r="P64" s="11">
        <v>0</v>
      </c>
      <c r="Q64" s="12" t="str">
        <f t="shared" si="7"/>
        <v>climate_db_ICHEC-EC-EARTH_rcp_4_5_v4.sqlite</v>
      </c>
      <c r="R64" s="12" t="str">
        <f t="shared" si="22"/>
        <v>log/Cluster10_noMgmt_RCP45_repl1.txt</v>
      </c>
      <c r="S64" s="16" t="str">
        <f t="shared" si="8"/>
        <v>init_JM/env_file_CLUSTER10_ICHEC-EC-EARTH_rcp_4_5_REPL1.csv</v>
      </c>
      <c r="T64" s="16" t="str">
        <f t="shared" si="9"/>
        <v>init_JM/env_grid_CLUSTER10_REPL1.asc</v>
      </c>
      <c r="U64" s="16" t="str">
        <f t="shared" si="10"/>
        <v>init_JM/env_grid_CLUSTER10_REPL1.asc</v>
      </c>
      <c r="V64" s="16" t="str">
        <f t="shared" si="11"/>
        <v>../init_JM/trees_cluster10_repl1.csv</v>
      </c>
      <c r="W64" s="16" t="str">
        <f t="shared" si="12"/>
        <v>../init_JM/saplings_cluster10_repl1.csv</v>
      </c>
      <c r="X64" s="12">
        <f t="shared" si="23"/>
        <v>728</v>
      </c>
      <c r="Y64" s="16" t="str">
        <f t="shared" si="13"/>
        <v>abe/stand_files2/noMgmt_cl10_repl1.csv</v>
      </c>
      <c r="Z64" s="12" t="str">
        <f t="shared" si="24"/>
        <v>true</v>
      </c>
      <c r="AA64" s="16" t="str">
        <f t="shared" si="14"/>
        <v>gis/WindModifier_cl10.asc</v>
      </c>
      <c r="AB64" s="12" t="str">
        <f t="shared" si="15"/>
        <v>true</v>
      </c>
      <c r="AC64" s="12" t="str">
        <f t="shared" si="25"/>
        <v>true</v>
      </c>
      <c r="AD64" s="12" t="str">
        <f t="shared" si="16"/>
        <v>ICHEC-EC-EARTH_rcp_4_5_point32685</v>
      </c>
      <c r="AE64" s="12" t="str">
        <f t="shared" si="17"/>
        <v>true</v>
      </c>
      <c r="AF64" s="12" t="str">
        <f t="shared" si="19"/>
        <v>wind_Events/cl10_repl1.txt</v>
      </c>
      <c r="AG64" s="16" t="str">
        <f t="shared" si="18"/>
        <v>Cluster10_noMgmt_RCP45_repl1</v>
      </c>
    </row>
    <row r="65" spans="1:33" ht="13.8">
      <c r="A65" s="7" t="str">
        <f t="shared" si="6"/>
        <v>Cluster10_noMgmt_RCP85_repl1</v>
      </c>
      <c r="B65" s="8" t="s">
        <v>16</v>
      </c>
      <c r="C65" s="8" t="s">
        <v>32</v>
      </c>
      <c r="D65" s="8" t="s">
        <v>36</v>
      </c>
      <c r="E65" s="9" t="str">
        <f t="shared" si="20"/>
        <v>rcp_8_5</v>
      </c>
      <c r="F65" s="8">
        <v>1231</v>
      </c>
      <c r="G65" s="8" t="s">
        <v>18</v>
      </c>
      <c r="H65" s="8">
        <v>10</v>
      </c>
      <c r="I65" s="8">
        <v>1</v>
      </c>
      <c r="J65" s="8" t="s">
        <v>19</v>
      </c>
      <c r="K65" s="8" t="s">
        <v>41</v>
      </c>
      <c r="L65" s="10" t="s">
        <v>22</v>
      </c>
      <c r="M65" s="17">
        <v>150</v>
      </c>
      <c r="N65" s="10" t="str">
        <f t="shared" si="21"/>
        <v>Cluster10_noMgmt_RCP85_repl1.sqlite</v>
      </c>
      <c r="O65" s="11">
        <v>1</v>
      </c>
      <c r="P65" s="11">
        <v>0</v>
      </c>
      <c r="Q65" s="12" t="str">
        <f t="shared" si="7"/>
        <v>climate_db_ICHEC-EC-EARTH_rcp_8_5_v4.sqlite</v>
      </c>
      <c r="R65" s="12" t="str">
        <f t="shared" si="22"/>
        <v>log/Cluster10_noMgmt_RCP85_repl1.txt</v>
      </c>
      <c r="S65" s="16" t="str">
        <f t="shared" si="8"/>
        <v>init_JM/env_file_CLUSTER10_ICHEC-EC-EARTH_rcp_8_5_REPL1.csv</v>
      </c>
      <c r="T65" s="16" t="str">
        <f t="shared" si="9"/>
        <v>init_JM/env_grid_CLUSTER10_REPL1.asc</v>
      </c>
      <c r="U65" s="16" t="str">
        <f t="shared" si="10"/>
        <v>init_JM/env_grid_CLUSTER10_REPL1.asc</v>
      </c>
      <c r="V65" s="16" t="str">
        <f t="shared" si="11"/>
        <v>../init_JM/trees_cluster10_repl1.csv</v>
      </c>
      <c r="W65" s="16" t="str">
        <f t="shared" si="12"/>
        <v>../init_JM/saplings_cluster10_repl1.csv</v>
      </c>
      <c r="X65" s="12">
        <f t="shared" si="23"/>
        <v>1231</v>
      </c>
      <c r="Y65" s="16" t="str">
        <f t="shared" si="13"/>
        <v>abe/stand_files2/noMgmt_cl10_repl1.csv</v>
      </c>
      <c r="Z65" s="12" t="str">
        <f t="shared" si="24"/>
        <v>true</v>
      </c>
      <c r="AA65" s="16" t="str">
        <f t="shared" si="14"/>
        <v>gis/WindModifier_cl10.asc</v>
      </c>
      <c r="AB65" s="12" t="str">
        <f t="shared" si="15"/>
        <v>true</v>
      </c>
      <c r="AC65" s="12" t="str">
        <f t="shared" si="25"/>
        <v>true</v>
      </c>
      <c r="AD65" s="12" t="str">
        <f t="shared" si="16"/>
        <v>ICHEC-EC-EARTH_rcp_8_5_point32685</v>
      </c>
      <c r="AE65" s="12" t="str">
        <f t="shared" si="17"/>
        <v>true</v>
      </c>
      <c r="AF65" s="12" t="str">
        <f t="shared" si="19"/>
        <v>wind_Events/cl10_repl1.txt</v>
      </c>
      <c r="AG65" s="16" t="str">
        <f t="shared" si="18"/>
        <v>Cluster10_noMgmt_RCP85_repl1</v>
      </c>
    </row>
    <row r="66" spans="1:33" ht="13.8">
      <c r="A66" s="7" t="str">
        <f t="shared" si="6"/>
        <v>Cluster10_noMgmt_historical_repl2</v>
      </c>
      <c r="B66" s="8" t="s">
        <v>16</v>
      </c>
      <c r="C66" s="8" t="s">
        <v>32</v>
      </c>
      <c r="D66" s="9" t="s">
        <v>17</v>
      </c>
      <c r="E66" s="9" t="str">
        <f t="shared" ref="E66:E81" si="26">IF(D66="historical", "historical", IF(D66="RCP26", "rcp_2_6", IF(D66="RCP45", "rcp_4_5", "rcp_8_5")))</f>
        <v>historical</v>
      </c>
      <c r="F66" s="8">
        <v>350</v>
      </c>
      <c r="G66" s="8" t="s">
        <v>18</v>
      </c>
      <c r="H66" s="8">
        <v>10</v>
      </c>
      <c r="I66" s="8">
        <v>2</v>
      </c>
      <c r="J66" s="8" t="s">
        <v>19</v>
      </c>
      <c r="K66" s="8" t="s">
        <v>41</v>
      </c>
      <c r="L66" s="10" t="s">
        <v>21</v>
      </c>
      <c r="M66" s="17">
        <v>150</v>
      </c>
      <c r="N66" s="10" t="str">
        <f t="shared" ref="N66:N81" si="27">A66  &amp; ".sqlite"</f>
        <v>Cluster10_noMgmt_historical_repl2.sqlite</v>
      </c>
      <c r="O66" s="11">
        <v>1</v>
      </c>
      <c r="P66" s="11">
        <v>0</v>
      </c>
      <c r="Q66" s="12" t="str">
        <f t="shared" si="7"/>
        <v>climate_db_ICHEC-EC-EARTH_historical_v4.sqlite</v>
      </c>
      <c r="R66" s="12" t="str">
        <f t="shared" ref="R66:R81" si="28">"log/" &amp;A66  &amp; ".txt"</f>
        <v>log/Cluster10_noMgmt_historical_repl2.txt</v>
      </c>
      <c r="S66" s="16" t="str">
        <f t="shared" si="8"/>
        <v>init_JM/env_file_CLUSTER10_ICHEC-EC-EARTH_historical_REPL2.csv</v>
      </c>
      <c r="T66" s="16" t="str">
        <f t="shared" si="9"/>
        <v>init_JM/env_grid_CLUSTER10_REPL2.asc</v>
      </c>
      <c r="U66" s="16" t="str">
        <f t="shared" si="10"/>
        <v>init_JM/env_grid_CLUSTER10_REPL2.asc</v>
      </c>
      <c r="V66" s="16" t="str">
        <f t="shared" si="11"/>
        <v>../init_JM/trees_cluster10_repl2.csv</v>
      </c>
      <c r="W66" s="16" t="str">
        <f t="shared" si="12"/>
        <v>../init_JM/saplings_cluster10_repl2.csv</v>
      </c>
      <c r="X66" s="12">
        <f t="shared" ref="X66:X81" si="29">F66</f>
        <v>350</v>
      </c>
      <c r="Y66" s="16" t="str">
        <f t="shared" si="13"/>
        <v>abe/stand_files2/noMgmt_cl10_repl2.csv</v>
      </c>
      <c r="Z66" s="12" t="str">
        <f t="shared" ref="Z66:Z81" si="30">K66</f>
        <v>true</v>
      </c>
      <c r="AA66" s="16" t="str">
        <f t="shared" si="14"/>
        <v>gis/WindModifier_cl10.asc</v>
      </c>
      <c r="AB66" s="12" t="str">
        <f t="shared" si="15"/>
        <v>true</v>
      </c>
      <c r="AC66" s="12" t="str">
        <f t="shared" ref="AC66:AC81" si="31">K66</f>
        <v>true</v>
      </c>
      <c r="AD66" s="12" t="str">
        <f t="shared" si="16"/>
        <v>ICHEC-EC-EARTH_historical_point32685</v>
      </c>
      <c r="AE66" s="12" t="str">
        <f t="shared" si="17"/>
        <v>true</v>
      </c>
      <c r="AF66" s="12" t="str">
        <f t="shared" si="19"/>
        <v>wind_Events/cl10_repl2.txt</v>
      </c>
      <c r="AG66" s="16" t="str">
        <f t="shared" si="18"/>
        <v>Cluster10_noMgmt_historical_repl2</v>
      </c>
    </row>
    <row r="67" spans="1:33" ht="13.8">
      <c r="A67" s="7" t="str">
        <f t="shared" ref="A67:A81" si="32" xml:space="preserve"> "Cluster" &amp; H67 &amp; "_" &amp; TEXT(B67, "00") &amp;  "_" &amp; D67 &amp; "_repl" &amp; I67</f>
        <v>Cluster10_noMgmt_RCP26_repl2</v>
      </c>
      <c r="B67" s="8" t="s">
        <v>16</v>
      </c>
      <c r="C67" s="8" t="s">
        <v>32</v>
      </c>
      <c r="D67" s="8" t="s">
        <v>34</v>
      </c>
      <c r="E67" s="9" t="str">
        <f t="shared" si="26"/>
        <v>rcp_2_6</v>
      </c>
      <c r="F67" s="8">
        <v>427</v>
      </c>
      <c r="G67" s="8" t="s">
        <v>18</v>
      </c>
      <c r="H67" s="8">
        <v>10</v>
      </c>
      <c r="I67" s="8">
        <v>2</v>
      </c>
      <c r="J67" s="8" t="s">
        <v>19</v>
      </c>
      <c r="K67" s="8" t="s">
        <v>41</v>
      </c>
      <c r="L67" s="10" t="s">
        <v>22</v>
      </c>
      <c r="M67" s="17">
        <v>150</v>
      </c>
      <c r="N67" s="10" t="str">
        <f t="shared" si="27"/>
        <v>Cluster10_noMgmt_RCP26_repl2.sqlite</v>
      </c>
      <c r="O67" s="11">
        <v>1</v>
      </c>
      <c r="P67" s="11">
        <v>0</v>
      </c>
      <c r="Q67" s="12" t="str">
        <f t="shared" ref="Q67:Q81" si="33">"climate_db_" &amp; G67&amp; "_" &amp;  E67&amp; "_v4.sqlite"</f>
        <v>climate_db_ICHEC-EC-EARTH_rcp_2_6_v4.sqlite</v>
      </c>
      <c r="R67" s="12" t="str">
        <f t="shared" si="28"/>
        <v>log/Cluster10_noMgmt_RCP26_repl2.txt</v>
      </c>
      <c r="S67" s="16" t="str">
        <f t="shared" ref="S67:S81" si="34">"init_JM/env_file_CLUSTER" &amp; TEXT(H67, "00") &amp; "_" &amp; G67 &amp; "_" &amp; E67 &amp; "_REPL" &amp; I67 &amp; ".csv"</f>
        <v>init_JM/env_file_CLUSTER10_ICHEC-EC-EARTH_rcp_2_6_REPL2.csv</v>
      </c>
      <c r="T67" s="16" t="str">
        <f t="shared" ref="T67:T81" si="35">"init_JM/env_grid_CLUSTER" &amp; TEXT(H67, "00") &amp; "_REPL" &amp; I67 &amp; ".asc"</f>
        <v>init_JM/env_grid_CLUSTER10_REPL2.asc</v>
      </c>
      <c r="U67" s="16" t="str">
        <f t="shared" ref="U67:U81" si="36">T67</f>
        <v>init_JM/env_grid_CLUSTER10_REPL2.asc</v>
      </c>
      <c r="V67" s="16" t="str">
        <f t="shared" ref="V67:V81" si="37">"../init_JM/trees_cluster" &amp; H67 &amp; "_repl" &amp; I67 &amp; ".csv"</f>
        <v>../init_JM/trees_cluster10_repl2.csv</v>
      </c>
      <c r="W67" s="16" t="str">
        <f t="shared" ref="W67:W81" si="38">"../init_JM/saplings_cluster" &amp; H67 &amp; "_repl" &amp; I67 &amp; ".csv"</f>
        <v>../init_JM/saplings_cluster10_repl2.csv</v>
      </c>
      <c r="X67" s="12">
        <f t="shared" si="29"/>
        <v>427</v>
      </c>
      <c r="Y67" s="16" t="str">
        <f t="shared" ref="Y67:Y81" si="39">"abe/stand_files2/" &amp;  B67  &amp; "_cl"  &amp; TEXT(H67, "00") &amp; "_repl" &amp; I67 &amp; ".csv"</f>
        <v>abe/stand_files2/noMgmt_cl10_repl2.csv</v>
      </c>
      <c r="Z67" s="12" t="str">
        <f t="shared" si="30"/>
        <v>true</v>
      </c>
      <c r="AA67" s="16" t="str">
        <f t="shared" ref="AA67:AA81" si="40">"gis/WindModifier_cl" &amp; H67 &amp; ".asc"</f>
        <v>gis/WindModifier_cl10.asc</v>
      </c>
      <c r="AB67" s="12" t="str">
        <f t="shared" ref="AB67:AB81" si="41">K67</f>
        <v>true</v>
      </c>
      <c r="AC67" s="12" t="str">
        <f t="shared" si="31"/>
        <v>true</v>
      </c>
      <c r="AD67" s="12" t="str">
        <f t="shared" ref="AD67:AD81" si="42">"ICHEC-EC-EARTH_" &amp; E67 &amp; "_point32685"</f>
        <v>ICHEC-EC-EARTH_rcp_2_6_point32685</v>
      </c>
      <c r="AE67" s="12" t="str">
        <f t="shared" ref="AE67:AE81" si="43">K67</f>
        <v>true</v>
      </c>
      <c r="AF67" s="12" t="str">
        <f t="shared" si="19"/>
        <v>wind_Events/cl10_repl2.txt</v>
      </c>
      <c r="AG67" s="16" t="str">
        <f t="shared" ref="AG67:AG81" si="44">A67</f>
        <v>Cluster10_noMgmt_RCP26_repl2</v>
      </c>
    </row>
    <row r="68" spans="1:33" ht="13.8">
      <c r="A68" s="7" t="str">
        <f t="shared" si="32"/>
        <v>Cluster10_noMgmt_RCP45_repl2</v>
      </c>
      <c r="B68" s="8" t="s">
        <v>16</v>
      </c>
      <c r="C68" s="8" t="s">
        <v>32</v>
      </c>
      <c r="D68" s="8" t="s">
        <v>35</v>
      </c>
      <c r="E68" s="9" t="str">
        <f t="shared" si="26"/>
        <v>rcp_4_5</v>
      </c>
      <c r="F68" s="8">
        <v>728</v>
      </c>
      <c r="G68" s="8" t="s">
        <v>18</v>
      </c>
      <c r="H68" s="8">
        <v>10</v>
      </c>
      <c r="I68" s="8">
        <v>2</v>
      </c>
      <c r="J68" s="8" t="s">
        <v>19</v>
      </c>
      <c r="K68" s="8" t="s">
        <v>41</v>
      </c>
      <c r="L68" s="10" t="s">
        <v>22</v>
      </c>
      <c r="M68" s="17">
        <v>150</v>
      </c>
      <c r="N68" s="10" t="str">
        <f t="shared" si="27"/>
        <v>Cluster10_noMgmt_RCP45_repl2.sqlite</v>
      </c>
      <c r="O68" s="11">
        <v>1</v>
      </c>
      <c r="P68" s="11">
        <v>0</v>
      </c>
      <c r="Q68" s="12" t="str">
        <f t="shared" si="33"/>
        <v>climate_db_ICHEC-EC-EARTH_rcp_4_5_v4.sqlite</v>
      </c>
      <c r="R68" s="12" t="str">
        <f t="shared" si="28"/>
        <v>log/Cluster10_noMgmt_RCP45_repl2.txt</v>
      </c>
      <c r="S68" s="16" t="str">
        <f t="shared" si="34"/>
        <v>init_JM/env_file_CLUSTER10_ICHEC-EC-EARTH_rcp_4_5_REPL2.csv</v>
      </c>
      <c r="T68" s="16" t="str">
        <f t="shared" si="35"/>
        <v>init_JM/env_grid_CLUSTER10_REPL2.asc</v>
      </c>
      <c r="U68" s="16" t="str">
        <f t="shared" si="36"/>
        <v>init_JM/env_grid_CLUSTER10_REPL2.asc</v>
      </c>
      <c r="V68" s="16" t="str">
        <f t="shared" si="37"/>
        <v>../init_JM/trees_cluster10_repl2.csv</v>
      </c>
      <c r="W68" s="16" t="str">
        <f t="shared" si="38"/>
        <v>../init_JM/saplings_cluster10_repl2.csv</v>
      </c>
      <c r="X68" s="12">
        <f t="shared" si="29"/>
        <v>728</v>
      </c>
      <c r="Y68" s="16" t="str">
        <f t="shared" si="39"/>
        <v>abe/stand_files2/noMgmt_cl10_repl2.csv</v>
      </c>
      <c r="Z68" s="12" t="str">
        <f t="shared" si="30"/>
        <v>true</v>
      </c>
      <c r="AA68" s="16" t="str">
        <f t="shared" si="40"/>
        <v>gis/WindModifier_cl10.asc</v>
      </c>
      <c r="AB68" s="12" t="str">
        <f t="shared" si="41"/>
        <v>true</v>
      </c>
      <c r="AC68" s="12" t="str">
        <f t="shared" si="31"/>
        <v>true</v>
      </c>
      <c r="AD68" s="12" t="str">
        <f t="shared" si="42"/>
        <v>ICHEC-EC-EARTH_rcp_4_5_point32685</v>
      </c>
      <c r="AE68" s="12" t="str">
        <f t="shared" si="43"/>
        <v>true</v>
      </c>
      <c r="AF68" s="12" t="str">
        <f t="shared" si="19"/>
        <v>wind_Events/cl10_repl2.txt</v>
      </c>
      <c r="AG68" s="16" t="str">
        <f t="shared" si="44"/>
        <v>Cluster10_noMgmt_RCP45_repl2</v>
      </c>
    </row>
    <row r="69" spans="1:33" ht="13.8">
      <c r="A69" s="7" t="str">
        <f t="shared" si="32"/>
        <v>Cluster10_noMgmt_RCP85_repl2</v>
      </c>
      <c r="B69" s="8" t="s">
        <v>16</v>
      </c>
      <c r="C69" s="8" t="s">
        <v>32</v>
      </c>
      <c r="D69" s="8" t="s">
        <v>36</v>
      </c>
      <c r="E69" s="9" t="str">
        <f t="shared" si="26"/>
        <v>rcp_8_5</v>
      </c>
      <c r="F69" s="8">
        <v>1231</v>
      </c>
      <c r="G69" s="8" t="s">
        <v>18</v>
      </c>
      <c r="H69" s="8">
        <v>10</v>
      </c>
      <c r="I69" s="8">
        <v>2</v>
      </c>
      <c r="J69" s="8" t="s">
        <v>19</v>
      </c>
      <c r="K69" s="8" t="s">
        <v>41</v>
      </c>
      <c r="L69" s="10" t="s">
        <v>22</v>
      </c>
      <c r="M69" s="17">
        <v>150</v>
      </c>
      <c r="N69" s="10" t="str">
        <f t="shared" si="27"/>
        <v>Cluster10_noMgmt_RCP85_repl2.sqlite</v>
      </c>
      <c r="O69" s="11">
        <v>1</v>
      </c>
      <c r="P69" s="11">
        <v>0</v>
      </c>
      <c r="Q69" s="12" t="str">
        <f t="shared" si="33"/>
        <v>climate_db_ICHEC-EC-EARTH_rcp_8_5_v4.sqlite</v>
      </c>
      <c r="R69" s="12" t="str">
        <f t="shared" si="28"/>
        <v>log/Cluster10_noMgmt_RCP85_repl2.txt</v>
      </c>
      <c r="S69" s="16" t="str">
        <f t="shared" si="34"/>
        <v>init_JM/env_file_CLUSTER10_ICHEC-EC-EARTH_rcp_8_5_REPL2.csv</v>
      </c>
      <c r="T69" s="16" t="str">
        <f t="shared" si="35"/>
        <v>init_JM/env_grid_CLUSTER10_REPL2.asc</v>
      </c>
      <c r="U69" s="16" t="str">
        <f t="shared" si="36"/>
        <v>init_JM/env_grid_CLUSTER10_REPL2.asc</v>
      </c>
      <c r="V69" s="16" t="str">
        <f t="shared" si="37"/>
        <v>../init_JM/trees_cluster10_repl2.csv</v>
      </c>
      <c r="W69" s="16" t="str">
        <f t="shared" si="38"/>
        <v>../init_JM/saplings_cluster10_repl2.csv</v>
      </c>
      <c r="X69" s="12">
        <f t="shared" si="29"/>
        <v>1231</v>
      </c>
      <c r="Y69" s="16" t="str">
        <f t="shared" si="39"/>
        <v>abe/stand_files2/noMgmt_cl10_repl2.csv</v>
      </c>
      <c r="Z69" s="12" t="str">
        <f t="shared" si="30"/>
        <v>true</v>
      </c>
      <c r="AA69" s="16" t="str">
        <f t="shared" si="40"/>
        <v>gis/WindModifier_cl10.asc</v>
      </c>
      <c r="AB69" s="12" t="str">
        <f t="shared" si="41"/>
        <v>true</v>
      </c>
      <c r="AC69" s="12" t="str">
        <f t="shared" si="31"/>
        <v>true</v>
      </c>
      <c r="AD69" s="12" t="str">
        <f t="shared" si="42"/>
        <v>ICHEC-EC-EARTH_rcp_8_5_point32685</v>
      </c>
      <c r="AE69" s="12" t="str">
        <f t="shared" si="43"/>
        <v>true</v>
      </c>
      <c r="AF69" s="12" t="str">
        <f t="shared" si="19"/>
        <v>wind_Events/cl10_repl2.txt</v>
      </c>
      <c r="AG69" s="16" t="str">
        <f t="shared" si="44"/>
        <v>Cluster10_noMgmt_RCP85_repl2</v>
      </c>
    </row>
    <row r="70" spans="1:33" ht="13.8">
      <c r="A70" s="7" t="str">
        <f t="shared" si="32"/>
        <v>Cluster10_noMgmt_historical_repl3</v>
      </c>
      <c r="B70" s="8" t="s">
        <v>16</v>
      </c>
      <c r="C70" s="8" t="s">
        <v>32</v>
      </c>
      <c r="D70" s="9" t="s">
        <v>17</v>
      </c>
      <c r="E70" s="9" t="str">
        <f t="shared" si="26"/>
        <v>historical</v>
      </c>
      <c r="F70" s="8">
        <v>350</v>
      </c>
      <c r="G70" s="8" t="s">
        <v>18</v>
      </c>
      <c r="H70" s="8">
        <v>10</v>
      </c>
      <c r="I70" s="8">
        <v>3</v>
      </c>
      <c r="J70" s="8" t="s">
        <v>19</v>
      </c>
      <c r="K70" s="8" t="s">
        <v>41</v>
      </c>
      <c r="L70" s="10" t="s">
        <v>21</v>
      </c>
      <c r="M70" s="17">
        <v>150</v>
      </c>
      <c r="N70" s="10" t="str">
        <f t="shared" si="27"/>
        <v>Cluster10_noMgmt_historical_repl3.sqlite</v>
      </c>
      <c r="O70" s="11">
        <v>1</v>
      </c>
      <c r="P70" s="11">
        <v>0</v>
      </c>
      <c r="Q70" s="12" t="str">
        <f t="shared" si="33"/>
        <v>climate_db_ICHEC-EC-EARTH_historical_v4.sqlite</v>
      </c>
      <c r="R70" s="12" t="str">
        <f t="shared" si="28"/>
        <v>log/Cluster10_noMgmt_historical_repl3.txt</v>
      </c>
      <c r="S70" s="16" t="str">
        <f t="shared" si="34"/>
        <v>init_JM/env_file_CLUSTER10_ICHEC-EC-EARTH_historical_REPL3.csv</v>
      </c>
      <c r="T70" s="16" t="str">
        <f t="shared" si="35"/>
        <v>init_JM/env_grid_CLUSTER10_REPL3.asc</v>
      </c>
      <c r="U70" s="16" t="str">
        <f t="shared" si="36"/>
        <v>init_JM/env_grid_CLUSTER10_REPL3.asc</v>
      </c>
      <c r="V70" s="16" t="str">
        <f t="shared" si="37"/>
        <v>../init_JM/trees_cluster10_repl3.csv</v>
      </c>
      <c r="W70" s="16" t="str">
        <f t="shared" si="38"/>
        <v>../init_JM/saplings_cluster10_repl3.csv</v>
      </c>
      <c r="X70" s="12">
        <f t="shared" si="29"/>
        <v>350</v>
      </c>
      <c r="Y70" s="16" t="str">
        <f t="shared" si="39"/>
        <v>abe/stand_files2/noMgmt_cl10_repl3.csv</v>
      </c>
      <c r="Z70" s="12" t="str">
        <f t="shared" si="30"/>
        <v>true</v>
      </c>
      <c r="AA70" s="16" t="str">
        <f t="shared" si="40"/>
        <v>gis/WindModifier_cl10.asc</v>
      </c>
      <c r="AB70" s="12" t="str">
        <f t="shared" si="41"/>
        <v>true</v>
      </c>
      <c r="AC70" s="12" t="str">
        <f t="shared" si="31"/>
        <v>true</v>
      </c>
      <c r="AD70" s="12" t="str">
        <f t="shared" si="42"/>
        <v>ICHEC-EC-EARTH_historical_point32685</v>
      </c>
      <c r="AE70" s="12" t="str">
        <f t="shared" si="43"/>
        <v>true</v>
      </c>
      <c r="AF70" s="12" t="str">
        <f t="shared" ref="AF70:AF81" si="45">"wind_Events/cl" &amp; H70 &amp; "_repl" &amp; I70 &amp; ".txt"</f>
        <v>wind_Events/cl10_repl3.txt</v>
      </c>
      <c r="AG70" s="16" t="str">
        <f t="shared" si="44"/>
        <v>Cluster10_noMgmt_historical_repl3</v>
      </c>
    </row>
    <row r="71" spans="1:33" ht="13.8">
      <c r="A71" s="7" t="str">
        <f t="shared" si="32"/>
        <v>Cluster10_noMgmt_RCP26_repl3</v>
      </c>
      <c r="B71" s="8" t="s">
        <v>16</v>
      </c>
      <c r="C71" s="8" t="s">
        <v>32</v>
      </c>
      <c r="D71" s="8" t="s">
        <v>34</v>
      </c>
      <c r="E71" s="9" t="str">
        <f t="shared" si="26"/>
        <v>rcp_2_6</v>
      </c>
      <c r="F71" s="8">
        <v>427</v>
      </c>
      <c r="G71" s="8" t="s">
        <v>18</v>
      </c>
      <c r="H71" s="8">
        <v>10</v>
      </c>
      <c r="I71" s="8">
        <v>3</v>
      </c>
      <c r="J71" s="8" t="s">
        <v>19</v>
      </c>
      <c r="K71" s="8" t="s">
        <v>41</v>
      </c>
      <c r="L71" s="10" t="s">
        <v>22</v>
      </c>
      <c r="M71" s="17">
        <v>150</v>
      </c>
      <c r="N71" s="10" t="str">
        <f t="shared" si="27"/>
        <v>Cluster10_noMgmt_RCP26_repl3.sqlite</v>
      </c>
      <c r="O71" s="11">
        <v>1</v>
      </c>
      <c r="P71" s="11">
        <v>0</v>
      </c>
      <c r="Q71" s="12" t="str">
        <f t="shared" si="33"/>
        <v>climate_db_ICHEC-EC-EARTH_rcp_2_6_v4.sqlite</v>
      </c>
      <c r="R71" s="12" t="str">
        <f t="shared" si="28"/>
        <v>log/Cluster10_noMgmt_RCP26_repl3.txt</v>
      </c>
      <c r="S71" s="16" t="str">
        <f t="shared" si="34"/>
        <v>init_JM/env_file_CLUSTER10_ICHEC-EC-EARTH_rcp_2_6_REPL3.csv</v>
      </c>
      <c r="T71" s="16" t="str">
        <f t="shared" si="35"/>
        <v>init_JM/env_grid_CLUSTER10_REPL3.asc</v>
      </c>
      <c r="U71" s="16" t="str">
        <f t="shared" si="36"/>
        <v>init_JM/env_grid_CLUSTER10_REPL3.asc</v>
      </c>
      <c r="V71" s="16" t="str">
        <f t="shared" si="37"/>
        <v>../init_JM/trees_cluster10_repl3.csv</v>
      </c>
      <c r="W71" s="16" t="str">
        <f t="shared" si="38"/>
        <v>../init_JM/saplings_cluster10_repl3.csv</v>
      </c>
      <c r="X71" s="12">
        <f t="shared" si="29"/>
        <v>427</v>
      </c>
      <c r="Y71" s="16" t="str">
        <f t="shared" si="39"/>
        <v>abe/stand_files2/noMgmt_cl10_repl3.csv</v>
      </c>
      <c r="Z71" s="12" t="str">
        <f t="shared" si="30"/>
        <v>true</v>
      </c>
      <c r="AA71" s="16" t="str">
        <f t="shared" si="40"/>
        <v>gis/WindModifier_cl10.asc</v>
      </c>
      <c r="AB71" s="12" t="str">
        <f t="shared" si="41"/>
        <v>true</v>
      </c>
      <c r="AC71" s="12" t="str">
        <f t="shared" si="31"/>
        <v>true</v>
      </c>
      <c r="AD71" s="12" t="str">
        <f t="shared" si="42"/>
        <v>ICHEC-EC-EARTH_rcp_2_6_point32685</v>
      </c>
      <c r="AE71" s="12" t="str">
        <f t="shared" si="43"/>
        <v>true</v>
      </c>
      <c r="AF71" s="12" t="str">
        <f t="shared" si="45"/>
        <v>wind_Events/cl10_repl3.txt</v>
      </c>
      <c r="AG71" s="16" t="str">
        <f t="shared" si="44"/>
        <v>Cluster10_noMgmt_RCP26_repl3</v>
      </c>
    </row>
    <row r="72" spans="1:33" ht="13.8">
      <c r="A72" s="7" t="str">
        <f t="shared" si="32"/>
        <v>Cluster10_noMgmt_RCP45_repl3</v>
      </c>
      <c r="B72" s="8" t="s">
        <v>16</v>
      </c>
      <c r="C72" s="8" t="s">
        <v>32</v>
      </c>
      <c r="D72" s="8" t="s">
        <v>35</v>
      </c>
      <c r="E72" s="9" t="str">
        <f t="shared" si="26"/>
        <v>rcp_4_5</v>
      </c>
      <c r="F72" s="8">
        <v>728</v>
      </c>
      <c r="G72" s="8" t="s">
        <v>18</v>
      </c>
      <c r="H72" s="8">
        <v>10</v>
      </c>
      <c r="I72" s="8">
        <v>3</v>
      </c>
      <c r="J72" s="8" t="s">
        <v>19</v>
      </c>
      <c r="K72" s="8" t="s">
        <v>41</v>
      </c>
      <c r="L72" s="10" t="s">
        <v>22</v>
      </c>
      <c r="M72" s="17">
        <v>150</v>
      </c>
      <c r="N72" s="10" t="str">
        <f t="shared" si="27"/>
        <v>Cluster10_noMgmt_RCP45_repl3.sqlite</v>
      </c>
      <c r="O72" s="11">
        <v>1</v>
      </c>
      <c r="P72" s="11">
        <v>0</v>
      </c>
      <c r="Q72" s="12" t="str">
        <f t="shared" si="33"/>
        <v>climate_db_ICHEC-EC-EARTH_rcp_4_5_v4.sqlite</v>
      </c>
      <c r="R72" s="12" t="str">
        <f t="shared" si="28"/>
        <v>log/Cluster10_noMgmt_RCP45_repl3.txt</v>
      </c>
      <c r="S72" s="16" t="str">
        <f t="shared" si="34"/>
        <v>init_JM/env_file_CLUSTER10_ICHEC-EC-EARTH_rcp_4_5_REPL3.csv</v>
      </c>
      <c r="T72" s="16" t="str">
        <f t="shared" si="35"/>
        <v>init_JM/env_grid_CLUSTER10_REPL3.asc</v>
      </c>
      <c r="U72" s="16" t="str">
        <f t="shared" si="36"/>
        <v>init_JM/env_grid_CLUSTER10_REPL3.asc</v>
      </c>
      <c r="V72" s="16" t="str">
        <f t="shared" si="37"/>
        <v>../init_JM/trees_cluster10_repl3.csv</v>
      </c>
      <c r="W72" s="16" t="str">
        <f t="shared" si="38"/>
        <v>../init_JM/saplings_cluster10_repl3.csv</v>
      </c>
      <c r="X72" s="12">
        <f t="shared" si="29"/>
        <v>728</v>
      </c>
      <c r="Y72" s="16" t="str">
        <f t="shared" si="39"/>
        <v>abe/stand_files2/noMgmt_cl10_repl3.csv</v>
      </c>
      <c r="Z72" s="12" t="str">
        <f t="shared" si="30"/>
        <v>true</v>
      </c>
      <c r="AA72" s="16" t="str">
        <f t="shared" si="40"/>
        <v>gis/WindModifier_cl10.asc</v>
      </c>
      <c r="AB72" s="12" t="str">
        <f t="shared" si="41"/>
        <v>true</v>
      </c>
      <c r="AC72" s="12" t="str">
        <f t="shared" si="31"/>
        <v>true</v>
      </c>
      <c r="AD72" s="12" t="str">
        <f t="shared" si="42"/>
        <v>ICHEC-EC-EARTH_rcp_4_5_point32685</v>
      </c>
      <c r="AE72" s="12" t="str">
        <f t="shared" si="43"/>
        <v>true</v>
      </c>
      <c r="AF72" s="12" t="str">
        <f t="shared" si="45"/>
        <v>wind_Events/cl10_repl3.txt</v>
      </c>
      <c r="AG72" s="16" t="str">
        <f t="shared" si="44"/>
        <v>Cluster10_noMgmt_RCP45_repl3</v>
      </c>
    </row>
    <row r="73" spans="1:33" ht="13.8">
      <c r="A73" s="7" t="str">
        <f t="shared" si="32"/>
        <v>Cluster10_noMgmt_RCP85_repl3</v>
      </c>
      <c r="B73" s="8" t="s">
        <v>16</v>
      </c>
      <c r="C73" s="8" t="s">
        <v>32</v>
      </c>
      <c r="D73" s="8" t="s">
        <v>36</v>
      </c>
      <c r="E73" s="9" t="str">
        <f t="shared" si="26"/>
        <v>rcp_8_5</v>
      </c>
      <c r="F73" s="8">
        <v>1231</v>
      </c>
      <c r="G73" s="8" t="s">
        <v>18</v>
      </c>
      <c r="H73" s="8">
        <v>10</v>
      </c>
      <c r="I73" s="8">
        <v>3</v>
      </c>
      <c r="J73" s="8" t="s">
        <v>19</v>
      </c>
      <c r="K73" s="8" t="s">
        <v>41</v>
      </c>
      <c r="L73" s="10" t="s">
        <v>22</v>
      </c>
      <c r="M73" s="17">
        <v>150</v>
      </c>
      <c r="N73" s="10" t="str">
        <f t="shared" si="27"/>
        <v>Cluster10_noMgmt_RCP85_repl3.sqlite</v>
      </c>
      <c r="O73" s="11">
        <v>1</v>
      </c>
      <c r="P73" s="11">
        <v>0</v>
      </c>
      <c r="Q73" s="12" t="str">
        <f t="shared" si="33"/>
        <v>climate_db_ICHEC-EC-EARTH_rcp_8_5_v4.sqlite</v>
      </c>
      <c r="R73" s="12" t="str">
        <f t="shared" si="28"/>
        <v>log/Cluster10_noMgmt_RCP85_repl3.txt</v>
      </c>
      <c r="S73" s="16" t="str">
        <f t="shared" si="34"/>
        <v>init_JM/env_file_CLUSTER10_ICHEC-EC-EARTH_rcp_8_5_REPL3.csv</v>
      </c>
      <c r="T73" s="16" t="str">
        <f t="shared" si="35"/>
        <v>init_JM/env_grid_CLUSTER10_REPL3.asc</v>
      </c>
      <c r="U73" s="16" t="str">
        <f t="shared" si="36"/>
        <v>init_JM/env_grid_CLUSTER10_REPL3.asc</v>
      </c>
      <c r="V73" s="16" t="str">
        <f t="shared" si="37"/>
        <v>../init_JM/trees_cluster10_repl3.csv</v>
      </c>
      <c r="W73" s="16" t="str">
        <f t="shared" si="38"/>
        <v>../init_JM/saplings_cluster10_repl3.csv</v>
      </c>
      <c r="X73" s="12">
        <f t="shared" si="29"/>
        <v>1231</v>
      </c>
      <c r="Y73" s="16" t="str">
        <f t="shared" si="39"/>
        <v>abe/stand_files2/noMgmt_cl10_repl3.csv</v>
      </c>
      <c r="Z73" s="12" t="str">
        <f t="shared" si="30"/>
        <v>true</v>
      </c>
      <c r="AA73" s="16" t="str">
        <f t="shared" si="40"/>
        <v>gis/WindModifier_cl10.asc</v>
      </c>
      <c r="AB73" s="12" t="str">
        <f t="shared" si="41"/>
        <v>true</v>
      </c>
      <c r="AC73" s="12" t="str">
        <f t="shared" si="31"/>
        <v>true</v>
      </c>
      <c r="AD73" s="12" t="str">
        <f t="shared" si="42"/>
        <v>ICHEC-EC-EARTH_rcp_8_5_point32685</v>
      </c>
      <c r="AE73" s="12" t="str">
        <f t="shared" si="43"/>
        <v>true</v>
      </c>
      <c r="AF73" s="12" t="str">
        <f t="shared" si="45"/>
        <v>wind_Events/cl10_repl3.txt</v>
      </c>
      <c r="AG73" s="16" t="str">
        <f t="shared" si="44"/>
        <v>Cluster10_noMgmt_RCP85_repl3</v>
      </c>
    </row>
    <row r="74" spans="1:33" ht="13.8">
      <c r="A74" s="7" t="str">
        <f t="shared" si="32"/>
        <v>Cluster10_noMgmt_historical_repl4</v>
      </c>
      <c r="B74" s="8" t="s">
        <v>16</v>
      </c>
      <c r="C74" s="8" t="s">
        <v>32</v>
      </c>
      <c r="D74" s="9" t="s">
        <v>17</v>
      </c>
      <c r="E74" s="9" t="str">
        <f t="shared" si="26"/>
        <v>historical</v>
      </c>
      <c r="F74" s="8">
        <v>350</v>
      </c>
      <c r="G74" s="8" t="s">
        <v>18</v>
      </c>
      <c r="H74" s="8">
        <v>10</v>
      </c>
      <c r="I74" s="8">
        <v>4</v>
      </c>
      <c r="J74" s="8" t="s">
        <v>19</v>
      </c>
      <c r="K74" s="8" t="s">
        <v>41</v>
      </c>
      <c r="L74" s="10" t="s">
        <v>21</v>
      </c>
      <c r="M74" s="17">
        <v>150</v>
      </c>
      <c r="N74" s="10" t="str">
        <f t="shared" si="27"/>
        <v>Cluster10_noMgmt_historical_repl4.sqlite</v>
      </c>
      <c r="O74" s="11">
        <v>1</v>
      </c>
      <c r="P74" s="11">
        <v>0</v>
      </c>
      <c r="Q74" s="12" t="str">
        <f t="shared" si="33"/>
        <v>climate_db_ICHEC-EC-EARTH_historical_v4.sqlite</v>
      </c>
      <c r="R74" s="12" t="str">
        <f t="shared" si="28"/>
        <v>log/Cluster10_noMgmt_historical_repl4.txt</v>
      </c>
      <c r="S74" s="16" t="str">
        <f t="shared" si="34"/>
        <v>init_JM/env_file_CLUSTER10_ICHEC-EC-EARTH_historical_REPL4.csv</v>
      </c>
      <c r="T74" s="16" t="str">
        <f t="shared" si="35"/>
        <v>init_JM/env_grid_CLUSTER10_REPL4.asc</v>
      </c>
      <c r="U74" s="16" t="str">
        <f t="shared" si="36"/>
        <v>init_JM/env_grid_CLUSTER10_REPL4.asc</v>
      </c>
      <c r="V74" s="16" t="str">
        <f t="shared" si="37"/>
        <v>../init_JM/trees_cluster10_repl4.csv</v>
      </c>
      <c r="W74" s="16" t="str">
        <f t="shared" si="38"/>
        <v>../init_JM/saplings_cluster10_repl4.csv</v>
      </c>
      <c r="X74" s="12">
        <f t="shared" si="29"/>
        <v>350</v>
      </c>
      <c r="Y74" s="16" t="str">
        <f t="shared" si="39"/>
        <v>abe/stand_files2/noMgmt_cl10_repl4.csv</v>
      </c>
      <c r="Z74" s="12" t="str">
        <f t="shared" si="30"/>
        <v>true</v>
      </c>
      <c r="AA74" s="16" t="str">
        <f t="shared" si="40"/>
        <v>gis/WindModifier_cl10.asc</v>
      </c>
      <c r="AB74" s="12" t="str">
        <f t="shared" si="41"/>
        <v>true</v>
      </c>
      <c r="AC74" s="12" t="str">
        <f t="shared" si="31"/>
        <v>true</v>
      </c>
      <c r="AD74" s="12" t="str">
        <f t="shared" si="42"/>
        <v>ICHEC-EC-EARTH_historical_point32685</v>
      </c>
      <c r="AE74" s="12" t="str">
        <f t="shared" si="43"/>
        <v>true</v>
      </c>
      <c r="AF74" s="12" t="str">
        <f t="shared" si="45"/>
        <v>wind_Events/cl10_repl4.txt</v>
      </c>
      <c r="AG74" s="16" t="str">
        <f t="shared" si="44"/>
        <v>Cluster10_noMgmt_historical_repl4</v>
      </c>
    </row>
    <row r="75" spans="1:33" ht="13.8">
      <c r="A75" s="7" t="str">
        <f t="shared" si="32"/>
        <v>Cluster10_noMgmt_RCP26_repl4</v>
      </c>
      <c r="B75" s="8" t="s">
        <v>16</v>
      </c>
      <c r="C75" s="8" t="s">
        <v>32</v>
      </c>
      <c r="D75" s="8" t="s">
        <v>34</v>
      </c>
      <c r="E75" s="9" t="str">
        <f t="shared" si="26"/>
        <v>rcp_2_6</v>
      </c>
      <c r="F75" s="8">
        <v>427</v>
      </c>
      <c r="G75" s="8" t="s">
        <v>18</v>
      </c>
      <c r="H75" s="8">
        <v>10</v>
      </c>
      <c r="I75" s="8">
        <v>4</v>
      </c>
      <c r="J75" s="8" t="s">
        <v>19</v>
      </c>
      <c r="K75" s="8" t="s">
        <v>41</v>
      </c>
      <c r="L75" s="10" t="s">
        <v>22</v>
      </c>
      <c r="M75" s="17">
        <v>150</v>
      </c>
      <c r="N75" s="10" t="str">
        <f t="shared" si="27"/>
        <v>Cluster10_noMgmt_RCP26_repl4.sqlite</v>
      </c>
      <c r="O75" s="11">
        <v>1</v>
      </c>
      <c r="P75" s="11">
        <v>0</v>
      </c>
      <c r="Q75" s="12" t="str">
        <f t="shared" si="33"/>
        <v>climate_db_ICHEC-EC-EARTH_rcp_2_6_v4.sqlite</v>
      </c>
      <c r="R75" s="12" t="str">
        <f t="shared" si="28"/>
        <v>log/Cluster10_noMgmt_RCP26_repl4.txt</v>
      </c>
      <c r="S75" s="16" t="str">
        <f t="shared" si="34"/>
        <v>init_JM/env_file_CLUSTER10_ICHEC-EC-EARTH_rcp_2_6_REPL4.csv</v>
      </c>
      <c r="T75" s="16" t="str">
        <f t="shared" si="35"/>
        <v>init_JM/env_grid_CLUSTER10_REPL4.asc</v>
      </c>
      <c r="U75" s="16" t="str">
        <f t="shared" si="36"/>
        <v>init_JM/env_grid_CLUSTER10_REPL4.asc</v>
      </c>
      <c r="V75" s="16" t="str">
        <f t="shared" si="37"/>
        <v>../init_JM/trees_cluster10_repl4.csv</v>
      </c>
      <c r="W75" s="16" t="str">
        <f t="shared" si="38"/>
        <v>../init_JM/saplings_cluster10_repl4.csv</v>
      </c>
      <c r="X75" s="12">
        <f t="shared" si="29"/>
        <v>427</v>
      </c>
      <c r="Y75" s="16" t="str">
        <f t="shared" si="39"/>
        <v>abe/stand_files2/noMgmt_cl10_repl4.csv</v>
      </c>
      <c r="Z75" s="12" t="str">
        <f t="shared" si="30"/>
        <v>true</v>
      </c>
      <c r="AA75" s="16" t="str">
        <f t="shared" si="40"/>
        <v>gis/WindModifier_cl10.asc</v>
      </c>
      <c r="AB75" s="12" t="str">
        <f t="shared" si="41"/>
        <v>true</v>
      </c>
      <c r="AC75" s="12" t="str">
        <f t="shared" si="31"/>
        <v>true</v>
      </c>
      <c r="AD75" s="12" t="str">
        <f t="shared" si="42"/>
        <v>ICHEC-EC-EARTH_rcp_2_6_point32685</v>
      </c>
      <c r="AE75" s="12" t="str">
        <f t="shared" si="43"/>
        <v>true</v>
      </c>
      <c r="AF75" s="12" t="str">
        <f t="shared" si="45"/>
        <v>wind_Events/cl10_repl4.txt</v>
      </c>
      <c r="AG75" s="16" t="str">
        <f t="shared" si="44"/>
        <v>Cluster10_noMgmt_RCP26_repl4</v>
      </c>
    </row>
    <row r="76" spans="1:33" ht="13.8">
      <c r="A76" s="7" t="str">
        <f t="shared" si="32"/>
        <v>Cluster10_noMgmt_RCP45_repl4</v>
      </c>
      <c r="B76" s="8" t="s">
        <v>16</v>
      </c>
      <c r="C76" s="8" t="s">
        <v>32</v>
      </c>
      <c r="D76" s="8" t="s">
        <v>35</v>
      </c>
      <c r="E76" s="9" t="str">
        <f t="shared" si="26"/>
        <v>rcp_4_5</v>
      </c>
      <c r="F76" s="8">
        <v>728</v>
      </c>
      <c r="G76" s="8" t="s">
        <v>18</v>
      </c>
      <c r="H76" s="8">
        <v>10</v>
      </c>
      <c r="I76" s="8">
        <v>4</v>
      </c>
      <c r="J76" s="8" t="s">
        <v>19</v>
      </c>
      <c r="K76" s="8" t="s">
        <v>41</v>
      </c>
      <c r="L76" s="10" t="s">
        <v>22</v>
      </c>
      <c r="M76" s="17">
        <v>150</v>
      </c>
      <c r="N76" s="10" t="str">
        <f t="shared" si="27"/>
        <v>Cluster10_noMgmt_RCP45_repl4.sqlite</v>
      </c>
      <c r="O76" s="11">
        <v>1</v>
      </c>
      <c r="P76" s="11">
        <v>0</v>
      </c>
      <c r="Q76" s="12" t="str">
        <f t="shared" si="33"/>
        <v>climate_db_ICHEC-EC-EARTH_rcp_4_5_v4.sqlite</v>
      </c>
      <c r="R76" s="12" t="str">
        <f t="shared" si="28"/>
        <v>log/Cluster10_noMgmt_RCP45_repl4.txt</v>
      </c>
      <c r="S76" s="16" t="str">
        <f t="shared" si="34"/>
        <v>init_JM/env_file_CLUSTER10_ICHEC-EC-EARTH_rcp_4_5_REPL4.csv</v>
      </c>
      <c r="T76" s="16" t="str">
        <f t="shared" si="35"/>
        <v>init_JM/env_grid_CLUSTER10_REPL4.asc</v>
      </c>
      <c r="U76" s="16" t="str">
        <f t="shared" si="36"/>
        <v>init_JM/env_grid_CLUSTER10_REPL4.asc</v>
      </c>
      <c r="V76" s="16" t="str">
        <f t="shared" si="37"/>
        <v>../init_JM/trees_cluster10_repl4.csv</v>
      </c>
      <c r="W76" s="16" t="str">
        <f t="shared" si="38"/>
        <v>../init_JM/saplings_cluster10_repl4.csv</v>
      </c>
      <c r="X76" s="12">
        <f t="shared" si="29"/>
        <v>728</v>
      </c>
      <c r="Y76" s="16" t="str">
        <f t="shared" si="39"/>
        <v>abe/stand_files2/noMgmt_cl10_repl4.csv</v>
      </c>
      <c r="Z76" s="12" t="str">
        <f t="shared" si="30"/>
        <v>true</v>
      </c>
      <c r="AA76" s="16" t="str">
        <f t="shared" si="40"/>
        <v>gis/WindModifier_cl10.asc</v>
      </c>
      <c r="AB76" s="12" t="str">
        <f t="shared" si="41"/>
        <v>true</v>
      </c>
      <c r="AC76" s="12" t="str">
        <f t="shared" si="31"/>
        <v>true</v>
      </c>
      <c r="AD76" s="12" t="str">
        <f t="shared" si="42"/>
        <v>ICHEC-EC-EARTH_rcp_4_5_point32685</v>
      </c>
      <c r="AE76" s="12" t="str">
        <f t="shared" si="43"/>
        <v>true</v>
      </c>
      <c r="AF76" s="12" t="str">
        <f t="shared" si="45"/>
        <v>wind_Events/cl10_repl4.txt</v>
      </c>
      <c r="AG76" s="16" t="str">
        <f t="shared" si="44"/>
        <v>Cluster10_noMgmt_RCP45_repl4</v>
      </c>
    </row>
    <row r="77" spans="1:33" ht="13.8">
      <c r="A77" s="7" t="str">
        <f t="shared" si="32"/>
        <v>Cluster10_noMgmt_RCP85_repl4</v>
      </c>
      <c r="B77" s="8" t="s">
        <v>16</v>
      </c>
      <c r="C77" s="8" t="s">
        <v>32</v>
      </c>
      <c r="D77" s="8" t="s">
        <v>36</v>
      </c>
      <c r="E77" s="9" t="str">
        <f t="shared" si="26"/>
        <v>rcp_8_5</v>
      </c>
      <c r="F77" s="8">
        <v>1231</v>
      </c>
      <c r="G77" s="8" t="s">
        <v>18</v>
      </c>
      <c r="H77" s="8">
        <v>10</v>
      </c>
      <c r="I77" s="8">
        <v>4</v>
      </c>
      <c r="J77" s="8" t="s">
        <v>19</v>
      </c>
      <c r="K77" s="8" t="s">
        <v>41</v>
      </c>
      <c r="L77" s="10" t="s">
        <v>22</v>
      </c>
      <c r="M77" s="17">
        <v>150</v>
      </c>
      <c r="N77" s="10" t="str">
        <f t="shared" si="27"/>
        <v>Cluster10_noMgmt_RCP85_repl4.sqlite</v>
      </c>
      <c r="O77" s="11">
        <v>1</v>
      </c>
      <c r="P77" s="11">
        <v>0</v>
      </c>
      <c r="Q77" s="12" t="str">
        <f t="shared" si="33"/>
        <v>climate_db_ICHEC-EC-EARTH_rcp_8_5_v4.sqlite</v>
      </c>
      <c r="R77" s="12" t="str">
        <f t="shared" si="28"/>
        <v>log/Cluster10_noMgmt_RCP85_repl4.txt</v>
      </c>
      <c r="S77" s="16" t="str">
        <f t="shared" si="34"/>
        <v>init_JM/env_file_CLUSTER10_ICHEC-EC-EARTH_rcp_8_5_REPL4.csv</v>
      </c>
      <c r="T77" s="16" t="str">
        <f t="shared" si="35"/>
        <v>init_JM/env_grid_CLUSTER10_REPL4.asc</v>
      </c>
      <c r="U77" s="16" t="str">
        <f t="shared" si="36"/>
        <v>init_JM/env_grid_CLUSTER10_REPL4.asc</v>
      </c>
      <c r="V77" s="16" t="str">
        <f t="shared" si="37"/>
        <v>../init_JM/trees_cluster10_repl4.csv</v>
      </c>
      <c r="W77" s="16" t="str">
        <f t="shared" si="38"/>
        <v>../init_JM/saplings_cluster10_repl4.csv</v>
      </c>
      <c r="X77" s="12">
        <f t="shared" si="29"/>
        <v>1231</v>
      </c>
      <c r="Y77" s="16" t="str">
        <f t="shared" si="39"/>
        <v>abe/stand_files2/noMgmt_cl10_repl4.csv</v>
      </c>
      <c r="Z77" s="12" t="str">
        <f t="shared" si="30"/>
        <v>true</v>
      </c>
      <c r="AA77" s="16" t="str">
        <f t="shared" si="40"/>
        <v>gis/WindModifier_cl10.asc</v>
      </c>
      <c r="AB77" s="12" t="str">
        <f t="shared" si="41"/>
        <v>true</v>
      </c>
      <c r="AC77" s="12" t="str">
        <f t="shared" si="31"/>
        <v>true</v>
      </c>
      <c r="AD77" s="12" t="str">
        <f t="shared" si="42"/>
        <v>ICHEC-EC-EARTH_rcp_8_5_point32685</v>
      </c>
      <c r="AE77" s="12" t="str">
        <f t="shared" si="43"/>
        <v>true</v>
      </c>
      <c r="AF77" s="12" t="str">
        <f t="shared" si="45"/>
        <v>wind_Events/cl10_repl4.txt</v>
      </c>
      <c r="AG77" s="16" t="str">
        <f t="shared" si="44"/>
        <v>Cluster10_noMgmt_RCP85_repl4</v>
      </c>
    </row>
    <row r="78" spans="1:33" ht="13.8">
      <c r="A78" s="7" t="str">
        <f t="shared" si="32"/>
        <v>Cluster10_noMgmt_historical_repl5</v>
      </c>
      <c r="B78" s="8" t="s">
        <v>16</v>
      </c>
      <c r="C78" s="8" t="s">
        <v>32</v>
      </c>
      <c r="D78" s="9" t="s">
        <v>17</v>
      </c>
      <c r="E78" s="9" t="str">
        <f t="shared" si="26"/>
        <v>historical</v>
      </c>
      <c r="F78" s="8">
        <v>350</v>
      </c>
      <c r="G78" s="8" t="s">
        <v>18</v>
      </c>
      <c r="H78" s="8">
        <v>10</v>
      </c>
      <c r="I78" s="8">
        <v>5</v>
      </c>
      <c r="J78" s="8" t="s">
        <v>19</v>
      </c>
      <c r="K78" s="8" t="s">
        <v>41</v>
      </c>
      <c r="L78" s="10" t="s">
        <v>21</v>
      </c>
      <c r="M78" s="17">
        <v>150</v>
      </c>
      <c r="N78" s="10" t="str">
        <f t="shared" si="27"/>
        <v>Cluster10_noMgmt_historical_repl5.sqlite</v>
      </c>
      <c r="O78" s="11">
        <v>1</v>
      </c>
      <c r="P78" s="11">
        <v>0</v>
      </c>
      <c r="Q78" s="12" t="str">
        <f t="shared" si="33"/>
        <v>climate_db_ICHEC-EC-EARTH_historical_v4.sqlite</v>
      </c>
      <c r="R78" s="12" t="str">
        <f t="shared" si="28"/>
        <v>log/Cluster10_noMgmt_historical_repl5.txt</v>
      </c>
      <c r="S78" s="16" t="str">
        <f t="shared" si="34"/>
        <v>init_JM/env_file_CLUSTER10_ICHEC-EC-EARTH_historical_REPL5.csv</v>
      </c>
      <c r="T78" s="16" t="str">
        <f t="shared" si="35"/>
        <v>init_JM/env_grid_CLUSTER10_REPL5.asc</v>
      </c>
      <c r="U78" s="16" t="str">
        <f t="shared" si="36"/>
        <v>init_JM/env_grid_CLUSTER10_REPL5.asc</v>
      </c>
      <c r="V78" s="16" t="str">
        <f t="shared" si="37"/>
        <v>../init_JM/trees_cluster10_repl5.csv</v>
      </c>
      <c r="W78" s="16" t="str">
        <f t="shared" si="38"/>
        <v>../init_JM/saplings_cluster10_repl5.csv</v>
      </c>
      <c r="X78" s="12">
        <f t="shared" si="29"/>
        <v>350</v>
      </c>
      <c r="Y78" s="16" t="str">
        <f t="shared" si="39"/>
        <v>abe/stand_files2/noMgmt_cl10_repl5.csv</v>
      </c>
      <c r="Z78" s="12" t="str">
        <f t="shared" si="30"/>
        <v>true</v>
      </c>
      <c r="AA78" s="16" t="str">
        <f t="shared" si="40"/>
        <v>gis/WindModifier_cl10.asc</v>
      </c>
      <c r="AB78" s="12" t="str">
        <f t="shared" si="41"/>
        <v>true</v>
      </c>
      <c r="AC78" s="12" t="str">
        <f t="shared" si="31"/>
        <v>true</v>
      </c>
      <c r="AD78" s="12" t="str">
        <f t="shared" si="42"/>
        <v>ICHEC-EC-EARTH_historical_point32685</v>
      </c>
      <c r="AE78" s="12" t="str">
        <f t="shared" si="43"/>
        <v>true</v>
      </c>
      <c r="AF78" s="12" t="str">
        <f t="shared" si="45"/>
        <v>wind_Events/cl10_repl5.txt</v>
      </c>
      <c r="AG78" s="16" t="str">
        <f t="shared" si="44"/>
        <v>Cluster10_noMgmt_historical_repl5</v>
      </c>
    </row>
    <row r="79" spans="1:33" ht="13.8">
      <c r="A79" s="7" t="str">
        <f t="shared" si="32"/>
        <v>Cluster10_noMgmt_RCP26_repl5</v>
      </c>
      <c r="B79" s="8" t="s">
        <v>16</v>
      </c>
      <c r="C79" s="8" t="s">
        <v>32</v>
      </c>
      <c r="D79" s="8" t="s">
        <v>34</v>
      </c>
      <c r="E79" s="9" t="str">
        <f t="shared" si="26"/>
        <v>rcp_2_6</v>
      </c>
      <c r="F79" s="8">
        <v>427</v>
      </c>
      <c r="G79" s="8" t="s">
        <v>18</v>
      </c>
      <c r="H79" s="8">
        <v>10</v>
      </c>
      <c r="I79" s="8">
        <v>5</v>
      </c>
      <c r="J79" s="8" t="s">
        <v>19</v>
      </c>
      <c r="K79" s="8" t="s">
        <v>41</v>
      </c>
      <c r="L79" s="10" t="s">
        <v>22</v>
      </c>
      <c r="M79" s="17">
        <v>150</v>
      </c>
      <c r="N79" s="10" t="str">
        <f t="shared" si="27"/>
        <v>Cluster10_noMgmt_RCP26_repl5.sqlite</v>
      </c>
      <c r="O79" s="11">
        <v>1</v>
      </c>
      <c r="P79" s="11">
        <v>0</v>
      </c>
      <c r="Q79" s="12" t="str">
        <f t="shared" si="33"/>
        <v>climate_db_ICHEC-EC-EARTH_rcp_2_6_v4.sqlite</v>
      </c>
      <c r="R79" s="12" t="str">
        <f t="shared" si="28"/>
        <v>log/Cluster10_noMgmt_RCP26_repl5.txt</v>
      </c>
      <c r="S79" s="16" t="str">
        <f t="shared" si="34"/>
        <v>init_JM/env_file_CLUSTER10_ICHEC-EC-EARTH_rcp_2_6_REPL5.csv</v>
      </c>
      <c r="T79" s="16" t="str">
        <f t="shared" si="35"/>
        <v>init_JM/env_grid_CLUSTER10_REPL5.asc</v>
      </c>
      <c r="U79" s="16" t="str">
        <f t="shared" si="36"/>
        <v>init_JM/env_grid_CLUSTER10_REPL5.asc</v>
      </c>
      <c r="V79" s="16" t="str">
        <f t="shared" si="37"/>
        <v>../init_JM/trees_cluster10_repl5.csv</v>
      </c>
      <c r="W79" s="16" t="str">
        <f t="shared" si="38"/>
        <v>../init_JM/saplings_cluster10_repl5.csv</v>
      </c>
      <c r="X79" s="12">
        <f t="shared" si="29"/>
        <v>427</v>
      </c>
      <c r="Y79" s="16" t="str">
        <f t="shared" si="39"/>
        <v>abe/stand_files2/noMgmt_cl10_repl5.csv</v>
      </c>
      <c r="Z79" s="12" t="str">
        <f t="shared" si="30"/>
        <v>true</v>
      </c>
      <c r="AA79" s="16" t="str">
        <f t="shared" si="40"/>
        <v>gis/WindModifier_cl10.asc</v>
      </c>
      <c r="AB79" s="12" t="str">
        <f t="shared" si="41"/>
        <v>true</v>
      </c>
      <c r="AC79" s="12" t="str">
        <f t="shared" si="31"/>
        <v>true</v>
      </c>
      <c r="AD79" s="12" t="str">
        <f t="shared" si="42"/>
        <v>ICHEC-EC-EARTH_rcp_2_6_point32685</v>
      </c>
      <c r="AE79" s="12" t="str">
        <f t="shared" si="43"/>
        <v>true</v>
      </c>
      <c r="AF79" s="12" t="str">
        <f t="shared" si="45"/>
        <v>wind_Events/cl10_repl5.txt</v>
      </c>
      <c r="AG79" s="16" t="str">
        <f t="shared" si="44"/>
        <v>Cluster10_noMgmt_RCP26_repl5</v>
      </c>
    </row>
    <row r="80" spans="1:33" ht="13.8">
      <c r="A80" s="7" t="str">
        <f t="shared" si="32"/>
        <v>Cluster10_noMgmt_RCP45_repl5</v>
      </c>
      <c r="B80" s="8" t="s">
        <v>16</v>
      </c>
      <c r="C80" s="8" t="s">
        <v>32</v>
      </c>
      <c r="D80" s="8" t="s">
        <v>35</v>
      </c>
      <c r="E80" s="9" t="str">
        <f t="shared" si="26"/>
        <v>rcp_4_5</v>
      </c>
      <c r="F80" s="8">
        <v>728</v>
      </c>
      <c r="G80" s="8" t="s">
        <v>18</v>
      </c>
      <c r="H80" s="8">
        <v>10</v>
      </c>
      <c r="I80" s="8">
        <v>5</v>
      </c>
      <c r="J80" s="8" t="s">
        <v>19</v>
      </c>
      <c r="K80" s="8" t="s">
        <v>41</v>
      </c>
      <c r="L80" s="10" t="s">
        <v>22</v>
      </c>
      <c r="M80" s="17">
        <v>150</v>
      </c>
      <c r="N80" s="10" t="str">
        <f t="shared" si="27"/>
        <v>Cluster10_noMgmt_RCP45_repl5.sqlite</v>
      </c>
      <c r="O80" s="11">
        <v>1</v>
      </c>
      <c r="P80" s="11">
        <v>0</v>
      </c>
      <c r="Q80" s="12" t="str">
        <f t="shared" si="33"/>
        <v>climate_db_ICHEC-EC-EARTH_rcp_4_5_v4.sqlite</v>
      </c>
      <c r="R80" s="12" t="str">
        <f t="shared" si="28"/>
        <v>log/Cluster10_noMgmt_RCP45_repl5.txt</v>
      </c>
      <c r="S80" s="16" t="str">
        <f t="shared" si="34"/>
        <v>init_JM/env_file_CLUSTER10_ICHEC-EC-EARTH_rcp_4_5_REPL5.csv</v>
      </c>
      <c r="T80" s="16" t="str">
        <f t="shared" si="35"/>
        <v>init_JM/env_grid_CLUSTER10_REPL5.asc</v>
      </c>
      <c r="U80" s="16" t="str">
        <f t="shared" si="36"/>
        <v>init_JM/env_grid_CLUSTER10_REPL5.asc</v>
      </c>
      <c r="V80" s="16" t="str">
        <f t="shared" si="37"/>
        <v>../init_JM/trees_cluster10_repl5.csv</v>
      </c>
      <c r="W80" s="16" t="str">
        <f t="shared" si="38"/>
        <v>../init_JM/saplings_cluster10_repl5.csv</v>
      </c>
      <c r="X80" s="12">
        <f t="shared" si="29"/>
        <v>728</v>
      </c>
      <c r="Y80" s="16" t="str">
        <f t="shared" si="39"/>
        <v>abe/stand_files2/noMgmt_cl10_repl5.csv</v>
      </c>
      <c r="Z80" s="12" t="str">
        <f t="shared" si="30"/>
        <v>true</v>
      </c>
      <c r="AA80" s="16" t="str">
        <f t="shared" si="40"/>
        <v>gis/WindModifier_cl10.asc</v>
      </c>
      <c r="AB80" s="12" t="str">
        <f t="shared" si="41"/>
        <v>true</v>
      </c>
      <c r="AC80" s="12" t="str">
        <f t="shared" si="31"/>
        <v>true</v>
      </c>
      <c r="AD80" s="12" t="str">
        <f t="shared" si="42"/>
        <v>ICHEC-EC-EARTH_rcp_4_5_point32685</v>
      </c>
      <c r="AE80" s="12" t="str">
        <f t="shared" si="43"/>
        <v>true</v>
      </c>
      <c r="AF80" s="12" t="str">
        <f t="shared" si="45"/>
        <v>wind_Events/cl10_repl5.txt</v>
      </c>
      <c r="AG80" s="16" t="str">
        <f t="shared" si="44"/>
        <v>Cluster10_noMgmt_RCP45_repl5</v>
      </c>
    </row>
    <row r="81" spans="1:33" ht="13.8">
      <c r="A81" s="7" t="str">
        <f t="shared" si="32"/>
        <v>Cluster10_noMgmt_RCP85_repl5</v>
      </c>
      <c r="B81" s="8" t="s">
        <v>16</v>
      </c>
      <c r="C81" s="8" t="s">
        <v>32</v>
      </c>
      <c r="D81" s="8" t="s">
        <v>36</v>
      </c>
      <c r="E81" s="9" t="str">
        <f t="shared" si="26"/>
        <v>rcp_8_5</v>
      </c>
      <c r="F81" s="8">
        <v>1231</v>
      </c>
      <c r="G81" s="8" t="s">
        <v>18</v>
      </c>
      <c r="H81" s="8">
        <v>10</v>
      </c>
      <c r="I81" s="8">
        <v>5</v>
      </c>
      <c r="J81" s="8" t="s">
        <v>19</v>
      </c>
      <c r="K81" s="8" t="s">
        <v>41</v>
      </c>
      <c r="L81" s="10" t="s">
        <v>22</v>
      </c>
      <c r="M81" s="17">
        <v>150</v>
      </c>
      <c r="N81" s="10" t="str">
        <f t="shared" si="27"/>
        <v>Cluster10_noMgmt_RCP85_repl5.sqlite</v>
      </c>
      <c r="O81" s="11">
        <v>1</v>
      </c>
      <c r="P81" s="11">
        <v>0</v>
      </c>
      <c r="Q81" s="12" t="str">
        <f t="shared" si="33"/>
        <v>climate_db_ICHEC-EC-EARTH_rcp_8_5_v4.sqlite</v>
      </c>
      <c r="R81" s="12" t="str">
        <f t="shared" si="28"/>
        <v>log/Cluster10_noMgmt_RCP85_repl5.txt</v>
      </c>
      <c r="S81" s="16" t="str">
        <f t="shared" si="34"/>
        <v>init_JM/env_file_CLUSTER10_ICHEC-EC-EARTH_rcp_8_5_REPL5.csv</v>
      </c>
      <c r="T81" s="16" t="str">
        <f t="shared" si="35"/>
        <v>init_JM/env_grid_CLUSTER10_REPL5.asc</v>
      </c>
      <c r="U81" s="16" t="str">
        <f t="shared" si="36"/>
        <v>init_JM/env_grid_CLUSTER10_REPL5.asc</v>
      </c>
      <c r="V81" s="16" t="str">
        <f t="shared" si="37"/>
        <v>../init_JM/trees_cluster10_repl5.csv</v>
      </c>
      <c r="W81" s="16" t="str">
        <f t="shared" si="38"/>
        <v>../init_JM/saplings_cluster10_repl5.csv</v>
      </c>
      <c r="X81" s="12">
        <f t="shared" si="29"/>
        <v>1231</v>
      </c>
      <c r="Y81" s="16" t="str">
        <f t="shared" si="39"/>
        <v>abe/stand_files2/noMgmt_cl10_repl5.csv</v>
      </c>
      <c r="Z81" s="12" t="str">
        <f t="shared" si="30"/>
        <v>true</v>
      </c>
      <c r="AA81" s="16" t="str">
        <f t="shared" si="40"/>
        <v>gis/WindModifier_cl10.asc</v>
      </c>
      <c r="AB81" s="12" t="str">
        <f t="shared" si="41"/>
        <v>true</v>
      </c>
      <c r="AC81" s="12" t="str">
        <f t="shared" si="31"/>
        <v>true</v>
      </c>
      <c r="AD81" s="12" t="str">
        <f t="shared" si="42"/>
        <v>ICHEC-EC-EARTH_rcp_8_5_point32685</v>
      </c>
      <c r="AE81" s="12" t="str">
        <f t="shared" si="43"/>
        <v>true</v>
      </c>
      <c r="AF81" s="12" t="str">
        <f t="shared" si="45"/>
        <v>wind_Events/cl10_repl5.txt</v>
      </c>
      <c r="AG81" s="16" t="str">
        <f t="shared" si="44"/>
        <v>Cluster10_noMgmt_RCP85_repl5</v>
      </c>
    </row>
    <row r="82" spans="1:33" ht="15.75" customHeight="1">
      <c r="S82" s="13"/>
    </row>
  </sheetData>
  <autoFilter ref="A1:AC1" xr:uid="{00000000-0009-0000-0000-000000000000}">
    <sortState ref="A2:AC81">
      <sortCondition ref="B1"/>
    </sortState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B7AE-10E4-4878-9D5C-F7DD6FB2A87E}">
  <sheetPr>
    <outlinePr summaryBelow="0" summaryRight="0"/>
  </sheetPr>
  <dimension ref="A1:S81"/>
  <sheetViews>
    <sheetView workbookViewId="0">
      <selection activeCell="P3" sqref="P3:P5"/>
    </sheetView>
  </sheetViews>
  <sheetFormatPr baseColWidth="10" defaultColWidth="13.88671875" defaultRowHeight="15.75" customHeight="1"/>
  <cols>
    <col min="1" max="1" width="42.44140625" style="6" customWidth="1"/>
    <col min="2" max="3" width="19.109375" style="6" customWidth="1"/>
    <col min="4" max="5" width="17.44140625" style="6" customWidth="1"/>
    <col min="6" max="6" width="19.88671875" style="6" customWidth="1"/>
    <col min="7" max="7" width="22.109375" style="6" customWidth="1"/>
    <col min="8" max="9" width="13.88671875" style="6"/>
    <col min="10" max="10" width="22" style="6" customWidth="1"/>
    <col min="11" max="11" width="10.88671875" style="6" customWidth="1"/>
    <col min="12" max="12" width="42.5546875" style="6" customWidth="1"/>
    <col min="13" max="13" width="13.88671875" style="6"/>
    <col min="14" max="14" width="49.109375" style="6" customWidth="1"/>
    <col min="15" max="15" width="46.44140625" style="6" customWidth="1"/>
    <col min="16" max="16" width="25" style="6" customWidth="1"/>
    <col min="17" max="17" width="42.6640625" style="6" customWidth="1"/>
    <col min="18" max="18" width="23.33203125" style="6" bestFit="1" customWidth="1"/>
    <col min="19" max="19" width="28.44140625" style="6" customWidth="1"/>
    <col min="20" max="16384" width="13.88671875" style="6"/>
  </cols>
  <sheetData>
    <row r="1" spans="1:19" ht="13.8">
      <c r="A1" s="1" t="s">
        <v>0</v>
      </c>
      <c r="B1" s="2" t="s">
        <v>26</v>
      </c>
      <c r="C1" s="2" t="s">
        <v>27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4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33</v>
      </c>
    </row>
    <row r="2" spans="1:19" ht="13.8">
      <c r="A2" s="7" t="str">
        <f xml:space="preserve"> TEXT(B2, "00") &amp; "_" &amp; TEXT(C2, "00") &amp;  "_repl" &amp; D2 &amp; "_"  &amp; E2</f>
        <v>noMgmt_NoSC_repl1_historical</v>
      </c>
      <c r="B2" s="8" t="s">
        <v>16</v>
      </c>
      <c r="C2" s="8" t="s">
        <v>32</v>
      </c>
      <c r="D2" s="9">
        <v>1</v>
      </c>
      <c r="E2" s="9" t="s">
        <v>17</v>
      </c>
      <c r="F2" s="8">
        <v>350</v>
      </c>
      <c r="G2" s="8" t="s">
        <v>18</v>
      </c>
      <c r="H2" s="8" t="s">
        <v>19</v>
      </c>
      <c r="I2" s="8" t="s">
        <v>20</v>
      </c>
      <c r="J2" s="10" t="s">
        <v>21</v>
      </c>
      <c r="K2" s="10">
        <v>150</v>
      </c>
      <c r="L2" s="10" t="str">
        <f t="shared" ref="L2:L17" si="0">A2  &amp; ".sqlite"</f>
        <v>noMgmt_NoSC_repl1_historical.sqlite</v>
      </c>
      <c r="M2" s="11">
        <v>1</v>
      </c>
      <c r="N2" s="12" t="str">
        <f t="shared" ref="N2:N17" si="1">"climate_db_" &amp; G2&amp; "_" &amp;  E2&amp; "_v4.sqlite"</f>
        <v>climate_db_ICHEC-EC-EARTH_historical_v4.sqlite</v>
      </c>
      <c r="O2" s="12" t="str">
        <f t="shared" ref="O2:O17" si="2">"log/" &amp;A2  &amp; ".txt"</f>
        <v>log/noMgmt_NoSC_repl1_historical.txt</v>
      </c>
      <c r="P2" s="12">
        <f t="shared" ref="P2:P17" si="3">F2</f>
        <v>350</v>
      </c>
      <c r="Q2" s="12" t="str">
        <f>"abe/stand_files/" &amp;  B2  &amp; IF(B2="NoMgmt", "", "_" &amp; C2) &amp; ".csv"</f>
        <v>abe/stand_files/noMgmt.csv</v>
      </c>
      <c r="R2" s="12" t="str">
        <f>I2</f>
        <v>false</v>
      </c>
      <c r="S2" s="12" t="str">
        <f>I2</f>
        <v>false</v>
      </c>
    </row>
    <row r="3" spans="1:19" ht="13.8">
      <c r="A3" s="7" t="str">
        <f t="shared" ref="A3:A66" si="4" xml:space="preserve"> TEXT(B3, "00") &amp; "_" &amp; TEXT(C3, "00") &amp;  "_repl" &amp; D3 &amp; "_"  &amp; E3</f>
        <v>noMgmt_NoSC_repl1_RCP26</v>
      </c>
      <c r="B3" s="8" t="s">
        <v>16</v>
      </c>
      <c r="C3" s="8" t="s">
        <v>32</v>
      </c>
      <c r="D3" s="9">
        <v>1</v>
      </c>
      <c r="E3" s="8" t="s">
        <v>34</v>
      </c>
      <c r="F3" s="8">
        <v>427</v>
      </c>
      <c r="G3" s="8" t="s">
        <v>18</v>
      </c>
      <c r="H3" s="8" t="s">
        <v>19</v>
      </c>
      <c r="I3" s="8" t="s">
        <v>20</v>
      </c>
      <c r="J3" s="10" t="s">
        <v>22</v>
      </c>
      <c r="K3" s="10">
        <v>150</v>
      </c>
      <c r="L3" s="10" t="str">
        <f t="shared" si="0"/>
        <v>noMgmt_NoSC_repl1_RCP26.sqlite</v>
      </c>
      <c r="M3" s="11">
        <v>1</v>
      </c>
      <c r="N3" s="12" t="str">
        <f t="shared" si="1"/>
        <v>climate_db_ICHEC-EC-EARTH_RCP26_v4.sqlite</v>
      </c>
      <c r="O3" s="12" t="str">
        <f t="shared" si="2"/>
        <v>log/noMgmt_NoSC_repl1_RCP26.txt</v>
      </c>
      <c r="P3" s="12">
        <f t="shared" si="3"/>
        <v>427</v>
      </c>
      <c r="Q3" s="12" t="str">
        <f t="shared" ref="Q3:Q66" si="5">"abe/stand_files/" &amp;  B3  &amp; IF(B3="NoMgmt", "", "_" &amp; C3) &amp; ".csv"</f>
        <v>abe/stand_files/noMgmt.csv</v>
      </c>
      <c r="R3" s="12" t="str">
        <f t="shared" ref="R3:R17" si="6">I3</f>
        <v>false</v>
      </c>
      <c r="S3" s="12" t="str">
        <f t="shared" ref="S3:S66" si="7">I3</f>
        <v>false</v>
      </c>
    </row>
    <row r="4" spans="1:19" ht="13.8">
      <c r="A4" s="7" t="str">
        <f t="shared" si="4"/>
        <v>noMgmt_NoSC_repl1_RCP45</v>
      </c>
      <c r="B4" s="8" t="s">
        <v>16</v>
      </c>
      <c r="C4" s="8" t="s">
        <v>32</v>
      </c>
      <c r="D4" s="9">
        <v>1</v>
      </c>
      <c r="E4" s="8" t="s">
        <v>35</v>
      </c>
      <c r="F4" s="8">
        <v>728</v>
      </c>
      <c r="G4" s="8" t="s">
        <v>18</v>
      </c>
      <c r="H4" s="8" t="s">
        <v>19</v>
      </c>
      <c r="I4" s="8" t="s">
        <v>20</v>
      </c>
      <c r="J4" s="10" t="s">
        <v>22</v>
      </c>
      <c r="K4" s="10">
        <v>150</v>
      </c>
      <c r="L4" s="10" t="str">
        <f t="shared" si="0"/>
        <v>noMgmt_NoSC_repl1_RCP45.sqlite</v>
      </c>
      <c r="M4" s="11">
        <v>1</v>
      </c>
      <c r="N4" s="12" t="str">
        <f t="shared" si="1"/>
        <v>climate_db_ICHEC-EC-EARTH_RCP45_v4.sqlite</v>
      </c>
      <c r="O4" s="12" t="str">
        <f t="shared" si="2"/>
        <v>log/noMgmt_NoSC_repl1_RCP45.txt</v>
      </c>
      <c r="P4" s="12">
        <f t="shared" si="3"/>
        <v>728</v>
      </c>
      <c r="Q4" s="12" t="str">
        <f t="shared" si="5"/>
        <v>abe/stand_files/noMgmt.csv</v>
      </c>
      <c r="R4" s="12" t="str">
        <f t="shared" si="6"/>
        <v>false</v>
      </c>
      <c r="S4" s="12" t="str">
        <f t="shared" si="7"/>
        <v>false</v>
      </c>
    </row>
    <row r="5" spans="1:19" ht="13.8">
      <c r="A5" s="7" t="str">
        <f t="shared" si="4"/>
        <v>noMgmt_NoSC_repl1_RCP85</v>
      </c>
      <c r="B5" s="8" t="s">
        <v>16</v>
      </c>
      <c r="C5" s="8" t="s">
        <v>32</v>
      </c>
      <c r="D5" s="9">
        <v>1</v>
      </c>
      <c r="E5" s="8" t="s">
        <v>36</v>
      </c>
      <c r="F5" s="8">
        <v>1231</v>
      </c>
      <c r="G5" s="8" t="s">
        <v>18</v>
      </c>
      <c r="H5" s="8" t="s">
        <v>19</v>
      </c>
      <c r="I5" s="8" t="s">
        <v>20</v>
      </c>
      <c r="J5" s="10" t="s">
        <v>22</v>
      </c>
      <c r="K5" s="10">
        <v>150</v>
      </c>
      <c r="L5" s="10" t="str">
        <f t="shared" si="0"/>
        <v>noMgmt_NoSC_repl1_RCP85.sqlite</v>
      </c>
      <c r="M5" s="11">
        <v>1</v>
      </c>
      <c r="N5" s="12" t="str">
        <f t="shared" si="1"/>
        <v>climate_db_ICHEC-EC-EARTH_RCP85_v4.sqlite</v>
      </c>
      <c r="O5" s="12" t="str">
        <f t="shared" si="2"/>
        <v>log/noMgmt_NoSC_repl1_RCP85.txt</v>
      </c>
      <c r="P5" s="12">
        <f t="shared" si="3"/>
        <v>1231</v>
      </c>
      <c r="Q5" s="12" t="str">
        <f t="shared" si="5"/>
        <v>abe/stand_files/noMgmt.csv</v>
      </c>
      <c r="R5" s="12" t="str">
        <f t="shared" si="6"/>
        <v>false</v>
      </c>
      <c r="S5" s="12" t="str">
        <f t="shared" si="7"/>
        <v>false</v>
      </c>
    </row>
    <row r="6" spans="1:19" ht="13.8">
      <c r="A6" s="7" t="str">
        <f t="shared" si="4"/>
        <v>lowStructure_NoSC_repl1_historical</v>
      </c>
      <c r="B6" s="8" t="s">
        <v>23</v>
      </c>
      <c r="C6" s="8" t="s">
        <v>32</v>
      </c>
      <c r="D6" s="9">
        <v>1</v>
      </c>
      <c r="E6" s="9" t="s">
        <v>17</v>
      </c>
      <c r="F6" s="8">
        <v>350</v>
      </c>
      <c r="G6" s="8" t="s">
        <v>18</v>
      </c>
      <c r="H6" s="8" t="s">
        <v>19</v>
      </c>
      <c r="I6" s="8" t="s">
        <v>20</v>
      </c>
      <c r="J6" s="10" t="s">
        <v>21</v>
      </c>
      <c r="K6" s="10">
        <v>150</v>
      </c>
      <c r="L6" s="10" t="str">
        <f t="shared" si="0"/>
        <v>lowStructure_NoSC_repl1_historical.sqlite</v>
      </c>
      <c r="M6" s="11">
        <v>1</v>
      </c>
      <c r="N6" s="12" t="str">
        <f t="shared" si="1"/>
        <v>climate_db_ICHEC-EC-EARTH_historical_v4.sqlite</v>
      </c>
      <c r="O6" s="12" t="str">
        <f t="shared" si="2"/>
        <v>log/lowStructure_NoSC_repl1_historical.txt</v>
      </c>
      <c r="P6" s="12">
        <f t="shared" si="3"/>
        <v>350</v>
      </c>
      <c r="Q6" s="12" t="str">
        <f t="shared" si="5"/>
        <v>abe/stand_files/lowStructure_NoSC.csv</v>
      </c>
      <c r="R6" s="12" t="str">
        <f t="shared" si="6"/>
        <v>false</v>
      </c>
      <c r="S6" s="12" t="str">
        <f t="shared" si="7"/>
        <v>false</v>
      </c>
    </row>
    <row r="7" spans="1:19" ht="13.8">
      <c r="A7" s="7" t="str">
        <f t="shared" si="4"/>
        <v>lowStructure_NoSC_repl1_RCP26</v>
      </c>
      <c r="B7" s="8" t="s">
        <v>23</v>
      </c>
      <c r="C7" s="8" t="s">
        <v>32</v>
      </c>
      <c r="D7" s="9">
        <v>1</v>
      </c>
      <c r="E7" s="8" t="s">
        <v>34</v>
      </c>
      <c r="F7" s="8">
        <v>427</v>
      </c>
      <c r="G7" s="8" t="s">
        <v>18</v>
      </c>
      <c r="H7" s="8" t="s">
        <v>19</v>
      </c>
      <c r="I7" s="8" t="s">
        <v>20</v>
      </c>
      <c r="J7" s="10" t="s">
        <v>22</v>
      </c>
      <c r="K7" s="10">
        <v>150</v>
      </c>
      <c r="L7" s="10" t="str">
        <f t="shared" si="0"/>
        <v>lowStructure_NoSC_repl1_RCP26.sqlite</v>
      </c>
      <c r="M7" s="11">
        <v>1</v>
      </c>
      <c r="N7" s="12" t="str">
        <f t="shared" si="1"/>
        <v>climate_db_ICHEC-EC-EARTH_RCP26_v4.sqlite</v>
      </c>
      <c r="O7" s="12" t="str">
        <f t="shared" si="2"/>
        <v>log/lowStructure_NoSC_repl1_RCP26.txt</v>
      </c>
      <c r="P7" s="12">
        <f t="shared" si="3"/>
        <v>427</v>
      </c>
      <c r="Q7" s="12" t="str">
        <f t="shared" si="5"/>
        <v>abe/stand_files/lowStructure_NoSC.csv</v>
      </c>
      <c r="R7" s="12" t="str">
        <f t="shared" si="6"/>
        <v>false</v>
      </c>
      <c r="S7" s="12" t="str">
        <f t="shared" si="7"/>
        <v>false</v>
      </c>
    </row>
    <row r="8" spans="1:19" ht="13.8">
      <c r="A8" s="7" t="str">
        <f t="shared" si="4"/>
        <v>lowStructure_NoSC_repl1_RCP45</v>
      </c>
      <c r="B8" s="8" t="s">
        <v>23</v>
      </c>
      <c r="C8" s="8" t="s">
        <v>32</v>
      </c>
      <c r="D8" s="9">
        <v>1</v>
      </c>
      <c r="E8" s="8" t="s">
        <v>35</v>
      </c>
      <c r="F8" s="8">
        <v>728</v>
      </c>
      <c r="G8" s="8" t="s">
        <v>18</v>
      </c>
      <c r="H8" s="8" t="s">
        <v>19</v>
      </c>
      <c r="I8" s="8" t="s">
        <v>20</v>
      </c>
      <c r="J8" s="10" t="s">
        <v>22</v>
      </c>
      <c r="K8" s="10">
        <v>150</v>
      </c>
      <c r="L8" s="10" t="str">
        <f t="shared" si="0"/>
        <v>lowStructure_NoSC_repl1_RCP45.sqlite</v>
      </c>
      <c r="M8" s="11">
        <v>1</v>
      </c>
      <c r="N8" s="12" t="str">
        <f t="shared" si="1"/>
        <v>climate_db_ICHEC-EC-EARTH_RCP45_v4.sqlite</v>
      </c>
      <c r="O8" s="12" t="str">
        <f t="shared" si="2"/>
        <v>log/lowStructure_NoSC_repl1_RCP45.txt</v>
      </c>
      <c r="P8" s="12">
        <f t="shared" si="3"/>
        <v>728</v>
      </c>
      <c r="Q8" s="12" t="str">
        <f t="shared" si="5"/>
        <v>abe/stand_files/lowStructure_NoSC.csv</v>
      </c>
      <c r="R8" s="12" t="str">
        <f t="shared" si="6"/>
        <v>false</v>
      </c>
      <c r="S8" s="12" t="str">
        <f t="shared" si="7"/>
        <v>false</v>
      </c>
    </row>
    <row r="9" spans="1:19" ht="13.8">
      <c r="A9" s="7" t="str">
        <f t="shared" si="4"/>
        <v>lowStructure_NoSC_repl1_RCP85</v>
      </c>
      <c r="B9" s="8" t="s">
        <v>23</v>
      </c>
      <c r="C9" s="8" t="s">
        <v>32</v>
      </c>
      <c r="D9" s="9">
        <v>1</v>
      </c>
      <c r="E9" s="8" t="s">
        <v>36</v>
      </c>
      <c r="F9" s="8">
        <v>1231</v>
      </c>
      <c r="G9" s="8" t="s">
        <v>18</v>
      </c>
      <c r="H9" s="8" t="s">
        <v>19</v>
      </c>
      <c r="I9" s="8" t="s">
        <v>20</v>
      </c>
      <c r="J9" s="10" t="s">
        <v>22</v>
      </c>
      <c r="K9" s="10">
        <v>150</v>
      </c>
      <c r="L9" s="10" t="str">
        <f t="shared" si="0"/>
        <v>lowStructure_NoSC_repl1_RCP85.sqlite</v>
      </c>
      <c r="M9" s="11">
        <v>1</v>
      </c>
      <c r="N9" s="12" t="str">
        <f t="shared" si="1"/>
        <v>climate_db_ICHEC-EC-EARTH_RCP85_v4.sqlite</v>
      </c>
      <c r="O9" s="12" t="str">
        <f t="shared" si="2"/>
        <v>log/lowStructure_NoSC_repl1_RCP85.txt</v>
      </c>
      <c r="P9" s="12">
        <f t="shared" si="3"/>
        <v>1231</v>
      </c>
      <c r="Q9" s="12" t="str">
        <f t="shared" si="5"/>
        <v>abe/stand_files/lowStructure_NoSC.csv</v>
      </c>
      <c r="R9" s="12" t="str">
        <f t="shared" si="6"/>
        <v>false</v>
      </c>
      <c r="S9" s="12" t="str">
        <f t="shared" si="7"/>
        <v>false</v>
      </c>
    </row>
    <row r="10" spans="1:19" ht="13.8">
      <c r="A10" s="7" t="str">
        <f t="shared" si="4"/>
        <v>mediumStructure_NoSC_repl1_historical</v>
      </c>
      <c r="B10" s="8" t="s">
        <v>24</v>
      </c>
      <c r="C10" s="8" t="s">
        <v>32</v>
      </c>
      <c r="D10" s="9">
        <v>1</v>
      </c>
      <c r="E10" s="9" t="s">
        <v>17</v>
      </c>
      <c r="F10" s="8">
        <v>350</v>
      </c>
      <c r="G10" s="8" t="s">
        <v>18</v>
      </c>
      <c r="H10" s="8" t="s">
        <v>19</v>
      </c>
      <c r="I10" s="8" t="s">
        <v>20</v>
      </c>
      <c r="J10" s="10" t="s">
        <v>21</v>
      </c>
      <c r="K10" s="10">
        <v>150</v>
      </c>
      <c r="L10" s="10" t="str">
        <f t="shared" si="0"/>
        <v>mediumStructure_NoSC_repl1_historical.sqlite</v>
      </c>
      <c r="M10" s="11">
        <v>1</v>
      </c>
      <c r="N10" s="12" t="str">
        <f t="shared" si="1"/>
        <v>climate_db_ICHEC-EC-EARTH_historical_v4.sqlite</v>
      </c>
      <c r="O10" s="12" t="str">
        <f t="shared" si="2"/>
        <v>log/mediumStructure_NoSC_repl1_historical.txt</v>
      </c>
      <c r="P10" s="12">
        <f t="shared" si="3"/>
        <v>350</v>
      </c>
      <c r="Q10" s="12" t="str">
        <f t="shared" si="5"/>
        <v>abe/stand_files/mediumStructure_NoSC.csv</v>
      </c>
      <c r="R10" s="12" t="str">
        <f t="shared" si="6"/>
        <v>false</v>
      </c>
      <c r="S10" s="12" t="str">
        <f t="shared" si="7"/>
        <v>false</v>
      </c>
    </row>
    <row r="11" spans="1:19" ht="13.8">
      <c r="A11" s="7" t="str">
        <f t="shared" si="4"/>
        <v>mediumStructure_NoSC_repl1_RCP26</v>
      </c>
      <c r="B11" s="8" t="s">
        <v>24</v>
      </c>
      <c r="C11" s="8" t="s">
        <v>32</v>
      </c>
      <c r="D11" s="9">
        <v>1</v>
      </c>
      <c r="E11" s="8" t="s">
        <v>34</v>
      </c>
      <c r="F11" s="8">
        <v>427</v>
      </c>
      <c r="G11" s="8" t="s">
        <v>18</v>
      </c>
      <c r="H11" s="8" t="s">
        <v>19</v>
      </c>
      <c r="I11" s="8" t="s">
        <v>20</v>
      </c>
      <c r="J11" s="10" t="s">
        <v>22</v>
      </c>
      <c r="K11" s="10">
        <v>150</v>
      </c>
      <c r="L11" s="10" t="str">
        <f t="shared" si="0"/>
        <v>mediumStructure_NoSC_repl1_RCP26.sqlite</v>
      </c>
      <c r="M11" s="11">
        <v>1</v>
      </c>
      <c r="N11" s="12" t="str">
        <f t="shared" si="1"/>
        <v>climate_db_ICHEC-EC-EARTH_RCP26_v4.sqlite</v>
      </c>
      <c r="O11" s="12" t="str">
        <f t="shared" si="2"/>
        <v>log/mediumStructure_NoSC_repl1_RCP26.txt</v>
      </c>
      <c r="P11" s="12">
        <f t="shared" si="3"/>
        <v>427</v>
      </c>
      <c r="Q11" s="12" t="str">
        <f t="shared" si="5"/>
        <v>abe/stand_files/mediumStructure_NoSC.csv</v>
      </c>
      <c r="R11" s="12" t="str">
        <f t="shared" si="6"/>
        <v>false</v>
      </c>
      <c r="S11" s="12" t="str">
        <f t="shared" si="7"/>
        <v>false</v>
      </c>
    </row>
    <row r="12" spans="1:19" ht="13.8">
      <c r="A12" s="7" t="str">
        <f t="shared" si="4"/>
        <v>mediumStructure_NoSC_repl1_RCP45</v>
      </c>
      <c r="B12" s="8" t="s">
        <v>24</v>
      </c>
      <c r="C12" s="8" t="s">
        <v>32</v>
      </c>
      <c r="D12" s="9">
        <v>1</v>
      </c>
      <c r="E12" s="8" t="s">
        <v>35</v>
      </c>
      <c r="F12" s="8">
        <v>728</v>
      </c>
      <c r="G12" s="8" t="s">
        <v>18</v>
      </c>
      <c r="H12" s="8" t="s">
        <v>19</v>
      </c>
      <c r="I12" s="8" t="s">
        <v>20</v>
      </c>
      <c r="J12" s="10" t="s">
        <v>22</v>
      </c>
      <c r="K12" s="10">
        <v>150</v>
      </c>
      <c r="L12" s="10" t="str">
        <f t="shared" si="0"/>
        <v>mediumStructure_NoSC_repl1_RCP45.sqlite</v>
      </c>
      <c r="M12" s="11">
        <v>1</v>
      </c>
      <c r="N12" s="12" t="str">
        <f t="shared" si="1"/>
        <v>climate_db_ICHEC-EC-EARTH_RCP45_v4.sqlite</v>
      </c>
      <c r="O12" s="12" t="str">
        <f t="shared" si="2"/>
        <v>log/mediumStructure_NoSC_repl1_RCP45.txt</v>
      </c>
      <c r="P12" s="12">
        <f t="shared" si="3"/>
        <v>728</v>
      </c>
      <c r="Q12" s="12" t="str">
        <f t="shared" si="5"/>
        <v>abe/stand_files/mediumStructure_NoSC.csv</v>
      </c>
      <c r="R12" s="12" t="str">
        <f t="shared" si="6"/>
        <v>false</v>
      </c>
      <c r="S12" s="12" t="str">
        <f t="shared" si="7"/>
        <v>false</v>
      </c>
    </row>
    <row r="13" spans="1:19" ht="13.8">
      <c r="A13" s="7" t="str">
        <f t="shared" si="4"/>
        <v>mediumStructure_NoSC_repl1_RCP85</v>
      </c>
      <c r="B13" s="8" t="s">
        <v>24</v>
      </c>
      <c r="C13" s="8" t="s">
        <v>32</v>
      </c>
      <c r="D13" s="9">
        <v>1</v>
      </c>
      <c r="E13" s="8" t="s">
        <v>36</v>
      </c>
      <c r="F13" s="8">
        <v>1231</v>
      </c>
      <c r="G13" s="8" t="s">
        <v>18</v>
      </c>
      <c r="H13" s="8" t="s">
        <v>19</v>
      </c>
      <c r="I13" s="8" t="s">
        <v>20</v>
      </c>
      <c r="J13" s="10" t="s">
        <v>22</v>
      </c>
      <c r="K13" s="10">
        <v>150</v>
      </c>
      <c r="L13" s="10" t="str">
        <f t="shared" si="0"/>
        <v>mediumStructure_NoSC_repl1_RCP85.sqlite</v>
      </c>
      <c r="M13" s="11">
        <v>1</v>
      </c>
      <c r="N13" s="12" t="str">
        <f t="shared" si="1"/>
        <v>climate_db_ICHEC-EC-EARTH_RCP85_v4.sqlite</v>
      </c>
      <c r="O13" s="12" t="str">
        <f t="shared" si="2"/>
        <v>log/mediumStructure_NoSC_repl1_RCP85.txt</v>
      </c>
      <c r="P13" s="12">
        <f t="shared" si="3"/>
        <v>1231</v>
      </c>
      <c r="Q13" s="12" t="str">
        <f t="shared" si="5"/>
        <v>abe/stand_files/mediumStructure_NoSC.csv</v>
      </c>
      <c r="R13" s="12" t="str">
        <f t="shared" si="6"/>
        <v>false</v>
      </c>
      <c r="S13" s="12" t="str">
        <f t="shared" si="7"/>
        <v>false</v>
      </c>
    </row>
    <row r="14" spans="1:19" ht="13.8">
      <c r="A14" s="7" t="str">
        <f t="shared" si="4"/>
        <v>highStructure_NoSC_repl1_historical</v>
      </c>
      <c r="B14" s="8" t="s">
        <v>25</v>
      </c>
      <c r="C14" s="8" t="s">
        <v>32</v>
      </c>
      <c r="D14" s="9">
        <v>1</v>
      </c>
      <c r="E14" s="9" t="s">
        <v>17</v>
      </c>
      <c r="F14" s="8">
        <v>350</v>
      </c>
      <c r="G14" s="8" t="s">
        <v>18</v>
      </c>
      <c r="H14" s="8" t="s">
        <v>19</v>
      </c>
      <c r="I14" s="8" t="s">
        <v>20</v>
      </c>
      <c r="J14" s="10" t="s">
        <v>21</v>
      </c>
      <c r="K14" s="10">
        <v>150</v>
      </c>
      <c r="L14" s="10" t="str">
        <f t="shared" si="0"/>
        <v>highStructure_NoSC_repl1_historical.sqlite</v>
      </c>
      <c r="M14" s="11">
        <v>1</v>
      </c>
      <c r="N14" s="12" t="str">
        <f t="shared" si="1"/>
        <v>climate_db_ICHEC-EC-EARTH_historical_v4.sqlite</v>
      </c>
      <c r="O14" s="12" t="str">
        <f t="shared" si="2"/>
        <v>log/highStructure_NoSC_repl1_historical.txt</v>
      </c>
      <c r="P14" s="12">
        <f t="shared" si="3"/>
        <v>350</v>
      </c>
      <c r="Q14" s="12" t="str">
        <f t="shared" si="5"/>
        <v>abe/stand_files/highStructure_NoSC.csv</v>
      </c>
      <c r="R14" s="12" t="str">
        <f t="shared" si="6"/>
        <v>false</v>
      </c>
      <c r="S14" s="12" t="str">
        <f t="shared" si="7"/>
        <v>false</v>
      </c>
    </row>
    <row r="15" spans="1:19" ht="13.8">
      <c r="A15" s="7" t="str">
        <f t="shared" si="4"/>
        <v>highStructure_NoSC_repl1_RCP26</v>
      </c>
      <c r="B15" s="8" t="s">
        <v>25</v>
      </c>
      <c r="C15" s="8" t="s">
        <v>32</v>
      </c>
      <c r="D15" s="9">
        <v>1</v>
      </c>
      <c r="E15" s="8" t="s">
        <v>34</v>
      </c>
      <c r="F15" s="8">
        <v>427</v>
      </c>
      <c r="G15" s="8" t="s">
        <v>18</v>
      </c>
      <c r="H15" s="8" t="s">
        <v>19</v>
      </c>
      <c r="I15" s="8" t="s">
        <v>20</v>
      </c>
      <c r="J15" s="10" t="s">
        <v>22</v>
      </c>
      <c r="K15" s="10">
        <v>150</v>
      </c>
      <c r="L15" s="10" t="str">
        <f t="shared" si="0"/>
        <v>highStructure_NoSC_repl1_RCP26.sqlite</v>
      </c>
      <c r="M15" s="11">
        <v>1</v>
      </c>
      <c r="N15" s="12" t="str">
        <f t="shared" si="1"/>
        <v>climate_db_ICHEC-EC-EARTH_RCP26_v4.sqlite</v>
      </c>
      <c r="O15" s="12" t="str">
        <f t="shared" si="2"/>
        <v>log/highStructure_NoSC_repl1_RCP26.txt</v>
      </c>
      <c r="P15" s="12">
        <f t="shared" si="3"/>
        <v>427</v>
      </c>
      <c r="Q15" s="12" t="str">
        <f t="shared" si="5"/>
        <v>abe/stand_files/highStructure_NoSC.csv</v>
      </c>
      <c r="R15" s="12" t="str">
        <f t="shared" si="6"/>
        <v>false</v>
      </c>
      <c r="S15" s="12" t="str">
        <f t="shared" si="7"/>
        <v>false</v>
      </c>
    </row>
    <row r="16" spans="1:19" ht="13.8">
      <c r="A16" s="7" t="str">
        <f t="shared" si="4"/>
        <v>highStructure_NoSC_repl1_RCP45</v>
      </c>
      <c r="B16" s="8" t="s">
        <v>25</v>
      </c>
      <c r="C16" s="8" t="s">
        <v>32</v>
      </c>
      <c r="D16" s="9">
        <v>1</v>
      </c>
      <c r="E16" s="8" t="s">
        <v>35</v>
      </c>
      <c r="F16" s="8">
        <v>728</v>
      </c>
      <c r="G16" s="8" t="s">
        <v>18</v>
      </c>
      <c r="H16" s="8" t="s">
        <v>19</v>
      </c>
      <c r="I16" s="8" t="s">
        <v>20</v>
      </c>
      <c r="J16" s="10" t="s">
        <v>22</v>
      </c>
      <c r="K16" s="10">
        <v>150</v>
      </c>
      <c r="L16" s="10" t="str">
        <f t="shared" si="0"/>
        <v>highStructure_NoSC_repl1_RCP45.sqlite</v>
      </c>
      <c r="M16" s="11">
        <v>1</v>
      </c>
      <c r="N16" s="12" t="str">
        <f t="shared" si="1"/>
        <v>climate_db_ICHEC-EC-EARTH_RCP45_v4.sqlite</v>
      </c>
      <c r="O16" s="12" t="str">
        <f t="shared" si="2"/>
        <v>log/highStructure_NoSC_repl1_RCP45.txt</v>
      </c>
      <c r="P16" s="12">
        <f t="shared" si="3"/>
        <v>728</v>
      </c>
      <c r="Q16" s="12" t="str">
        <f t="shared" si="5"/>
        <v>abe/stand_files/highStructure_NoSC.csv</v>
      </c>
      <c r="R16" s="12" t="str">
        <f t="shared" si="6"/>
        <v>false</v>
      </c>
      <c r="S16" s="12" t="str">
        <f t="shared" si="7"/>
        <v>false</v>
      </c>
    </row>
    <row r="17" spans="1:19" ht="13.8">
      <c r="A17" s="7" t="str">
        <f t="shared" si="4"/>
        <v>highStructure_NoSC_repl1_RCP85</v>
      </c>
      <c r="B17" s="8" t="s">
        <v>25</v>
      </c>
      <c r="C17" s="8" t="s">
        <v>32</v>
      </c>
      <c r="D17" s="9">
        <v>1</v>
      </c>
      <c r="E17" s="8" t="s">
        <v>36</v>
      </c>
      <c r="F17" s="8">
        <v>1231</v>
      </c>
      <c r="G17" s="8" t="s">
        <v>18</v>
      </c>
      <c r="H17" s="8" t="s">
        <v>19</v>
      </c>
      <c r="I17" s="8" t="s">
        <v>20</v>
      </c>
      <c r="J17" s="10" t="s">
        <v>22</v>
      </c>
      <c r="K17" s="10">
        <v>150</v>
      </c>
      <c r="L17" s="10" t="str">
        <f t="shared" si="0"/>
        <v>highStructure_NoSC_repl1_RCP85.sqlite</v>
      </c>
      <c r="M17" s="11">
        <v>1</v>
      </c>
      <c r="N17" s="12" t="str">
        <f t="shared" si="1"/>
        <v>climate_db_ICHEC-EC-EARTH_RCP85_v4.sqlite</v>
      </c>
      <c r="O17" s="12" t="str">
        <f t="shared" si="2"/>
        <v>log/highStructure_NoSC_repl1_RCP85.txt</v>
      </c>
      <c r="P17" s="12">
        <f t="shared" si="3"/>
        <v>1231</v>
      </c>
      <c r="Q17" s="12" t="str">
        <f t="shared" si="5"/>
        <v>abe/stand_files/highStructure_NoSC.csv</v>
      </c>
      <c r="R17" s="12" t="str">
        <f t="shared" si="6"/>
        <v>false</v>
      </c>
      <c r="S17" s="12" t="str">
        <f t="shared" si="7"/>
        <v>false</v>
      </c>
    </row>
    <row r="18" spans="1:19" ht="13.8">
      <c r="A18" s="7" t="str">
        <f t="shared" si="4"/>
        <v>noMgmt_IST_repl1_historical</v>
      </c>
      <c r="B18" s="8" t="s">
        <v>16</v>
      </c>
      <c r="C18" s="8" t="s">
        <v>28</v>
      </c>
      <c r="D18" s="9">
        <v>1</v>
      </c>
      <c r="E18" s="9" t="s">
        <v>17</v>
      </c>
      <c r="F18" s="8">
        <v>350</v>
      </c>
      <c r="G18" s="8" t="s">
        <v>18</v>
      </c>
      <c r="H18" s="8" t="s">
        <v>19</v>
      </c>
      <c r="I18" s="8" t="s">
        <v>20</v>
      </c>
      <c r="J18" s="10" t="s">
        <v>21</v>
      </c>
      <c r="K18" s="10">
        <v>150</v>
      </c>
      <c r="L18" s="10" t="str">
        <f t="shared" ref="L18:L81" si="8">A18  &amp; ".sqlite"</f>
        <v>noMgmt_IST_repl1_historical.sqlite</v>
      </c>
      <c r="M18" s="11">
        <v>1</v>
      </c>
      <c r="N18" s="12" t="str">
        <f t="shared" ref="N18:N81" si="9">"climate_db_" &amp; G18&amp; "_" &amp;  E18&amp; "_v4.sqlite"</f>
        <v>climate_db_ICHEC-EC-EARTH_historical_v4.sqlite</v>
      </c>
      <c r="O18" s="12" t="str">
        <f t="shared" ref="O18:O81" si="10">"log/" &amp;A18  &amp; ".txt"</f>
        <v>log/noMgmt_IST_repl1_historical.txt</v>
      </c>
      <c r="P18" s="12">
        <f t="shared" ref="P18:P81" si="11">F18</f>
        <v>350</v>
      </c>
      <c r="Q18" s="12" t="str">
        <f t="shared" si="5"/>
        <v>abe/stand_files/noMgmt.csv</v>
      </c>
      <c r="R18" s="12" t="str">
        <f>I18</f>
        <v>false</v>
      </c>
      <c r="S18" s="12" t="str">
        <f t="shared" si="7"/>
        <v>false</v>
      </c>
    </row>
    <row r="19" spans="1:19" ht="13.8">
      <c r="A19" s="7" t="str">
        <f t="shared" si="4"/>
        <v>noMgmt_IST_repl1_RCP26</v>
      </c>
      <c r="B19" s="8" t="s">
        <v>16</v>
      </c>
      <c r="C19" s="8" t="s">
        <v>28</v>
      </c>
      <c r="D19" s="9">
        <v>1</v>
      </c>
      <c r="E19" s="8" t="s">
        <v>34</v>
      </c>
      <c r="F19" s="8">
        <v>427</v>
      </c>
      <c r="G19" s="8" t="s">
        <v>18</v>
      </c>
      <c r="H19" s="8" t="s">
        <v>19</v>
      </c>
      <c r="I19" s="8" t="s">
        <v>20</v>
      </c>
      <c r="J19" s="10" t="s">
        <v>22</v>
      </c>
      <c r="K19" s="10">
        <v>150</v>
      </c>
      <c r="L19" s="10" t="str">
        <f t="shared" si="8"/>
        <v>noMgmt_IST_repl1_RCP26.sqlite</v>
      </c>
      <c r="M19" s="11">
        <v>1</v>
      </c>
      <c r="N19" s="12" t="str">
        <f t="shared" si="9"/>
        <v>climate_db_ICHEC-EC-EARTH_RCP26_v4.sqlite</v>
      </c>
      <c r="O19" s="12" t="str">
        <f t="shared" si="10"/>
        <v>log/noMgmt_IST_repl1_RCP26.txt</v>
      </c>
      <c r="P19" s="12">
        <f t="shared" si="11"/>
        <v>427</v>
      </c>
      <c r="Q19" s="12" t="str">
        <f t="shared" si="5"/>
        <v>abe/stand_files/noMgmt.csv</v>
      </c>
      <c r="R19" s="12" t="str">
        <f t="shared" ref="R19:R33" si="12">I19</f>
        <v>false</v>
      </c>
      <c r="S19" s="12" t="str">
        <f t="shared" si="7"/>
        <v>false</v>
      </c>
    </row>
    <row r="20" spans="1:19" ht="13.8">
      <c r="A20" s="7" t="str">
        <f t="shared" si="4"/>
        <v>noMgmt_IST_repl1_RCP45</v>
      </c>
      <c r="B20" s="8" t="s">
        <v>16</v>
      </c>
      <c r="C20" s="8" t="s">
        <v>28</v>
      </c>
      <c r="D20" s="9">
        <v>1</v>
      </c>
      <c r="E20" s="8" t="s">
        <v>35</v>
      </c>
      <c r="F20" s="8">
        <v>728</v>
      </c>
      <c r="G20" s="8" t="s">
        <v>18</v>
      </c>
      <c r="H20" s="8" t="s">
        <v>19</v>
      </c>
      <c r="I20" s="8" t="s">
        <v>20</v>
      </c>
      <c r="J20" s="10" t="s">
        <v>22</v>
      </c>
      <c r="K20" s="10">
        <v>150</v>
      </c>
      <c r="L20" s="10" t="str">
        <f t="shared" si="8"/>
        <v>noMgmt_IST_repl1_RCP45.sqlite</v>
      </c>
      <c r="M20" s="11">
        <v>1</v>
      </c>
      <c r="N20" s="12" t="str">
        <f t="shared" si="9"/>
        <v>climate_db_ICHEC-EC-EARTH_RCP45_v4.sqlite</v>
      </c>
      <c r="O20" s="12" t="str">
        <f t="shared" si="10"/>
        <v>log/noMgmt_IST_repl1_RCP45.txt</v>
      </c>
      <c r="P20" s="12">
        <f t="shared" si="11"/>
        <v>728</v>
      </c>
      <c r="Q20" s="12" t="str">
        <f t="shared" si="5"/>
        <v>abe/stand_files/noMgmt.csv</v>
      </c>
      <c r="R20" s="12" t="str">
        <f t="shared" si="12"/>
        <v>false</v>
      </c>
      <c r="S20" s="12" t="str">
        <f t="shared" si="7"/>
        <v>false</v>
      </c>
    </row>
    <row r="21" spans="1:19" ht="13.8">
      <c r="A21" s="7" t="str">
        <f t="shared" si="4"/>
        <v>noMgmt_IST_repl1_RCP85</v>
      </c>
      <c r="B21" s="8" t="s">
        <v>16</v>
      </c>
      <c r="C21" s="8" t="s">
        <v>28</v>
      </c>
      <c r="D21" s="9">
        <v>1</v>
      </c>
      <c r="E21" s="8" t="s">
        <v>36</v>
      </c>
      <c r="F21" s="8">
        <v>1231</v>
      </c>
      <c r="G21" s="8" t="s">
        <v>18</v>
      </c>
      <c r="H21" s="8" t="s">
        <v>19</v>
      </c>
      <c r="I21" s="8" t="s">
        <v>20</v>
      </c>
      <c r="J21" s="10" t="s">
        <v>22</v>
      </c>
      <c r="K21" s="10">
        <v>150</v>
      </c>
      <c r="L21" s="10" t="str">
        <f t="shared" si="8"/>
        <v>noMgmt_IST_repl1_RCP85.sqlite</v>
      </c>
      <c r="M21" s="11">
        <v>1</v>
      </c>
      <c r="N21" s="12" t="str">
        <f t="shared" si="9"/>
        <v>climate_db_ICHEC-EC-EARTH_RCP85_v4.sqlite</v>
      </c>
      <c r="O21" s="12" t="str">
        <f t="shared" si="10"/>
        <v>log/noMgmt_IST_repl1_RCP85.txt</v>
      </c>
      <c r="P21" s="12">
        <f t="shared" si="11"/>
        <v>1231</v>
      </c>
      <c r="Q21" s="12" t="str">
        <f t="shared" si="5"/>
        <v>abe/stand_files/noMgmt.csv</v>
      </c>
      <c r="R21" s="12" t="str">
        <f t="shared" si="12"/>
        <v>false</v>
      </c>
      <c r="S21" s="12" t="str">
        <f t="shared" si="7"/>
        <v>false</v>
      </c>
    </row>
    <row r="22" spans="1:19" ht="13.8">
      <c r="A22" s="7" t="str">
        <f t="shared" si="4"/>
        <v>lowStructure_IST_repl1_historical</v>
      </c>
      <c r="B22" s="8" t="s">
        <v>23</v>
      </c>
      <c r="C22" s="8" t="s">
        <v>28</v>
      </c>
      <c r="D22" s="9">
        <v>1</v>
      </c>
      <c r="E22" s="9" t="s">
        <v>17</v>
      </c>
      <c r="F22" s="8">
        <v>350</v>
      </c>
      <c r="G22" s="8" t="s">
        <v>18</v>
      </c>
      <c r="H22" s="8" t="s">
        <v>19</v>
      </c>
      <c r="I22" s="8" t="s">
        <v>20</v>
      </c>
      <c r="J22" s="10" t="s">
        <v>21</v>
      </c>
      <c r="K22" s="10">
        <v>150</v>
      </c>
      <c r="L22" s="10" t="str">
        <f t="shared" si="8"/>
        <v>lowStructure_IST_repl1_historical.sqlite</v>
      </c>
      <c r="M22" s="11">
        <v>1</v>
      </c>
      <c r="N22" s="12" t="str">
        <f t="shared" si="9"/>
        <v>climate_db_ICHEC-EC-EARTH_historical_v4.sqlite</v>
      </c>
      <c r="O22" s="12" t="str">
        <f t="shared" si="10"/>
        <v>log/lowStructure_IST_repl1_historical.txt</v>
      </c>
      <c r="P22" s="12">
        <f t="shared" si="11"/>
        <v>350</v>
      </c>
      <c r="Q22" s="12" t="str">
        <f t="shared" si="5"/>
        <v>abe/stand_files/lowStructure_IST.csv</v>
      </c>
      <c r="R22" s="12" t="str">
        <f t="shared" si="12"/>
        <v>false</v>
      </c>
      <c r="S22" s="12" t="str">
        <f t="shared" si="7"/>
        <v>false</v>
      </c>
    </row>
    <row r="23" spans="1:19" ht="13.8">
      <c r="A23" s="7" t="str">
        <f t="shared" si="4"/>
        <v>lowStructure_IST_repl1_RCP26</v>
      </c>
      <c r="B23" s="8" t="s">
        <v>23</v>
      </c>
      <c r="C23" s="8" t="s">
        <v>28</v>
      </c>
      <c r="D23" s="9">
        <v>1</v>
      </c>
      <c r="E23" s="8" t="s">
        <v>34</v>
      </c>
      <c r="F23" s="8">
        <v>427</v>
      </c>
      <c r="G23" s="8" t="s">
        <v>18</v>
      </c>
      <c r="H23" s="8" t="s">
        <v>19</v>
      </c>
      <c r="I23" s="8" t="s">
        <v>20</v>
      </c>
      <c r="J23" s="10" t="s">
        <v>22</v>
      </c>
      <c r="K23" s="10">
        <v>150</v>
      </c>
      <c r="L23" s="10" t="str">
        <f t="shared" si="8"/>
        <v>lowStructure_IST_repl1_RCP26.sqlite</v>
      </c>
      <c r="M23" s="11">
        <v>1</v>
      </c>
      <c r="N23" s="12" t="str">
        <f t="shared" si="9"/>
        <v>climate_db_ICHEC-EC-EARTH_RCP26_v4.sqlite</v>
      </c>
      <c r="O23" s="12" t="str">
        <f t="shared" si="10"/>
        <v>log/lowStructure_IST_repl1_RCP26.txt</v>
      </c>
      <c r="P23" s="12">
        <f t="shared" si="11"/>
        <v>427</v>
      </c>
      <c r="Q23" s="12" t="str">
        <f t="shared" si="5"/>
        <v>abe/stand_files/lowStructure_IST.csv</v>
      </c>
      <c r="R23" s="12" t="str">
        <f t="shared" si="12"/>
        <v>false</v>
      </c>
      <c r="S23" s="12" t="str">
        <f t="shared" si="7"/>
        <v>false</v>
      </c>
    </row>
    <row r="24" spans="1:19" ht="13.8">
      <c r="A24" s="7" t="str">
        <f t="shared" si="4"/>
        <v>lowStructure_IST_repl1_RCP45</v>
      </c>
      <c r="B24" s="8" t="s">
        <v>23</v>
      </c>
      <c r="C24" s="8" t="s">
        <v>28</v>
      </c>
      <c r="D24" s="9">
        <v>1</v>
      </c>
      <c r="E24" s="8" t="s">
        <v>35</v>
      </c>
      <c r="F24" s="8">
        <v>728</v>
      </c>
      <c r="G24" s="8" t="s">
        <v>18</v>
      </c>
      <c r="H24" s="8" t="s">
        <v>19</v>
      </c>
      <c r="I24" s="8" t="s">
        <v>20</v>
      </c>
      <c r="J24" s="10" t="s">
        <v>22</v>
      </c>
      <c r="K24" s="10">
        <v>150</v>
      </c>
      <c r="L24" s="10" t="str">
        <f t="shared" si="8"/>
        <v>lowStructure_IST_repl1_RCP45.sqlite</v>
      </c>
      <c r="M24" s="11">
        <v>1</v>
      </c>
      <c r="N24" s="12" t="str">
        <f t="shared" si="9"/>
        <v>climate_db_ICHEC-EC-EARTH_RCP45_v4.sqlite</v>
      </c>
      <c r="O24" s="12" t="str">
        <f t="shared" si="10"/>
        <v>log/lowStructure_IST_repl1_RCP45.txt</v>
      </c>
      <c r="P24" s="12">
        <f t="shared" si="11"/>
        <v>728</v>
      </c>
      <c r="Q24" s="12" t="str">
        <f t="shared" si="5"/>
        <v>abe/stand_files/lowStructure_IST.csv</v>
      </c>
      <c r="R24" s="12" t="str">
        <f t="shared" si="12"/>
        <v>false</v>
      </c>
      <c r="S24" s="12" t="str">
        <f t="shared" si="7"/>
        <v>false</v>
      </c>
    </row>
    <row r="25" spans="1:19" ht="13.8">
      <c r="A25" s="7" t="str">
        <f t="shared" si="4"/>
        <v>lowStructure_IST_repl1_RCP85</v>
      </c>
      <c r="B25" s="8" t="s">
        <v>23</v>
      </c>
      <c r="C25" s="8" t="s">
        <v>28</v>
      </c>
      <c r="D25" s="9">
        <v>1</v>
      </c>
      <c r="E25" s="8" t="s">
        <v>36</v>
      </c>
      <c r="F25" s="8">
        <v>1231</v>
      </c>
      <c r="G25" s="8" t="s">
        <v>18</v>
      </c>
      <c r="H25" s="8" t="s">
        <v>19</v>
      </c>
      <c r="I25" s="8" t="s">
        <v>20</v>
      </c>
      <c r="J25" s="10" t="s">
        <v>22</v>
      </c>
      <c r="K25" s="10">
        <v>150</v>
      </c>
      <c r="L25" s="10" t="str">
        <f t="shared" si="8"/>
        <v>lowStructure_IST_repl1_RCP85.sqlite</v>
      </c>
      <c r="M25" s="11">
        <v>1</v>
      </c>
      <c r="N25" s="12" t="str">
        <f t="shared" si="9"/>
        <v>climate_db_ICHEC-EC-EARTH_RCP85_v4.sqlite</v>
      </c>
      <c r="O25" s="12" t="str">
        <f t="shared" si="10"/>
        <v>log/lowStructure_IST_repl1_RCP85.txt</v>
      </c>
      <c r="P25" s="12">
        <f t="shared" si="11"/>
        <v>1231</v>
      </c>
      <c r="Q25" s="12" t="str">
        <f t="shared" si="5"/>
        <v>abe/stand_files/lowStructure_IST.csv</v>
      </c>
      <c r="R25" s="12" t="str">
        <f t="shared" si="12"/>
        <v>false</v>
      </c>
      <c r="S25" s="12" t="str">
        <f t="shared" si="7"/>
        <v>false</v>
      </c>
    </row>
    <row r="26" spans="1:19" ht="13.8">
      <c r="A26" s="7" t="str">
        <f t="shared" si="4"/>
        <v>mediumStructure_IST_repl1_historical</v>
      </c>
      <c r="B26" s="8" t="s">
        <v>24</v>
      </c>
      <c r="C26" s="8" t="s">
        <v>28</v>
      </c>
      <c r="D26" s="9">
        <v>1</v>
      </c>
      <c r="E26" s="9" t="s">
        <v>17</v>
      </c>
      <c r="F26" s="8">
        <v>350</v>
      </c>
      <c r="G26" s="8" t="s">
        <v>18</v>
      </c>
      <c r="H26" s="8" t="s">
        <v>19</v>
      </c>
      <c r="I26" s="8" t="s">
        <v>20</v>
      </c>
      <c r="J26" s="10" t="s">
        <v>21</v>
      </c>
      <c r="K26" s="10">
        <v>150</v>
      </c>
      <c r="L26" s="10" t="str">
        <f t="shared" si="8"/>
        <v>mediumStructure_IST_repl1_historical.sqlite</v>
      </c>
      <c r="M26" s="11">
        <v>1</v>
      </c>
      <c r="N26" s="12" t="str">
        <f t="shared" si="9"/>
        <v>climate_db_ICHEC-EC-EARTH_historical_v4.sqlite</v>
      </c>
      <c r="O26" s="12" t="str">
        <f t="shared" si="10"/>
        <v>log/mediumStructure_IST_repl1_historical.txt</v>
      </c>
      <c r="P26" s="12">
        <f t="shared" si="11"/>
        <v>350</v>
      </c>
      <c r="Q26" s="12" t="str">
        <f t="shared" si="5"/>
        <v>abe/stand_files/mediumStructure_IST.csv</v>
      </c>
      <c r="R26" s="12" t="str">
        <f t="shared" si="12"/>
        <v>false</v>
      </c>
      <c r="S26" s="12" t="str">
        <f t="shared" si="7"/>
        <v>false</v>
      </c>
    </row>
    <row r="27" spans="1:19" ht="13.8">
      <c r="A27" s="7" t="str">
        <f t="shared" si="4"/>
        <v>mediumStructure_IST_repl1_RCP26</v>
      </c>
      <c r="B27" s="8" t="s">
        <v>24</v>
      </c>
      <c r="C27" s="8" t="s">
        <v>28</v>
      </c>
      <c r="D27" s="9">
        <v>1</v>
      </c>
      <c r="E27" s="8" t="s">
        <v>34</v>
      </c>
      <c r="F27" s="8">
        <v>427</v>
      </c>
      <c r="G27" s="8" t="s">
        <v>18</v>
      </c>
      <c r="H27" s="8" t="s">
        <v>19</v>
      </c>
      <c r="I27" s="8" t="s">
        <v>20</v>
      </c>
      <c r="J27" s="10" t="s">
        <v>22</v>
      </c>
      <c r="K27" s="10">
        <v>150</v>
      </c>
      <c r="L27" s="10" t="str">
        <f t="shared" si="8"/>
        <v>mediumStructure_IST_repl1_RCP26.sqlite</v>
      </c>
      <c r="M27" s="11">
        <v>1</v>
      </c>
      <c r="N27" s="12" t="str">
        <f t="shared" si="9"/>
        <v>climate_db_ICHEC-EC-EARTH_RCP26_v4.sqlite</v>
      </c>
      <c r="O27" s="12" t="str">
        <f t="shared" si="10"/>
        <v>log/mediumStructure_IST_repl1_RCP26.txt</v>
      </c>
      <c r="P27" s="12">
        <f t="shared" si="11"/>
        <v>427</v>
      </c>
      <c r="Q27" s="12" t="str">
        <f t="shared" si="5"/>
        <v>abe/stand_files/mediumStructure_IST.csv</v>
      </c>
      <c r="R27" s="12" t="str">
        <f t="shared" si="12"/>
        <v>false</v>
      </c>
      <c r="S27" s="12" t="str">
        <f t="shared" si="7"/>
        <v>false</v>
      </c>
    </row>
    <row r="28" spans="1:19" ht="13.8">
      <c r="A28" s="7" t="str">
        <f t="shared" si="4"/>
        <v>mediumStructure_IST_repl1_RCP45</v>
      </c>
      <c r="B28" s="8" t="s">
        <v>24</v>
      </c>
      <c r="C28" s="8" t="s">
        <v>28</v>
      </c>
      <c r="D28" s="9">
        <v>1</v>
      </c>
      <c r="E28" s="8" t="s">
        <v>35</v>
      </c>
      <c r="F28" s="8">
        <v>728</v>
      </c>
      <c r="G28" s="8" t="s">
        <v>18</v>
      </c>
      <c r="H28" s="8" t="s">
        <v>19</v>
      </c>
      <c r="I28" s="8" t="s">
        <v>20</v>
      </c>
      <c r="J28" s="10" t="s">
        <v>22</v>
      </c>
      <c r="K28" s="10">
        <v>150</v>
      </c>
      <c r="L28" s="10" t="str">
        <f t="shared" si="8"/>
        <v>mediumStructure_IST_repl1_RCP45.sqlite</v>
      </c>
      <c r="M28" s="11">
        <v>1</v>
      </c>
      <c r="N28" s="12" t="str">
        <f t="shared" si="9"/>
        <v>climate_db_ICHEC-EC-EARTH_RCP45_v4.sqlite</v>
      </c>
      <c r="O28" s="12" t="str">
        <f t="shared" si="10"/>
        <v>log/mediumStructure_IST_repl1_RCP45.txt</v>
      </c>
      <c r="P28" s="12">
        <f t="shared" si="11"/>
        <v>728</v>
      </c>
      <c r="Q28" s="12" t="str">
        <f t="shared" si="5"/>
        <v>abe/stand_files/mediumStructure_IST.csv</v>
      </c>
      <c r="R28" s="12" t="str">
        <f t="shared" si="12"/>
        <v>false</v>
      </c>
      <c r="S28" s="12" t="str">
        <f t="shared" si="7"/>
        <v>false</v>
      </c>
    </row>
    <row r="29" spans="1:19" ht="13.8">
      <c r="A29" s="7" t="str">
        <f t="shared" si="4"/>
        <v>mediumStructure_IST_repl1_RCP85</v>
      </c>
      <c r="B29" s="8" t="s">
        <v>24</v>
      </c>
      <c r="C29" s="8" t="s">
        <v>28</v>
      </c>
      <c r="D29" s="9">
        <v>1</v>
      </c>
      <c r="E29" s="8" t="s">
        <v>36</v>
      </c>
      <c r="F29" s="8">
        <v>1231</v>
      </c>
      <c r="G29" s="8" t="s">
        <v>18</v>
      </c>
      <c r="H29" s="8" t="s">
        <v>19</v>
      </c>
      <c r="I29" s="8" t="s">
        <v>20</v>
      </c>
      <c r="J29" s="10" t="s">
        <v>22</v>
      </c>
      <c r="K29" s="10">
        <v>150</v>
      </c>
      <c r="L29" s="10" t="str">
        <f t="shared" si="8"/>
        <v>mediumStructure_IST_repl1_RCP85.sqlite</v>
      </c>
      <c r="M29" s="11">
        <v>1</v>
      </c>
      <c r="N29" s="12" t="str">
        <f t="shared" si="9"/>
        <v>climate_db_ICHEC-EC-EARTH_RCP85_v4.sqlite</v>
      </c>
      <c r="O29" s="12" t="str">
        <f t="shared" si="10"/>
        <v>log/mediumStructure_IST_repl1_RCP85.txt</v>
      </c>
      <c r="P29" s="12">
        <f t="shared" si="11"/>
        <v>1231</v>
      </c>
      <c r="Q29" s="12" t="str">
        <f t="shared" si="5"/>
        <v>abe/stand_files/mediumStructure_IST.csv</v>
      </c>
      <c r="R29" s="12" t="str">
        <f t="shared" si="12"/>
        <v>false</v>
      </c>
      <c r="S29" s="12" t="str">
        <f t="shared" si="7"/>
        <v>false</v>
      </c>
    </row>
    <row r="30" spans="1:19" ht="13.8">
      <c r="A30" s="7" t="str">
        <f t="shared" si="4"/>
        <v>highStructure_IST_repl1_historical</v>
      </c>
      <c r="B30" s="8" t="s">
        <v>25</v>
      </c>
      <c r="C30" s="8" t="s">
        <v>28</v>
      </c>
      <c r="D30" s="9">
        <v>1</v>
      </c>
      <c r="E30" s="9" t="s">
        <v>17</v>
      </c>
      <c r="F30" s="8">
        <v>350</v>
      </c>
      <c r="G30" s="8" t="s">
        <v>18</v>
      </c>
      <c r="H30" s="8" t="s">
        <v>19</v>
      </c>
      <c r="I30" s="8" t="s">
        <v>20</v>
      </c>
      <c r="J30" s="10" t="s">
        <v>21</v>
      </c>
      <c r="K30" s="10">
        <v>150</v>
      </c>
      <c r="L30" s="10" t="str">
        <f t="shared" si="8"/>
        <v>highStructure_IST_repl1_historical.sqlite</v>
      </c>
      <c r="M30" s="11">
        <v>1</v>
      </c>
      <c r="N30" s="12" t="str">
        <f t="shared" si="9"/>
        <v>climate_db_ICHEC-EC-EARTH_historical_v4.sqlite</v>
      </c>
      <c r="O30" s="12" t="str">
        <f t="shared" si="10"/>
        <v>log/highStructure_IST_repl1_historical.txt</v>
      </c>
      <c r="P30" s="12">
        <f t="shared" si="11"/>
        <v>350</v>
      </c>
      <c r="Q30" s="12" t="str">
        <f t="shared" si="5"/>
        <v>abe/stand_files/highStructure_IST.csv</v>
      </c>
      <c r="R30" s="12" t="str">
        <f t="shared" si="12"/>
        <v>false</v>
      </c>
      <c r="S30" s="12" t="str">
        <f t="shared" si="7"/>
        <v>false</v>
      </c>
    </row>
    <row r="31" spans="1:19" ht="13.8">
      <c r="A31" s="7" t="str">
        <f t="shared" si="4"/>
        <v>highStructure_IST_repl1_RCP26</v>
      </c>
      <c r="B31" s="8" t="s">
        <v>25</v>
      </c>
      <c r="C31" s="8" t="s">
        <v>28</v>
      </c>
      <c r="D31" s="9">
        <v>1</v>
      </c>
      <c r="E31" s="8" t="s">
        <v>34</v>
      </c>
      <c r="F31" s="8">
        <v>427</v>
      </c>
      <c r="G31" s="8" t="s">
        <v>18</v>
      </c>
      <c r="H31" s="8" t="s">
        <v>19</v>
      </c>
      <c r="I31" s="8" t="s">
        <v>20</v>
      </c>
      <c r="J31" s="10" t="s">
        <v>22</v>
      </c>
      <c r="K31" s="10">
        <v>150</v>
      </c>
      <c r="L31" s="10" t="str">
        <f t="shared" si="8"/>
        <v>highStructure_IST_repl1_RCP26.sqlite</v>
      </c>
      <c r="M31" s="11">
        <v>1</v>
      </c>
      <c r="N31" s="12" t="str">
        <f t="shared" si="9"/>
        <v>climate_db_ICHEC-EC-EARTH_RCP26_v4.sqlite</v>
      </c>
      <c r="O31" s="12" t="str">
        <f t="shared" si="10"/>
        <v>log/highStructure_IST_repl1_RCP26.txt</v>
      </c>
      <c r="P31" s="12">
        <f t="shared" si="11"/>
        <v>427</v>
      </c>
      <c r="Q31" s="12" t="str">
        <f t="shared" si="5"/>
        <v>abe/stand_files/highStructure_IST.csv</v>
      </c>
      <c r="R31" s="12" t="str">
        <f t="shared" si="12"/>
        <v>false</v>
      </c>
      <c r="S31" s="12" t="str">
        <f t="shared" si="7"/>
        <v>false</v>
      </c>
    </row>
    <row r="32" spans="1:19" ht="13.8">
      <c r="A32" s="7" t="str">
        <f t="shared" si="4"/>
        <v>highStructure_IST_repl1_RCP45</v>
      </c>
      <c r="B32" s="8" t="s">
        <v>25</v>
      </c>
      <c r="C32" s="8" t="s">
        <v>28</v>
      </c>
      <c r="D32" s="9">
        <v>1</v>
      </c>
      <c r="E32" s="8" t="s">
        <v>35</v>
      </c>
      <c r="F32" s="8">
        <v>728</v>
      </c>
      <c r="G32" s="8" t="s">
        <v>18</v>
      </c>
      <c r="H32" s="8" t="s">
        <v>19</v>
      </c>
      <c r="I32" s="8" t="s">
        <v>20</v>
      </c>
      <c r="J32" s="10" t="s">
        <v>22</v>
      </c>
      <c r="K32" s="10">
        <v>150</v>
      </c>
      <c r="L32" s="10" t="str">
        <f t="shared" si="8"/>
        <v>highStructure_IST_repl1_RCP45.sqlite</v>
      </c>
      <c r="M32" s="11">
        <v>1</v>
      </c>
      <c r="N32" s="12" t="str">
        <f t="shared" si="9"/>
        <v>climate_db_ICHEC-EC-EARTH_RCP45_v4.sqlite</v>
      </c>
      <c r="O32" s="12" t="str">
        <f t="shared" si="10"/>
        <v>log/highStructure_IST_repl1_RCP45.txt</v>
      </c>
      <c r="P32" s="12">
        <f t="shared" si="11"/>
        <v>728</v>
      </c>
      <c r="Q32" s="12" t="str">
        <f t="shared" si="5"/>
        <v>abe/stand_files/highStructure_IST.csv</v>
      </c>
      <c r="R32" s="12" t="str">
        <f t="shared" si="12"/>
        <v>false</v>
      </c>
      <c r="S32" s="12" t="str">
        <f t="shared" si="7"/>
        <v>false</v>
      </c>
    </row>
    <row r="33" spans="1:19" ht="13.8">
      <c r="A33" s="7" t="str">
        <f t="shared" si="4"/>
        <v>highStructure_IST_repl1_RCP85</v>
      </c>
      <c r="B33" s="8" t="s">
        <v>25</v>
      </c>
      <c r="C33" s="8" t="s">
        <v>28</v>
      </c>
      <c r="D33" s="9">
        <v>1</v>
      </c>
      <c r="E33" s="8" t="s">
        <v>36</v>
      </c>
      <c r="F33" s="8">
        <v>1231</v>
      </c>
      <c r="G33" s="8" t="s">
        <v>18</v>
      </c>
      <c r="H33" s="8" t="s">
        <v>19</v>
      </c>
      <c r="I33" s="8" t="s">
        <v>20</v>
      </c>
      <c r="J33" s="10" t="s">
        <v>22</v>
      </c>
      <c r="K33" s="10">
        <v>150</v>
      </c>
      <c r="L33" s="10" t="str">
        <f t="shared" si="8"/>
        <v>highStructure_IST_repl1_RCP85.sqlite</v>
      </c>
      <c r="M33" s="11">
        <v>1</v>
      </c>
      <c r="N33" s="12" t="str">
        <f t="shared" si="9"/>
        <v>climate_db_ICHEC-EC-EARTH_RCP85_v4.sqlite</v>
      </c>
      <c r="O33" s="12" t="str">
        <f t="shared" si="10"/>
        <v>log/highStructure_IST_repl1_RCP85.txt</v>
      </c>
      <c r="P33" s="12">
        <f t="shared" si="11"/>
        <v>1231</v>
      </c>
      <c r="Q33" s="12" t="str">
        <f t="shared" si="5"/>
        <v>abe/stand_files/highStructure_IST.csv</v>
      </c>
      <c r="R33" s="12" t="str">
        <f t="shared" si="12"/>
        <v>false</v>
      </c>
      <c r="S33" s="12" t="str">
        <f t="shared" si="7"/>
        <v>false</v>
      </c>
    </row>
    <row r="34" spans="1:19" ht="13.8">
      <c r="A34" s="7" t="str">
        <f t="shared" si="4"/>
        <v>noMgmt_PROD_repl1_historical</v>
      </c>
      <c r="B34" s="8" t="s">
        <v>16</v>
      </c>
      <c r="C34" s="8" t="s">
        <v>29</v>
      </c>
      <c r="D34" s="9">
        <v>1</v>
      </c>
      <c r="E34" s="9" t="s">
        <v>17</v>
      </c>
      <c r="F34" s="8">
        <v>350</v>
      </c>
      <c r="G34" s="8" t="s">
        <v>18</v>
      </c>
      <c r="H34" s="8" t="s">
        <v>19</v>
      </c>
      <c r="I34" s="8" t="s">
        <v>20</v>
      </c>
      <c r="J34" s="10" t="s">
        <v>21</v>
      </c>
      <c r="K34" s="10">
        <v>150</v>
      </c>
      <c r="L34" s="10" t="str">
        <f t="shared" si="8"/>
        <v>noMgmt_PROD_repl1_historical.sqlite</v>
      </c>
      <c r="M34" s="11">
        <v>1</v>
      </c>
      <c r="N34" s="12" t="str">
        <f t="shared" si="9"/>
        <v>climate_db_ICHEC-EC-EARTH_historical_v4.sqlite</v>
      </c>
      <c r="O34" s="12" t="str">
        <f t="shared" si="10"/>
        <v>log/noMgmt_PROD_repl1_historical.txt</v>
      </c>
      <c r="P34" s="12">
        <f t="shared" si="11"/>
        <v>350</v>
      </c>
      <c r="Q34" s="12" t="str">
        <f t="shared" si="5"/>
        <v>abe/stand_files/noMgmt.csv</v>
      </c>
      <c r="R34" s="12" t="str">
        <f>I34</f>
        <v>false</v>
      </c>
      <c r="S34" s="12" t="str">
        <f t="shared" si="7"/>
        <v>false</v>
      </c>
    </row>
    <row r="35" spans="1:19" ht="13.8">
      <c r="A35" s="7" t="str">
        <f t="shared" si="4"/>
        <v>noMgmt_PROD_repl1_RCP26</v>
      </c>
      <c r="B35" s="8" t="s">
        <v>16</v>
      </c>
      <c r="C35" s="8" t="s">
        <v>29</v>
      </c>
      <c r="D35" s="9">
        <v>1</v>
      </c>
      <c r="E35" s="8" t="s">
        <v>34</v>
      </c>
      <c r="F35" s="8">
        <v>427</v>
      </c>
      <c r="G35" s="8" t="s">
        <v>18</v>
      </c>
      <c r="H35" s="8" t="s">
        <v>19</v>
      </c>
      <c r="I35" s="8" t="s">
        <v>20</v>
      </c>
      <c r="J35" s="10" t="s">
        <v>22</v>
      </c>
      <c r="K35" s="10">
        <v>150</v>
      </c>
      <c r="L35" s="10" t="str">
        <f t="shared" si="8"/>
        <v>noMgmt_PROD_repl1_RCP26.sqlite</v>
      </c>
      <c r="M35" s="11">
        <v>1</v>
      </c>
      <c r="N35" s="12" t="str">
        <f t="shared" si="9"/>
        <v>climate_db_ICHEC-EC-EARTH_RCP26_v4.sqlite</v>
      </c>
      <c r="O35" s="12" t="str">
        <f t="shared" si="10"/>
        <v>log/noMgmt_PROD_repl1_RCP26.txt</v>
      </c>
      <c r="P35" s="12">
        <f t="shared" si="11"/>
        <v>427</v>
      </c>
      <c r="Q35" s="12" t="str">
        <f t="shared" si="5"/>
        <v>abe/stand_files/noMgmt.csv</v>
      </c>
      <c r="R35" s="12" t="str">
        <f t="shared" ref="R35:R49" si="13">I35</f>
        <v>false</v>
      </c>
      <c r="S35" s="12" t="str">
        <f t="shared" si="7"/>
        <v>false</v>
      </c>
    </row>
    <row r="36" spans="1:19" ht="13.8">
      <c r="A36" s="7" t="str">
        <f t="shared" si="4"/>
        <v>noMgmt_PROD_repl1_RCP45</v>
      </c>
      <c r="B36" s="8" t="s">
        <v>16</v>
      </c>
      <c r="C36" s="8" t="s">
        <v>29</v>
      </c>
      <c r="D36" s="9">
        <v>1</v>
      </c>
      <c r="E36" s="8" t="s">
        <v>35</v>
      </c>
      <c r="F36" s="8">
        <v>728</v>
      </c>
      <c r="G36" s="8" t="s">
        <v>18</v>
      </c>
      <c r="H36" s="8" t="s">
        <v>19</v>
      </c>
      <c r="I36" s="8" t="s">
        <v>20</v>
      </c>
      <c r="J36" s="10" t="s">
        <v>22</v>
      </c>
      <c r="K36" s="10">
        <v>150</v>
      </c>
      <c r="L36" s="10" t="str">
        <f t="shared" si="8"/>
        <v>noMgmt_PROD_repl1_RCP45.sqlite</v>
      </c>
      <c r="M36" s="11">
        <v>1</v>
      </c>
      <c r="N36" s="12" t="str">
        <f t="shared" si="9"/>
        <v>climate_db_ICHEC-EC-EARTH_RCP45_v4.sqlite</v>
      </c>
      <c r="O36" s="12" t="str">
        <f t="shared" si="10"/>
        <v>log/noMgmt_PROD_repl1_RCP45.txt</v>
      </c>
      <c r="P36" s="12">
        <f t="shared" si="11"/>
        <v>728</v>
      </c>
      <c r="Q36" s="12" t="str">
        <f t="shared" si="5"/>
        <v>abe/stand_files/noMgmt.csv</v>
      </c>
      <c r="R36" s="12" t="str">
        <f t="shared" si="13"/>
        <v>false</v>
      </c>
      <c r="S36" s="12" t="str">
        <f t="shared" si="7"/>
        <v>false</v>
      </c>
    </row>
    <row r="37" spans="1:19" ht="13.8">
      <c r="A37" s="7" t="str">
        <f t="shared" si="4"/>
        <v>noMgmt_PROD_repl1_RCP85</v>
      </c>
      <c r="B37" s="8" t="s">
        <v>16</v>
      </c>
      <c r="C37" s="8" t="s">
        <v>29</v>
      </c>
      <c r="D37" s="9">
        <v>1</v>
      </c>
      <c r="E37" s="8" t="s">
        <v>36</v>
      </c>
      <c r="F37" s="8">
        <v>1231</v>
      </c>
      <c r="G37" s="8" t="s">
        <v>18</v>
      </c>
      <c r="H37" s="8" t="s">
        <v>19</v>
      </c>
      <c r="I37" s="8" t="s">
        <v>20</v>
      </c>
      <c r="J37" s="10" t="s">
        <v>22</v>
      </c>
      <c r="K37" s="10">
        <v>150</v>
      </c>
      <c r="L37" s="10" t="str">
        <f t="shared" si="8"/>
        <v>noMgmt_PROD_repl1_RCP85.sqlite</v>
      </c>
      <c r="M37" s="11">
        <v>1</v>
      </c>
      <c r="N37" s="12" t="str">
        <f t="shared" si="9"/>
        <v>climate_db_ICHEC-EC-EARTH_RCP85_v4.sqlite</v>
      </c>
      <c r="O37" s="12" t="str">
        <f t="shared" si="10"/>
        <v>log/noMgmt_PROD_repl1_RCP85.txt</v>
      </c>
      <c r="P37" s="12">
        <f t="shared" si="11"/>
        <v>1231</v>
      </c>
      <c r="Q37" s="12" t="str">
        <f t="shared" si="5"/>
        <v>abe/stand_files/noMgmt.csv</v>
      </c>
      <c r="R37" s="12" t="str">
        <f t="shared" si="13"/>
        <v>false</v>
      </c>
      <c r="S37" s="12" t="str">
        <f t="shared" si="7"/>
        <v>false</v>
      </c>
    </row>
    <row r="38" spans="1:19" ht="13.8">
      <c r="A38" s="7" t="str">
        <f t="shared" si="4"/>
        <v>lowStructure_PROD_repl1_historical</v>
      </c>
      <c r="B38" s="8" t="s">
        <v>23</v>
      </c>
      <c r="C38" s="8" t="s">
        <v>29</v>
      </c>
      <c r="D38" s="9">
        <v>1</v>
      </c>
      <c r="E38" s="9" t="s">
        <v>17</v>
      </c>
      <c r="F38" s="8">
        <v>350</v>
      </c>
      <c r="G38" s="8" t="s">
        <v>18</v>
      </c>
      <c r="H38" s="8" t="s">
        <v>19</v>
      </c>
      <c r="I38" s="8" t="s">
        <v>20</v>
      </c>
      <c r="J38" s="10" t="s">
        <v>21</v>
      </c>
      <c r="K38" s="10">
        <v>150</v>
      </c>
      <c r="L38" s="10" t="str">
        <f t="shared" si="8"/>
        <v>lowStructure_PROD_repl1_historical.sqlite</v>
      </c>
      <c r="M38" s="11">
        <v>1</v>
      </c>
      <c r="N38" s="12" t="str">
        <f t="shared" si="9"/>
        <v>climate_db_ICHEC-EC-EARTH_historical_v4.sqlite</v>
      </c>
      <c r="O38" s="12" t="str">
        <f t="shared" si="10"/>
        <v>log/lowStructure_PROD_repl1_historical.txt</v>
      </c>
      <c r="P38" s="12">
        <f t="shared" si="11"/>
        <v>350</v>
      </c>
      <c r="Q38" s="12" t="str">
        <f t="shared" si="5"/>
        <v>abe/stand_files/lowStructure_PROD.csv</v>
      </c>
      <c r="R38" s="12" t="str">
        <f t="shared" si="13"/>
        <v>false</v>
      </c>
      <c r="S38" s="12" t="str">
        <f t="shared" si="7"/>
        <v>false</v>
      </c>
    </row>
    <row r="39" spans="1:19" ht="13.8">
      <c r="A39" s="7" t="str">
        <f t="shared" si="4"/>
        <v>lowStructure_PROD_repl1_RCP26</v>
      </c>
      <c r="B39" s="8" t="s">
        <v>23</v>
      </c>
      <c r="C39" s="8" t="s">
        <v>29</v>
      </c>
      <c r="D39" s="9">
        <v>1</v>
      </c>
      <c r="E39" s="8" t="s">
        <v>34</v>
      </c>
      <c r="F39" s="8">
        <v>427</v>
      </c>
      <c r="G39" s="8" t="s">
        <v>18</v>
      </c>
      <c r="H39" s="8" t="s">
        <v>19</v>
      </c>
      <c r="I39" s="8" t="s">
        <v>20</v>
      </c>
      <c r="J39" s="10" t="s">
        <v>22</v>
      </c>
      <c r="K39" s="10">
        <v>150</v>
      </c>
      <c r="L39" s="10" t="str">
        <f t="shared" si="8"/>
        <v>lowStructure_PROD_repl1_RCP26.sqlite</v>
      </c>
      <c r="M39" s="11">
        <v>1</v>
      </c>
      <c r="N39" s="12" t="str">
        <f t="shared" si="9"/>
        <v>climate_db_ICHEC-EC-EARTH_RCP26_v4.sqlite</v>
      </c>
      <c r="O39" s="12" t="str">
        <f t="shared" si="10"/>
        <v>log/lowStructure_PROD_repl1_RCP26.txt</v>
      </c>
      <c r="P39" s="12">
        <f t="shared" si="11"/>
        <v>427</v>
      </c>
      <c r="Q39" s="12" t="str">
        <f t="shared" si="5"/>
        <v>abe/stand_files/lowStructure_PROD.csv</v>
      </c>
      <c r="R39" s="12" t="str">
        <f t="shared" si="13"/>
        <v>false</v>
      </c>
      <c r="S39" s="12" t="str">
        <f t="shared" si="7"/>
        <v>false</v>
      </c>
    </row>
    <row r="40" spans="1:19" ht="13.8">
      <c r="A40" s="7" t="str">
        <f t="shared" si="4"/>
        <v>lowStructure_PROD_repl1_RCP45</v>
      </c>
      <c r="B40" s="8" t="s">
        <v>23</v>
      </c>
      <c r="C40" s="8" t="s">
        <v>29</v>
      </c>
      <c r="D40" s="9">
        <v>1</v>
      </c>
      <c r="E40" s="8" t="s">
        <v>35</v>
      </c>
      <c r="F40" s="8">
        <v>728</v>
      </c>
      <c r="G40" s="8" t="s">
        <v>18</v>
      </c>
      <c r="H40" s="8" t="s">
        <v>19</v>
      </c>
      <c r="I40" s="8" t="s">
        <v>20</v>
      </c>
      <c r="J40" s="10" t="s">
        <v>22</v>
      </c>
      <c r="K40" s="10">
        <v>150</v>
      </c>
      <c r="L40" s="10" t="str">
        <f t="shared" si="8"/>
        <v>lowStructure_PROD_repl1_RCP45.sqlite</v>
      </c>
      <c r="M40" s="11">
        <v>1</v>
      </c>
      <c r="N40" s="12" t="str">
        <f t="shared" si="9"/>
        <v>climate_db_ICHEC-EC-EARTH_RCP45_v4.sqlite</v>
      </c>
      <c r="O40" s="12" t="str">
        <f t="shared" si="10"/>
        <v>log/lowStructure_PROD_repl1_RCP45.txt</v>
      </c>
      <c r="P40" s="12">
        <f t="shared" si="11"/>
        <v>728</v>
      </c>
      <c r="Q40" s="12" t="str">
        <f t="shared" si="5"/>
        <v>abe/stand_files/lowStructure_PROD.csv</v>
      </c>
      <c r="R40" s="12" t="str">
        <f t="shared" si="13"/>
        <v>false</v>
      </c>
      <c r="S40" s="12" t="str">
        <f t="shared" si="7"/>
        <v>false</v>
      </c>
    </row>
    <row r="41" spans="1:19" ht="13.8">
      <c r="A41" s="7" t="str">
        <f t="shared" si="4"/>
        <v>lowStructure_PROD_repl1_RCP85</v>
      </c>
      <c r="B41" s="8" t="s">
        <v>23</v>
      </c>
      <c r="C41" s="8" t="s">
        <v>29</v>
      </c>
      <c r="D41" s="9">
        <v>1</v>
      </c>
      <c r="E41" s="8" t="s">
        <v>36</v>
      </c>
      <c r="F41" s="8">
        <v>1231</v>
      </c>
      <c r="G41" s="8" t="s">
        <v>18</v>
      </c>
      <c r="H41" s="8" t="s">
        <v>19</v>
      </c>
      <c r="I41" s="8" t="s">
        <v>20</v>
      </c>
      <c r="J41" s="10" t="s">
        <v>22</v>
      </c>
      <c r="K41" s="10">
        <v>150</v>
      </c>
      <c r="L41" s="10" t="str">
        <f t="shared" si="8"/>
        <v>lowStructure_PROD_repl1_RCP85.sqlite</v>
      </c>
      <c r="M41" s="11">
        <v>1</v>
      </c>
      <c r="N41" s="12" t="str">
        <f t="shared" si="9"/>
        <v>climate_db_ICHEC-EC-EARTH_RCP85_v4.sqlite</v>
      </c>
      <c r="O41" s="12" t="str">
        <f t="shared" si="10"/>
        <v>log/lowStructure_PROD_repl1_RCP85.txt</v>
      </c>
      <c r="P41" s="12">
        <f t="shared" si="11"/>
        <v>1231</v>
      </c>
      <c r="Q41" s="12" t="str">
        <f t="shared" si="5"/>
        <v>abe/stand_files/lowStructure_PROD.csv</v>
      </c>
      <c r="R41" s="12" t="str">
        <f t="shared" si="13"/>
        <v>false</v>
      </c>
      <c r="S41" s="12" t="str">
        <f t="shared" si="7"/>
        <v>false</v>
      </c>
    </row>
    <row r="42" spans="1:19" ht="13.8">
      <c r="A42" s="7" t="str">
        <f t="shared" si="4"/>
        <v>mediumStructure_PROD_repl1_historical</v>
      </c>
      <c r="B42" s="8" t="s">
        <v>24</v>
      </c>
      <c r="C42" s="8" t="s">
        <v>29</v>
      </c>
      <c r="D42" s="9">
        <v>1</v>
      </c>
      <c r="E42" s="9" t="s">
        <v>17</v>
      </c>
      <c r="F42" s="8">
        <v>350</v>
      </c>
      <c r="G42" s="8" t="s">
        <v>18</v>
      </c>
      <c r="H42" s="8" t="s">
        <v>19</v>
      </c>
      <c r="I42" s="8" t="s">
        <v>20</v>
      </c>
      <c r="J42" s="10" t="s">
        <v>21</v>
      </c>
      <c r="K42" s="10">
        <v>150</v>
      </c>
      <c r="L42" s="10" t="str">
        <f t="shared" si="8"/>
        <v>mediumStructure_PROD_repl1_historical.sqlite</v>
      </c>
      <c r="M42" s="11">
        <v>1</v>
      </c>
      <c r="N42" s="12" t="str">
        <f t="shared" si="9"/>
        <v>climate_db_ICHEC-EC-EARTH_historical_v4.sqlite</v>
      </c>
      <c r="O42" s="12" t="str">
        <f t="shared" si="10"/>
        <v>log/mediumStructure_PROD_repl1_historical.txt</v>
      </c>
      <c r="P42" s="12">
        <f t="shared" si="11"/>
        <v>350</v>
      </c>
      <c r="Q42" s="12" t="str">
        <f t="shared" si="5"/>
        <v>abe/stand_files/mediumStructure_PROD.csv</v>
      </c>
      <c r="R42" s="12" t="str">
        <f t="shared" si="13"/>
        <v>false</v>
      </c>
      <c r="S42" s="12" t="str">
        <f t="shared" si="7"/>
        <v>false</v>
      </c>
    </row>
    <row r="43" spans="1:19" ht="13.8">
      <c r="A43" s="7" t="str">
        <f t="shared" si="4"/>
        <v>mediumStructure_PROD_repl1_RCP26</v>
      </c>
      <c r="B43" s="8" t="s">
        <v>24</v>
      </c>
      <c r="C43" s="8" t="s">
        <v>29</v>
      </c>
      <c r="D43" s="9">
        <v>1</v>
      </c>
      <c r="E43" s="8" t="s">
        <v>34</v>
      </c>
      <c r="F43" s="8">
        <v>427</v>
      </c>
      <c r="G43" s="8" t="s">
        <v>18</v>
      </c>
      <c r="H43" s="8" t="s">
        <v>19</v>
      </c>
      <c r="I43" s="8" t="s">
        <v>20</v>
      </c>
      <c r="J43" s="10" t="s">
        <v>22</v>
      </c>
      <c r="K43" s="10">
        <v>150</v>
      </c>
      <c r="L43" s="10" t="str">
        <f t="shared" si="8"/>
        <v>mediumStructure_PROD_repl1_RCP26.sqlite</v>
      </c>
      <c r="M43" s="11">
        <v>1</v>
      </c>
      <c r="N43" s="12" t="str">
        <f t="shared" si="9"/>
        <v>climate_db_ICHEC-EC-EARTH_RCP26_v4.sqlite</v>
      </c>
      <c r="O43" s="12" t="str">
        <f t="shared" si="10"/>
        <v>log/mediumStructure_PROD_repl1_RCP26.txt</v>
      </c>
      <c r="P43" s="12">
        <f t="shared" si="11"/>
        <v>427</v>
      </c>
      <c r="Q43" s="12" t="str">
        <f t="shared" si="5"/>
        <v>abe/stand_files/mediumStructure_PROD.csv</v>
      </c>
      <c r="R43" s="12" t="str">
        <f t="shared" si="13"/>
        <v>false</v>
      </c>
      <c r="S43" s="12" t="str">
        <f t="shared" si="7"/>
        <v>false</v>
      </c>
    </row>
    <row r="44" spans="1:19" ht="13.8">
      <c r="A44" s="7" t="str">
        <f t="shared" si="4"/>
        <v>mediumStructure_PROD_repl1_RCP45</v>
      </c>
      <c r="B44" s="8" t="s">
        <v>24</v>
      </c>
      <c r="C44" s="8" t="s">
        <v>29</v>
      </c>
      <c r="D44" s="9">
        <v>1</v>
      </c>
      <c r="E44" s="8" t="s">
        <v>35</v>
      </c>
      <c r="F44" s="8">
        <v>728</v>
      </c>
      <c r="G44" s="8" t="s">
        <v>18</v>
      </c>
      <c r="H44" s="8" t="s">
        <v>19</v>
      </c>
      <c r="I44" s="8" t="s">
        <v>20</v>
      </c>
      <c r="J44" s="10" t="s">
        <v>22</v>
      </c>
      <c r="K44" s="10">
        <v>150</v>
      </c>
      <c r="L44" s="10" t="str">
        <f t="shared" si="8"/>
        <v>mediumStructure_PROD_repl1_RCP45.sqlite</v>
      </c>
      <c r="M44" s="11">
        <v>1</v>
      </c>
      <c r="N44" s="12" t="str">
        <f t="shared" si="9"/>
        <v>climate_db_ICHEC-EC-EARTH_RCP45_v4.sqlite</v>
      </c>
      <c r="O44" s="12" t="str">
        <f t="shared" si="10"/>
        <v>log/mediumStructure_PROD_repl1_RCP45.txt</v>
      </c>
      <c r="P44" s="12">
        <f t="shared" si="11"/>
        <v>728</v>
      </c>
      <c r="Q44" s="12" t="str">
        <f t="shared" si="5"/>
        <v>abe/stand_files/mediumStructure_PROD.csv</v>
      </c>
      <c r="R44" s="12" t="str">
        <f t="shared" si="13"/>
        <v>false</v>
      </c>
      <c r="S44" s="12" t="str">
        <f t="shared" si="7"/>
        <v>false</v>
      </c>
    </row>
    <row r="45" spans="1:19" ht="13.8">
      <c r="A45" s="7" t="str">
        <f t="shared" si="4"/>
        <v>mediumStructure_PROD_repl1_RCP85</v>
      </c>
      <c r="B45" s="8" t="s">
        <v>24</v>
      </c>
      <c r="C45" s="8" t="s">
        <v>29</v>
      </c>
      <c r="D45" s="9">
        <v>1</v>
      </c>
      <c r="E45" s="8" t="s">
        <v>36</v>
      </c>
      <c r="F45" s="8">
        <v>1231</v>
      </c>
      <c r="G45" s="8" t="s">
        <v>18</v>
      </c>
      <c r="H45" s="8" t="s">
        <v>19</v>
      </c>
      <c r="I45" s="8" t="s">
        <v>20</v>
      </c>
      <c r="J45" s="10" t="s">
        <v>22</v>
      </c>
      <c r="K45" s="10">
        <v>150</v>
      </c>
      <c r="L45" s="10" t="str">
        <f t="shared" si="8"/>
        <v>mediumStructure_PROD_repl1_RCP85.sqlite</v>
      </c>
      <c r="M45" s="11">
        <v>1</v>
      </c>
      <c r="N45" s="12" t="str">
        <f t="shared" si="9"/>
        <v>climate_db_ICHEC-EC-EARTH_RCP85_v4.sqlite</v>
      </c>
      <c r="O45" s="12" t="str">
        <f t="shared" si="10"/>
        <v>log/mediumStructure_PROD_repl1_RCP85.txt</v>
      </c>
      <c r="P45" s="12">
        <f t="shared" si="11"/>
        <v>1231</v>
      </c>
      <c r="Q45" s="12" t="str">
        <f t="shared" si="5"/>
        <v>abe/stand_files/mediumStructure_PROD.csv</v>
      </c>
      <c r="R45" s="12" t="str">
        <f t="shared" si="13"/>
        <v>false</v>
      </c>
      <c r="S45" s="12" t="str">
        <f t="shared" si="7"/>
        <v>false</v>
      </c>
    </row>
    <row r="46" spans="1:19" ht="13.8">
      <c r="A46" s="7" t="str">
        <f t="shared" si="4"/>
        <v>highStructure_PROD_repl1_historical</v>
      </c>
      <c r="B46" s="8" t="s">
        <v>25</v>
      </c>
      <c r="C46" s="8" t="s">
        <v>29</v>
      </c>
      <c r="D46" s="9">
        <v>1</v>
      </c>
      <c r="E46" s="9" t="s">
        <v>17</v>
      </c>
      <c r="F46" s="8">
        <v>350</v>
      </c>
      <c r="G46" s="8" t="s">
        <v>18</v>
      </c>
      <c r="H46" s="8" t="s">
        <v>19</v>
      </c>
      <c r="I46" s="8" t="s">
        <v>20</v>
      </c>
      <c r="J46" s="10" t="s">
        <v>21</v>
      </c>
      <c r="K46" s="10">
        <v>150</v>
      </c>
      <c r="L46" s="10" t="str">
        <f t="shared" si="8"/>
        <v>highStructure_PROD_repl1_historical.sqlite</v>
      </c>
      <c r="M46" s="11">
        <v>1</v>
      </c>
      <c r="N46" s="12" t="str">
        <f t="shared" si="9"/>
        <v>climate_db_ICHEC-EC-EARTH_historical_v4.sqlite</v>
      </c>
      <c r="O46" s="12" t="str">
        <f t="shared" si="10"/>
        <v>log/highStructure_PROD_repl1_historical.txt</v>
      </c>
      <c r="P46" s="12">
        <f t="shared" si="11"/>
        <v>350</v>
      </c>
      <c r="Q46" s="12" t="str">
        <f t="shared" si="5"/>
        <v>abe/stand_files/highStructure_PROD.csv</v>
      </c>
      <c r="R46" s="12" t="str">
        <f t="shared" si="13"/>
        <v>false</v>
      </c>
      <c r="S46" s="12" t="str">
        <f t="shared" si="7"/>
        <v>false</v>
      </c>
    </row>
    <row r="47" spans="1:19" ht="13.8">
      <c r="A47" s="7" t="str">
        <f t="shared" si="4"/>
        <v>highStructure_PROD_repl1_RCP26</v>
      </c>
      <c r="B47" s="8" t="s">
        <v>25</v>
      </c>
      <c r="C47" s="8" t="s">
        <v>29</v>
      </c>
      <c r="D47" s="9">
        <v>1</v>
      </c>
      <c r="E47" s="8" t="s">
        <v>34</v>
      </c>
      <c r="F47" s="8">
        <v>427</v>
      </c>
      <c r="G47" s="8" t="s">
        <v>18</v>
      </c>
      <c r="H47" s="8" t="s">
        <v>19</v>
      </c>
      <c r="I47" s="8" t="s">
        <v>20</v>
      </c>
      <c r="J47" s="10" t="s">
        <v>22</v>
      </c>
      <c r="K47" s="10">
        <v>150</v>
      </c>
      <c r="L47" s="10" t="str">
        <f t="shared" si="8"/>
        <v>highStructure_PROD_repl1_RCP26.sqlite</v>
      </c>
      <c r="M47" s="11">
        <v>1</v>
      </c>
      <c r="N47" s="12" t="str">
        <f t="shared" si="9"/>
        <v>climate_db_ICHEC-EC-EARTH_RCP26_v4.sqlite</v>
      </c>
      <c r="O47" s="12" t="str">
        <f t="shared" si="10"/>
        <v>log/highStructure_PROD_repl1_RCP26.txt</v>
      </c>
      <c r="P47" s="12">
        <f t="shared" si="11"/>
        <v>427</v>
      </c>
      <c r="Q47" s="12" t="str">
        <f t="shared" si="5"/>
        <v>abe/stand_files/highStructure_PROD.csv</v>
      </c>
      <c r="R47" s="12" t="str">
        <f t="shared" si="13"/>
        <v>false</v>
      </c>
      <c r="S47" s="12" t="str">
        <f t="shared" si="7"/>
        <v>false</v>
      </c>
    </row>
    <row r="48" spans="1:19" ht="13.8">
      <c r="A48" s="7" t="str">
        <f t="shared" si="4"/>
        <v>highStructure_PROD_repl1_RCP45</v>
      </c>
      <c r="B48" s="8" t="s">
        <v>25</v>
      </c>
      <c r="C48" s="8" t="s">
        <v>29</v>
      </c>
      <c r="D48" s="9">
        <v>1</v>
      </c>
      <c r="E48" s="8" t="s">
        <v>35</v>
      </c>
      <c r="F48" s="8">
        <v>728</v>
      </c>
      <c r="G48" s="8" t="s">
        <v>18</v>
      </c>
      <c r="H48" s="8" t="s">
        <v>19</v>
      </c>
      <c r="I48" s="8" t="s">
        <v>20</v>
      </c>
      <c r="J48" s="10" t="s">
        <v>22</v>
      </c>
      <c r="K48" s="10">
        <v>150</v>
      </c>
      <c r="L48" s="10" t="str">
        <f t="shared" si="8"/>
        <v>highStructure_PROD_repl1_RCP45.sqlite</v>
      </c>
      <c r="M48" s="11">
        <v>1</v>
      </c>
      <c r="N48" s="12" t="str">
        <f t="shared" si="9"/>
        <v>climate_db_ICHEC-EC-EARTH_RCP45_v4.sqlite</v>
      </c>
      <c r="O48" s="12" t="str">
        <f t="shared" si="10"/>
        <v>log/highStructure_PROD_repl1_RCP45.txt</v>
      </c>
      <c r="P48" s="12">
        <f t="shared" si="11"/>
        <v>728</v>
      </c>
      <c r="Q48" s="12" t="str">
        <f t="shared" si="5"/>
        <v>abe/stand_files/highStructure_PROD.csv</v>
      </c>
      <c r="R48" s="12" t="str">
        <f t="shared" si="13"/>
        <v>false</v>
      </c>
      <c r="S48" s="12" t="str">
        <f t="shared" si="7"/>
        <v>false</v>
      </c>
    </row>
    <row r="49" spans="1:19" ht="13.8">
      <c r="A49" s="7" t="str">
        <f t="shared" si="4"/>
        <v>highStructure_PROD_repl1_RCP85</v>
      </c>
      <c r="B49" s="8" t="s">
        <v>25</v>
      </c>
      <c r="C49" s="8" t="s">
        <v>29</v>
      </c>
      <c r="D49" s="9">
        <v>1</v>
      </c>
      <c r="E49" s="8" t="s">
        <v>36</v>
      </c>
      <c r="F49" s="8">
        <v>1231</v>
      </c>
      <c r="G49" s="8" t="s">
        <v>18</v>
      </c>
      <c r="H49" s="8" t="s">
        <v>19</v>
      </c>
      <c r="I49" s="8" t="s">
        <v>20</v>
      </c>
      <c r="J49" s="10" t="s">
        <v>22</v>
      </c>
      <c r="K49" s="10">
        <v>150</v>
      </c>
      <c r="L49" s="10" t="str">
        <f t="shared" si="8"/>
        <v>highStructure_PROD_repl1_RCP85.sqlite</v>
      </c>
      <c r="M49" s="11">
        <v>1</v>
      </c>
      <c r="N49" s="12" t="str">
        <f t="shared" si="9"/>
        <v>climate_db_ICHEC-EC-EARTH_RCP85_v4.sqlite</v>
      </c>
      <c r="O49" s="12" t="str">
        <f t="shared" si="10"/>
        <v>log/highStructure_PROD_repl1_RCP85.txt</v>
      </c>
      <c r="P49" s="12">
        <f t="shared" si="11"/>
        <v>1231</v>
      </c>
      <c r="Q49" s="12" t="str">
        <f t="shared" si="5"/>
        <v>abe/stand_files/highStructure_PROD.csv</v>
      </c>
      <c r="R49" s="12" t="str">
        <f t="shared" si="13"/>
        <v>false</v>
      </c>
      <c r="S49" s="12" t="str">
        <f t="shared" si="7"/>
        <v>false</v>
      </c>
    </row>
    <row r="50" spans="1:19" ht="13.8">
      <c r="A50" s="7" t="str">
        <f t="shared" si="4"/>
        <v>noMgmt_PNV_repl1_historical</v>
      </c>
      <c r="B50" s="8" t="s">
        <v>16</v>
      </c>
      <c r="C50" s="8" t="s">
        <v>30</v>
      </c>
      <c r="D50" s="9">
        <v>1</v>
      </c>
      <c r="E50" s="9" t="s">
        <v>17</v>
      </c>
      <c r="F50" s="8">
        <v>350</v>
      </c>
      <c r="G50" s="8" t="s">
        <v>18</v>
      </c>
      <c r="H50" s="8" t="s">
        <v>19</v>
      </c>
      <c r="I50" s="8" t="s">
        <v>20</v>
      </c>
      <c r="J50" s="10" t="s">
        <v>21</v>
      </c>
      <c r="K50" s="10">
        <v>150</v>
      </c>
      <c r="L50" s="10" t="str">
        <f t="shared" si="8"/>
        <v>noMgmt_PNV_repl1_historical.sqlite</v>
      </c>
      <c r="M50" s="11">
        <v>1</v>
      </c>
      <c r="N50" s="12" t="str">
        <f t="shared" si="9"/>
        <v>climate_db_ICHEC-EC-EARTH_historical_v4.sqlite</v>
      </c>
      <c r="O50" s="12" t="str">
        <f t="shared" si="10"/>
        <v>log/noMgmt_PNV_repl1_historical.txt</v>
      </c>
      <c r="P50" s="12">
        <f t="shared" si="11"/>
        <v>350</v>
      </c>
      <c r="Q50" s="12" t="str">
        <f t="shared" si="5"/>
        <v>abe/stand_files/noMgmt.csv</v>
      </c>
      <c r="R50" s="12" t="str">
        <f>I50</f>
        <v>false</v>
      </c>
      <c r="S50" s="12" t="str">
        <f t="shared" si="7"/>
        <v>false</v>
      </c>
    </row>
    <row r="51" spans="1:19" ht="13.8">
      <c r="A51" s="7" t="str">
        <f t="shared" si="4"/>
        <v>noMgmt_PNV_repl1_RCP26</v>
      </c>
      <c r="B51" s="8" t="s">
        <v>16</v>
      </c>
      <c r="C51" s="8" t="s">
        <v>30</v>
      </c>
      <c r="D51" s="9">
        <v>1</v>
      </c>
      <c r="E51" s="8" t="s">
        <v>34</v>
      </c>
      <c r="F51" s="8">
        <v>427</v>
      </c>
      <c r="G51" s="8" t="s">
        <v>18</v>
      </c>
      <c r="H51" s="8" t="s">
        <v>19</v>
      </c>
      <c r="I51" s="8" t="s">
        <v>20</v>
      </c>
      <c r="J51" s="10" t="s">
        <v>22</v>
      </c>
      <c r="K51" s="10">
        <v>150</v>
      </c>
      <c r="L51" s="10" t="str">
        <f t="shared" si="8"/>
        <v>noMgmt_PNV_repl1_RCP26.sqlite</v>
      </c>
      <c r="M51" s="11">
        <v>1</v>
      </c>
      <c r="N51" s="12" t="str">
        <f t="shared" si="9"/>
        <v>climate_db_ICHEC-EC-EARTH_RCP26_v4.sqlite</v>
      </c>
      <c r="O51" s="12" t="str">
        <f t="shared" si="10"/>
        <v>log/noMgmt_PNV_repl1_RCP26.txt</v>
      </c>
      <c r="P51" s="12">
        <f t="shared" si="11"/>
        <v>427</v>
      </c>
      <c r="Q51" s="12" t="str">
        <f t="shared" si="5"/>
        <v>abe/stand_files/noMgmt.csv</v>
      </c>
      <c r="R51" s="12" t="str">
        <f t="shared" ref="R51:R65" si="14">I51</f>
        <v>false</v>
      </c>
      <c r="S51" s="12" t="str">
        <f t="shared" si="7"/>
        <v>false</v>
      </c>
    </row>
    <row r="52" spans="1:19" ht="13.8">
      <c r="A52" s="7" t="str">
        <f t="shared" si="4"/>
        <v>noMgmt_PNV_repl1_RCP45</v>
      </c>
      <c r="B52" s="8" t="s">
        <v>16</v>
      </c>
      <c r="C52" s="8" t="s">
        <v>30</v>
      </c>
      <c r="D52" s="9">
        <v>1</v>
      </c>
      <c r="E52" s="8" t="s">
        <v>35</v>
      </c>
      <c r="F52" s="8">
        <v>728</v>
      </c>
      <c r="G52" s="8" t="s">
        <v>18</v>
      </c>
      <c r="H52" s="8" t="s">
        <v>19</v>
      </c>
      <c r="I52" s="8" t="s">
        <v>20</v>
      </c>
      <c r="J52" s="10" t="s">
        <v>22</v>
      </c>
      <c r="K52" s="10">
        <v>150</v>
      </c>
      <c r="L52" s="10" t="str">
        <f t="shared" si="8"/>
        <v>noMgmt_PNV_repl1_RCP45.sqlite</v>
      </c>
      <c r="M52" s="11">
        <v>1</v>
      </c>
      <c r="N52" s="12" t="str">
        <f t="shared" si="9"/>
        <v>climate_db_ICHEC-EC-EARTH_RCP45_v4.sqlite</v>
      </c>
      <c r="O52" s="12" t="str">
        <f t="shared" si="10"/>
        <v>log/noMgmt_PNV_repl1_RCP45.txt</v>
      </c>
      <c r="P52" s="12">
        <f t="shared" si="11"/>
        <v>728</v>
      </c>
      <c r="Q52" s="12" t="str">
        <f t="shared" si="5"/>
        <v>abe/stand_files/noMgmt.csv</v>
      </c>
      <c r="R52" s="12" t="str">
        <f t="shared" si="14"/>
        <v>false</v>
      </c>
      <c r="S52" s="12" t="str">
        <f t="shared" si="7"/>
        <v>false</v>
      </c>
    </row>
    <row r="53" spans="1:19" ht="13.8">
      <c r="A53" s="7" t="str">
        <f t="shared" si="4"/>
        <v>noMgmt_PNV_repl1_RCP85</v>
      </c>
      <c r="B53" s="8" t="s">
        <v>16</v>
      </c>
      <c r="C53" s="8" t="s">
        <v>30</v>
      </c>
      <c r="D53" s="9">
        <v>1</v>
      </c>
      <c r="E53" s="8" t="s">
        <v>36</v>
      </c>
      <c r="F53" s="8">
        <v>1231</v>
      </c>
      <c r="G53" s="8" t="s">
        <v>18</v>
      </c>
      <c r="H53" s="8" t="s">
        <v>19</v>
      </c>
      <c r="I53" s="8" t="s">
        <v>20</v>
      </c>
      <c r="J53" s="10" t="s">
        <v>22</v>
      </c>
      <c r="K53" s="10">
        <v>150</v>
      </c>
      <c r="L53" s="10" t="str">
        <f t="shared" si="8"/>
        <v>noMgmt_PNV_repl1_RCP85.sqlite</v>
      </c>
      <c r="M53" s="11">
        <v>1</v>
      </c>
      <c r="N53" s="12" t="str">
        <f t="shared" si="9"/>
        <v>climate_db_ICHEC-EC-EARTH_RCP85_v4.sqlite</v>
      </c>
      <c r="O53" s="12" t="str">
        <f t="shared" si="10"/>
        <v>log/noMgmt_PNV_repl1_RCP85.txt</v>
      </c>
      <c r="P53" s="12">
        <f t="shared" si="11"/>
        <v>1231</v>
      </c>
      <c r="Q53" s="12" t="str">
        <f t="shared" si="5"/>
        <v>abe/stand_files/noMgmt.csv</v>
      </c>
      <c r="R53" s="12" t="str">
        <f t="shared" si="14"/>
        <v>false</v>
      </c>
      <c r="S53" s="12" t="str">
        <f t="shared" si="7"/>
        <v>false</v>
      </c>
    </row>
    <row r="54" spans="1:19" ht="13.8">
      <c r="A54" s="7" t="str">
        <f t="shared" si="4"/>
        <v>lowStructure_PNV_repl1_historical</v>
      </c>
      <c r="B54" s="8" t="s">
        <v>23</v>
      </c>
      <c r="C54" s="8" t="s">
        <v>30</v>
      </c>
      <c r="D54" s="9">
        <v>1</v>
      </c>
      <c r="E54" s="9" t="s">
        <v>17</v>
      </c>
      <c r="F54" s="8">
        <v>350</v>
      </c>
      <c r="G54" s="8" t="s">
        <v>18</v>
      </c>
      <c r="H54" s="8" t="s">
        <v>19</v>
      </c>
      <c r="I54" s="8" t="s">
        <v>20</v>
      </c>
      <c r="J54" s="10" t="s">
        <v>21</v>
      </c>
      <c r="K54" s="10">
        <v>150</v>
      </c>
      <c r="L54" s="10" t="str">
        <f t="shared" si="8"/>
        <v>lowStructure_PNV_repl1_historical.sqlite</v>
      </c>
      <c r="M54" s="11">
        <v>1</v>
      </c>
      <c r="N54" s="12" t="str">
        <f t="shared" si="9"/>
        <v>climate_db_ICHEC-EC-EARTH_historical_v4.sqlite</v>
      </c>
      <c r="O54" s="12" t="str">
        <f t="shared" si="10"/>
        <v>log/lowStructure_PNV_repl1_historical.txt</v>
      </c>
      <c r="P54" s="12">
        <f t="shared" si="11"/>
        <v>350</v>
      </c>
      <c r="Q54" s="12" t="str">
        <f t="shared" si="5"/>
        <v>abe/stand_files/lowStructure_PNV.csv</v>
      </c>
      <c r="R54" s="12" t="str">
        <f t="shared" si="14"/>
        <v>false</v>
      </c>
      <c r="S54" s="12" t="str">
        <f t="shared" si="7"/>
        <v>false</v>
      </c>
    </row>
    <row r="55" spans="1:19" ht="13.8">
      <c r="A55" s="7" t="str">
        <f t="shared" si="4"/>
        <v>lowStructure_PNV_repl1_RCP26</v>
      </c>
      <c r="B55" s="8" t="s">
        <v>23</v>
      </c>
      <c r="C55" s="8" t="s">
        <v>30</v>
      </c>
      <c r="D55" s="9">
        <v>1</v>
      </c>
      <c r="E55" s="8" t="s">
        <v>34</v>
      </c>
      <c r="F55" s="8">
        <v>427</v>
      </c>
      <c r="G55" s="8" t="s">
        <v>18</v>
      </c>
      <c r="H55" s="8" t="s">
        <v>19</v>
      </c>
      <c r="I55" s="8" t="s">
        <v>20</v>
      </c>
      <c r="J55" s="10" t="s">
        <v>22</v>
      </c>
      <c r="K55" s="10">
        <v>150</v>
      </c>
      <c r="L55" s="10" t="str">
        <f t="shared" si="8"/>
        <v>lowStructure_PNV_repl1_RCP26.sqlite</v>
      </c>
      <c r="M55" s="11">
        <v>1</v>
      </c>
      <c r="N55" s="12" t="str">
        <f t="shared" si="9"/>
        <v>climate_db_ICHEC-EC-EARTH_RCP26_v4.sqlite</v>
      </c>
      <c r="O55" s="12" t="str">
        <f t="shared" si="10"/>
        <v>log/lowStructure_PNV_repl1_RCP26.txt</v>
      </c>
      <c r="P55" s="12">
        <f t="shared" si="11"/>
        <v>427</v>
      </c>
      <c r="Q55" s="12" t="str">
        <f t="shared" si="5"/>
        <v>abe/stand_files/lowStructure_PNV.csv</v>
      </c>
      <c r="R55" s="12" t="str">
        <f t="shared" si="14"/>
        <v>false</v>
      </c>
      <c r="S55" s="12" t="str">
        <f t="shared" si="7"/>
        <v>false</v>
      </c>
    </row>
    <row r="56" spans="1:19" ht="13.8">
      <c r="A56" s="7" t="str">
        <f t="shared" si="4"/>
        <v>lowStructure_PNV_repl1_RCP45</v>
      </c>
      <c r="B56" s="8" t="s">
        <v>23</v>
      </c>
      <c r="C56" s="8" t="s">
        <v>30</v>
      </c>
      <c r="D56" s="9">
        <v>1</v>
      </c>
      <c r="E56" s="8" t="s">
        <v>35</v>
      </c>
      <c r="F56" s="8">
        <v>728</v>
      </c>
      <c r="G56" s="8" t="s">
        <v>18</v>
      </c>
      <c r="H56" s="8" t="s">
        <v>19</v>
      </c>
      <c r="I56" s="8" t="s">
        <v>20</v>
      </c>
      <c r="J56" s="10" t="s">
        <v>22</v>
      </c>
      <c r="K56" s="10">
        <v>150</v>
      </c>
      <c r="L56" s="10" t="str">
        <f t="shared" si="8"/>
        <v>lowStructure_PNV_repl1_RCP45.sqlite</v>
      </c>
      <c r="M56" s="11">
        <v>1</v>
      </c>
      <c r="N56" s="12" t="str">
        <f t="shared" si="9"/>
        <v>climate_db_ICHEC-EC-EARTH_RCP45_v4.sqlite</v>
      </c>
      <c r="O56" s="12" t="str">
        <f t="shared" si="10"/>
        <v>log/lowStructure_PNV_repl1_RCP45.txt</v>
      </c>
      <c r="P56" s="12">
        <f t="shared" si="11"/>
        <v>728</v>
      </c>
      <c r="Q56" s="12" t="str">
        <f t="shared" si="5"/>
        <v>abe/stand_files/lowStructure_PNV.csv</v>
      </c>
      <c r="R56" s="12" t="str">
        <f t="shared" si="14"/>
        <v>false</v>
      </c>
      <c r="S56" s="12" t="str">
        <f t="shared" si="7"/>
        <v>false</v>
      </c>
    </row>
    <row r="57" spans="1:19" ht="13.8">
      <c r="A57" s="7" t="str">
        <f t="shared" si="4"/>
        <v>lowStructure_PNV_repl1_RCP85</v>
      </c>
      <c r="B57" s="8" t="s">
        <v>23</v>
      </c>
      <c r="C57" s="8" t="s">
        <v>30</v>
      </c>
      <c r="D57" s="9">
        <v>1</v>
      </c>
      <c r="E57" s="8" t="s">
        <v>36</v>
      </c>
      <c r="F57" s="8">
        <v>1231</v>
      </c>
      <c r="G57" s="8" t="s">
        <v>18</v>
      </c>
      <c r="H57" s="8" t="s">
        <v>19</v>
      </c>
      <c r="I57" s="8" t="s">
        <v>20</v>
      </c>
      <c r="J57" s="10" t="s">
        <v>22</v>
      </c>
      <c r="K57" s="10">
        <v>150</v>
      </c>
      <c r="L57" s="10" t="str">
        <f t="shared" si="8"/>
        <v>lowStructure_PNV_repl1_RCP85.sqlite</v>
      </c>
      <c r="M57" s="11">
        <v>1</v>
      </c>
      <c r="N57" s="12" t="str">
        <f t="shared" si="9"/>
        <v>climate_db_ICHEC-EC-EARTH_RCP85_v4.sqlite</v>
      </c>
      <c r="O57" s="12" t="str">
        <f t="shared" si="10"/>
        <v>log/lowStructure_PNV_repl1_RCP85.txt</v>
      </c>
      <c r="P57" s="12">
        <f t="shared" si="11"/>
        <v>1231</v>
      </c>
      <c r="Q57" s="12" t="str">
        <f t="shared" si="5"/>
        <v>abe/stand_files/lowStructure_PNV.csv</v>
      </c>
      <c r="R57" s="12" t="str">
        <f t="shared" si="14"/>
        <v>false</v>
      </c>
      <c r="S57" s="12" t="str">
        <f t="shared" si="7"/>
        <v>false</v>
      </c>
    </row>
    <row r="58" spans="1:19" ht="13.8">
      <c r="A58" s="7" t="str">
        <f t="shared" si="4"/>
        <v>mediumStructure_PNV_repl1_historical</v>
      </c>
      <c r="B58" s="8" t="s">
        <v>24</v>
      </c>
      <c r="C58" s="8" t="s">
        <v>30</v>
      </c>
      <c r="D58" s="9">
        <v>1</v>
      </c>
      <c r="E58" s="9" t="s">
        <v>17</v>
      </c>
      <c r="F58" s="8">
        <v>350</v>
      </c>
      <c r="G58" s="8" t="s">
        <v>18</v>
      </c>
      <c r="H58" s="8" t="s">
        <v>19</v>
      </c>
      <c r="I58" s="8" t="s">
        <v>20</v>
      </c>
      <c r="J58" s="10" t="s">
        <v>21</v>
      </c>
      <c r="K58" s="10">
        <v>150</v>
      </c>
      <c r="L58" s="10" t="str">
        <f t="shared" si="8"/>
        <v>mediumStructure_PNV_repl1_historical.sqlite</v>
      </c>
      <c r="M58" s="11">
        <v>1</v>
      </c>
      <c r="N58" s="12" t="str">
        <f t="shared" si="9"/>
        <v>climate_db_ICHEC-EC-EARTH_historical_v4.sqlite</v>
      </c>
      <c r="O58" s="12" t="str">
        <f t="shared" si="10"/>
        <v>log/mediumStructure_PNV_repl1_historical.txt</v>
      </c>
      <c r="P58" s="12">
        <f t="shared" si="11"/>
        <v>350</v>
      </c>
      <c r="Q58" s="12" t="str">
        <f t="shared" si="5"/>
        <v>abe/stand_files/mediumStructure_PNV.csv</v>
      </c>
      <c r="R58" s="12" t="str">
        <f t="shared" si="14"/>
        <v>false</v>
      </c>
      <c r="S58" s="12" t="str">
        <f t="shared" si="7"/>
        <v>false</v>
      </c>
    </row>
    <row r="59" spans="1:19" ht="13.8">
      <c r="A59" s="7" t="str">
        <f t="shared" si="4"/>
        <v>mediumStructure_PNV_repl1_RCP26</v>
      </c>
      <c r="B59" s="8" t="s">
        <v>24</v>
      </c>
      <c r="C59" s="8" t="s">
        <v>30</v>
      </c>
      <c r="D59" s="9">
        <v>1</v>
      </c>
      <c r="E59" s="8" t="s">
        <v>34</v>
      </c>
      <c r="F59" s="8">
        <v>427</v>
      </c>
      <c r="G59" s="8" t="s">
        <v>18</v>
      </c>
      <c r="H59" s="8" t="s">
        <v>19</v>
      </c>
      <c r="I59" s="8" t="s">
        <v>20</v>
      </c>
      <c r="J59" s="10" t="s">
        <v>22</v>
      </c>
      <c r="K59" s="10">
        <v>150</v>
      </c>
      <c r="L59" s="10" t="str">
        <f t="shared" si="8"/>
        <v>mediumStructure_PNV_repl1_RCP26.sqlite</v>
      </c>
      <c r="M59" s="11">
        <v>1</v>
      </c>
      <c r="N59" s="12" t="str">
        <f t="shared" si="9"/>
        <v>climate_db_ICHEC-EC-EARTH_RCP26_v4.sqlite</v>
      </c>
      <c r="O59" s="12" t="str">
        <f t="shared" si="10"/>
        <v>log/mediumStructure_PNV_repl1_RCP26.txt</v>
      </c>
      <c r="P59" s="12">
        <f t="shared" si="11"/>
        <v>427</v>
      </c>
      <c r="Q59" s="12" t="str">
        <f t="shared" si="5"/>
        <v>abe/stand_files/mediumStructure_PNV.csv</v>
      </c>
      <c r="R59" s="12" t="str">
        <f t="shared" si="14"/>
        <v>false</v>
      </c>
      <c r="S59" s="12" t="str">
        <f t="shared" si="7"/>
        <v>false</v>
      </c>
    </row>
    <row r="60" spans="1:19" ht="13.8">
      <c r="A60" s="7" t="str">
        <f t="shared" si="4"/>
        <v>mediumStructure_PNV_repl1_RCP45</v>
      </c>
      <c r="B60" s="8" t="s">
        <v>24</v>
      </c>
      <c r="C60" s="8" t="s">
        <v>30</v>
      </c>
      <c r="D60" s="9">
        <v>1</v>
      </c>
      <c r="E60" s="8" t="s">
        <v>35</v>
      </c>
      <c r="F60" s="8">
        <v>728</v>
      </c>
      <c r="G60" s="8" t="s">
        <v>18</v>
      </c>
      <c r="H60" s="8" t="s">
        <v>19</v>
      </c>
      <c r="I60" s="8" t="s">
        <v>20</v>
      </c>
      <c r="J60" s="10" t="s">
        <v>22</v>
      </c>
      <c r="K60" s="10">
        <v>150</v>
      </c>
      <c r="L60" s="10" t="str">
        <f t="shared" si="8"/>
        <v>mediumStructure_PNV_repl1_RCP45.sqlite</v>
      </c>
      <c r="M60" s="11">
        <v>1</v>
      </c>
      <c r="N60" s="12" t="str">
        <f t="shared" si="9"/>
        <v>climate_db_ICHEC-EC-EARTH_RCP45_v4.sqlite</v>
      </c>
      <c r="O60" s="12" t="str">
        <f t="shared" si="10"/>
        <v>log/mediumStructure_PNV_repl1_RCP45.txt</v>
      </c>
      <c r="P60" s="12">
        <f t="shared" si="11"/>
        <v>728</v>
      </c>
      <c r="Q60" s="12" t="str">
        <f t="shared" si="5"/>
        <v>abe/stand_files/mediumStructure_PNV.csv</v>
      </c>
      <c r="R60" s="12" t="str">
        <f t="shared" si="14"/>
        <v>false</v>
      </c>
      <c r="S60" s="12" t="str">
        <f t="shared" si="7"/>
        <v>false</v>
      </c>
    </row>
    <row r="61" spans="1:19" ht="13.8">
      <c r="A61" s="7" t="str">
        <f t="shared" si="4"/>
        <v>mediumStructure_PNV_repl1_RCP85</v>
      </c>
      <c r="B61" s="8" t="s">
        <v>24</v>
      </c>
      <c r="C61" s="8" t="s">
        <v>30</v>
      </c>
      <c r="D61" s="9">
        <v>1</v>
      </c>
      <c r="E61" s="8" t="s">
        <v>36</v>
      </c>
      <c r="F61" s="8">
        <v>1231</v>
      </c>
      <c r="G61" s="8" t="s">
        <v>18</v>
      </c>
      <c r="H61" s="8" t="s">
        <v>19</v>
      </c>
      <c r="I61" s="8" t="s">
        <v>20</v>
      </c>
      <c r="J61" s="10" t="s">
        <v>22</v>
      </c>
      <c r="K61" s="10">
        <v>150</v>
      </c>
      <c r="L61" s="10" t="str">
        <f t="shared" si="8"/>
        <v>mediumStructure_PNV_repl1_RCP85.sqlite</v>
      </c>
      <c r="M61" s="11">
        <v>1</v>
      </c>
      <c r="N61" s="12" t="str">
        <f t="shared" si="9"/>
        <v>climate_db_ICHEC-EC-EARTH_RCP85_v4.sqlite</v>
      </c>
      <c r="O61" s="12" t="str">
        <f t="shared" si="10"/>
        <v>log/mediumStructure_PNV_repl1_RCP85.txt</v>
      </c>
      <c r="P61" s="12">
        <f t="shared" si="11"/>
        <v>1231</v>
      </c>
      <c r="Q61" s="12" t="str">
        <f t="shared" si="5"/>
        <v>abe/stand_files/mediumStructure_PNV.csv</v>
      </c>
      <c r="R61" s="12" t="str">
        <f t="shared" si="14"/>
        <v>false</v>
      </c>
      <c r="S61" s="12" t="str">
        <f t="shared" si="7"/>
        <v>false</v>
      </c>
    </row>
    <row r="62" spans="1:19" ht="13.8">
      <c r="A62" s="7" t="str">
        <f t="shared" si="4"/>
        <v>highStructure_PNV_repl1_historical</v>
      </c>
      <c r="B62" s="8" t="s">
        <v>25</v>
      </c>
      <c r="C62" s="8" t="s">
        <v>30</v>
      </c>
      <c r="D62" s="9">
        <v>1</v>
      </c>
      <c r="E62" s="9" t="s">
        <v>17</v>
      </c>
      <c r="F62" s="8">
        <v>350</v>
      </c>
      <c r="G62" s="8" t="s">
        <v>18</v>
      </c>
      <c r="H62" s="8" t="s">
        <v>19</v>
      </c>
      <c r="I62" s="8" t="s">
        <v>20</v>
      </c>
      <c r="J62" s="10" t="s">
        <v>21</v>
      </c>
      <c r="K62" s="10">
        <v>150</v>
      </c>
      <c r="L62" s="10" t="str">
        <f t="shared" si="8"/>
        <v>highStructure_PNV_repl1_historical.sqlite</v>
      </c>
      <c r="M62" s="11">
        <v>1</v>
      </c>
      <c r="N62" s="12" t="str">
        <f t="shared" si="9"/>
        <v>climate_db_ICHEC-EC-EARTH_historical_v4.sqlite</v>
      </c>
      <c r="O62" s="12" t="str">
        <f t="shared" si="10"/>
        <v>log/highStructure_PNV_repl1_historical.txt</v>
      </c>
      <c r="P62" s="12">
        <f t="shared" si="11"/>
        <v>350</v>
      </c>
      <c r="Q62" s="12" t="str">
        <f t="shared" si="5"/>
        <v>abe/stand_files/highStructure_PNV.csv</v>
      </c>
      <c r="R62" s="12" t="str">
        <f t="shared" si="14"/>
        <v>false</v>
      </c>
      <c r="S62" s="12" t="str">
        <f t="shared" si="7"/>
        <v>false</v>
      </c>
    </row>
    <row r="63" spans="1:19" ht="13.8">
      <c r="A63" s="7" t="str">
        <f t="shared" si="4"/>
        <v>highStructure_PNV_repl1_RCP26</v>
      </c>
      <c r="B63" s="8" t="s">
        <v>25</v>
      </c>
      <c r="C63" s="8" t="s">
        <v>30</v>
      </c>
      <c r="D63" s="9">
        <v>1</v>
      </c>
      <c r="E63" s="8" t="s">
        <v>34</v>
      </c>
      <c r="F63" s="8">
        <v>427</v>
      </c>
      <c r="G63" s="8" t="s">
        <v>18</v>
      </c>
      <c r="H63" s="8" t="s">
        <v>19</v>
      </c>
      <c r="I63" s="8" t="s">
        <v>20</v>
      </c>
      <c r="J63" s="10" t="s">
        <v>22</v>
      </c>
      <c r="K63" s="10">
        <v>150</v>
      </c>
      <c r="L63" s="10" t="str">
        <f t="shared" si="8"/>
        <v>highStructure_PNV_repl1_RCP26.sqlite</v>
      </c>
      <c r="M63" s="11">
        <v>1</v>
      </c>
      <c r="N63" s="12" t="str">
        <f t="shared" si="9"/>
        <v>climate_db_ICHEC-EC-EARTH_RCP26_v4.sqlite</v>
      </c>
      <c r="O63" s="12" t="str">
        <f t="shared" si="10"/>
        <v>log/highStructure_PNV_repl1_RCP26.txt</v>
      </c>
      <c r="P63" s="12">
        <f t="shared" si="11"/>
        <v>427</v>
      </c>
      <c r="Q63" s="12" t="str">
        <f t="shared" si="5"/>
        <v>abe/stand_files/highStructure_PNV.csv</v>
      </c>
      <c r="R63" s="12" t="str">
        <f t="shared" si="14"/>
        <v>false</v>
      </c>
      <c r="S63" s="12" t="str">
        <f t="shared" si="7"/>
        <v>false</v>
      </c>
    </row>
    <row r="64" spans="1:19" ht="13.8">
      <c r="A64" s="7" t="str">
        <f t="shared" si="4"/>
        <v>highStructure_PNV_repl1_RCP45</v>
      </c>
      <c r="B64" s="8" t="s">
        <v>25</v>
      </c>
      <c r="C64" s="8" t="s">
        <v>30</v>
      </c>
      <c r="D64" s="9">
        <v>1</v>
      </c>
      <c r="E64" s="8" t="s">
        <v>35</v>
      </c>
      <c r="F64" s="8">
        <v>728</v>
      </c>
      <c r="G64" s="8" t="s">
        <v>18</v>
      </c>
      <c r="H64" s="8" t="s">
        <v>19</v>
      </c>
      <c r="I64" s="8" t="s">
        <v>20</v>
      </c>
      <c r="J64" s="10" t="s">
        <v>22</v>
      </c>
      <c r="K64" s="10">
        <v>150</v>
      </c>
      <c r="L64" s="10" t="str">
        <f t="shared" si="8"/>
        <v>highStructure_PNV_repl1_RCP45.sqlite</v>
      </c>
      <c r="M64" s="11">
        <v>1</v>
      </c>
      <c r="N64" s="12" t="str">
        <f t="shared" si="9"/>
        <v>climate_db_ICHEC-EC-EARTH_RCP45_v4.sqlite</v>
      </c>
      <c r="O64" s="12" t="str">
        <f t="shared" si="10"/>
        <v>log/highStructure_PNV_repl1_RCP45.txt</v>
      </c>
      <c r="P64" s="12">
        <f t="shared" si="11"/>
        <v>728</v>
      </c>
      <c r="Q64" s="12" t="str">
        <f t="shared" si="5"/>
        <v>abe/stand_files/highStructure_PNV.csv</v>
      </c>
      <c r="R64" s="12" t="str">
        <f t="shared" si="14"/>
        <v>false</v>
      </c>
      <c r="S64" s="12" t="str">
        <f t="shared" si="7"/>
        <v>false</v>
      </c>
    </row>
    <row r="65" spans="1:19" ht="13.8">
      <c r="A65" s="7" t="str">
        <f t="shared" si="4"/>
        <v>highStructure_PNV_repl1_RCP85</v>
      </c>
      <c r="B65" s="8" t="s">
        <v>25</v>
      </c>
      <c r="C65" s="8" t="s">
        <v>30</v>
      </c>
      <c r="D65" s="9">
        <v>1</v>
      </c>
      <c r="E65" s="8" t="s">
        <v>36</v>
      </c>
      <c r="F65" s="8">
        <v>1231</v>
      </c>
      <c r="G65" s="8" t="s">
        <v>18</v>
      </c>
      <c r="H65" s="8" t="s">
        <v>19</v>
      </c>
      <c r="I65" s="8" t="s">
        <v>20</v>
      </c>
      <c r="J65" s="10" t="s">
        <v>22</v>
      </c>
      <c r="K65" s="10">
        <v>150</v>
      </c>
      <c r="L65" s="10" t="str">
        <f t="shared" si="8"/>
        <v>highStructure_PNV_repl1_RCP85.sqlite</v>
      </c>
      <c r="M65" s="11">
        <v>1</v>
      </c>
      <c r="N65" s="12" t="str">
        <f t="shared" si="9"/>
        <v>climate_db_ICHEC-EC-EARTH_RCP85_v4.sqlite</v>
      </c>
      <c r="O65" s="12" t="str">
        <f t="shared" si="10"/>
        <v>log/highStructure_PNV_repl1_RCP85.txt</v>
      </c>
      <c r="P65" s="12">
        <f t="shared" si="11"/>
        <v>1231</v>
      </c>
      <c r="Q65" s="12" t="str">
        <f t="shared" si="5"/>
        <v>abe/stand_files/highStructure_PNV.csv</v>
      </c>
      <c r="R65" s="12" t="str">
        <f t="shared" si="14"/>
        <v>false</v>
      </c>
      <c r="S65" s="12" t="str">
        <f t="shared" si="7"/>
        <v>false</v>
      </c>
    </row>
    <row r="66" spans="1:19" ht="13.8">
      <c r="A66" s="7" t="str">
        <f t="shared" si="4"/>
        <v>noMgmt_PNV45_repl1_historical</v>
      </c>
      <c r="B66" s="8" t="s">
        <v>16</v>
      </c>
      <c r="C66" s="8" t="s">
        <v>31</v>
      </c>
      <c r="D66" s="9">
        <v>1</v>
      </c>
      <c r="E66" s="9" t="s">
        <v>17</v>
      </c>
      <c r="F66" s="8">
        <v>350</v>
      </c>
      <c r="G66" s="8" t="s">
        <v>18</v>
      </c>
      <c r="H66" s="8" t="s">
        <v>19</v>
      </c>
      <c r="I66" s="8" t="s">
        <v>20</v>
      </c>
      <c r="J66" s="10" t="s">
        <v>21</v>
      </c>
      <c r="K66" s="10">
        <v>150</v>
      </c>
      <c r="L66" s="10" t="str">
        <f t="shared" si="8"/>
        <v>noMgmt_PNV45_repl1_historical.sqlite</v>
      </c>
      <c r="M66" s="11">
        <v>1</v>
      </c>
      <c r="N66" s="12" t="str">
        <f t="shared" si="9"/>
        <v>climate_db_ICHEC-EC-EARTH_historical_v4.sqlite</v>
      </c>
      <c r="O66" s="12" t="str">
        <f t="shared" si="10"/>
        <v>log/noMgmt_PNV45_repl1_historical.txt</v>
      </c>
      <c r="P66" s="12">
        <f t="shared" si="11"/>
        <v>350</v>
      </c>
      <c r="Q66" s="12" t="str">
        <f t="shared" si="5"/>
        <v>abe/stand_files/noMgmt.csv</v>
      </c>
      <c r="R66" s="12" t="str">
        <f>I66</f>
        <v>false</v>
      </c>
      <c r="S66" s="12" t="str">
        <f t="shared" si="7"/>
        <v>false</v>
      </c>
    </row>
    <row r="67" spans="1:19" ht="13.8">
      <c r="A67" s="7" t="str">
        <f t="shared" ref="A67:A81" si="15" xml:space="preserve"> TEXT(B67, "00") &amp; "_" &amp; TEXT(C67, "00") &amp;  "_repl" &amp; D67 &amp; "_"  &amp; E67</f>
        <v>noMgmt_PNV45_repl1_RCP26</v>
      </c>
      <c r="B67" s="8" t="s">
        <v>16</v>
      </c>
      <c r="C67" s="8" t="s">
        <v>31</v>
      </c>
      <c r="D67" s="9">
        <v>1</v>
      </c>
      <c r="E67" s="8" t="s">
        <v>34</v>
      </c>
      <c r="F67" s="8">
        <v>427</v>
      </c>
      <c r="G67" s="8" t="s">
        <v>18</v>
      </c>
      <c r="H67" s="8" t="s">
        <v>19</v>
      </c>
      <c r="I67" s="8" t="s">
        <v>20</v>
      </c>
      <c r="J67" s="10" t="s">
        <v>22</v>
      </c>
      <c r="K67" s="10">
        <v>150</v>
      </c>
      <c r="L67" s="10" t="str">
        <f t="shared" si="8"/>
        <v>noMgmt_PNV45_repl1_RCP26.sqlite</v>
      </c>
      <c r="M67" s="11">
        <v>1</v>
      </c>
      <c r="N67" s="12" t="str">
        <f t="shared" si="9"/>
        <v>climate_db_ICHEC-EC-EARTH_RCP26_v4.sqlite</v>
      </c>
      <c r="O67" s="12" t="str">
        <f t="shared" si="10"/>
        <v>log/noMgmt_PNV45_repl1_RCP26.txt</v>
      </c>
      <c r="P67" s="12">
        <f t="shared" si="11"/>
        <v>427</v>
      </c>
      <c r="Q67" s="12" t="str">
        <f t="shared" ref="Q67:Q81" si="16">"abe/stand_files/" &amp;  B67  &amp; IF(B67="NoMgmt", "", "_" &amp; C67) &amp; ".csv"</f>
        <v>abe/stand_files/noMgmt.csv</v>
      </c>
      <c r="R67" s="12" t="str">
        <f t="shared" ref="R67:R81" si="17">I67</f>
        <v>false</v>
      </c>
      <c r="S67" s="12" t="str">
        <f t="shared" ref="S67:S81" si="18">I67</f>
        <v>false</v>
      </c>
    </row>
    <row r="68" spans="1:19" ht="13.8">
      <c r="A68" s="7" t="str">
        <f t="shared" si="15"/>
        <v>noMgmt_PNV45_repl1_RCP45</v>
      </c>
      <c r="B68" s="8" t="s">
        <v>16</v>
      </c>
      <c r="C68" s="8" t="s">
        <v>31</v>
      </c>
      <c r="D68" s="9">
        <v>1</v>
      </c>
      <c r="E68" s="8" t="s">
        <v>35</v>
      </c>
      <c r="F68" s="8">
        <v>728</v>
      </c>
      <c r="G68" s="8" t="s">
        <v>18</v>
      </c>
      <c r="H68" s="8" t="s">
        <v>19</v>
      </c>
      <c r="I68" s="8" t="s">
        <v>20</v>
      </c>
      <c r="J68" s="10" t="s">
        <v>22</v>
      </c>
      <c r="K68" s="10">
        <v>150</v>
      </c>
      <c r="L68" s="10" t="str">
        <f t="shared" si="8"/>
        <v>noMgmt_PNV45_repl1_RCP45.sqlite</v>
      </c>
      <c r="M68" s="11">
        <v>1</v>
      </c>
      <c r="N68" s="12" t="str">
        <f t="shared" si="9"/>
        <v>climate_db_ICHEC-EC-EARTH_RCP45_v4.sqlite</v>
      </c>
      <c r="O68" s="12" t="str">
        <f t="shared" si="10"/>
        <v>log/noMgmt_PNV45_repl1_RCP45.txt</v>
      </c>
      <c r="P68" s="12">
        <f t="shared" si="11"/>
        <v>728</v>
      </c>
      <c r="Q68" s="12" t="str">
        <f t="shared" si="16"/>
        <v>abe/stand_files/noMgmt.csv</v>
      </c>
      <c r="R68" s="12" t="str">
        <f t="shared" si="17"/>
        <v>false</v>
      </c>
      <c r="S68" s="12" t="str">
        <f t="shared" si="18"/>
        <v>false</v>
      </c>
    </row>
    <row r="69" spans="1:19" ht="13.8">
      <c r="A69" s="7" t="str">
        <f t="shared" si="15"/>
        <v>noMgmt_PNV45_repl1_RCP85</v>
      </c>
      <c r="B69" s="8" t="s">
        <v>16</v>
      </c>
      <c r="C69" s="8" t="s">
        <v>31</v>
      </c>
      <c r="D69" s="9">
        <v>1</v>
      </c>
      <c r="E69" s="8" t="s">
        <v>36</v>
      </c>
      <c r="F69" s="8">
        <v>1231</v>
      </c>
      <c r="G69" s="8" t="s">
        <v>18</v>
      </c>
      <c r="H69" s="8" t="s">
        <v>19</v>
      </c>
      <c r="I69" s="8" t="s">
        <v>20</v>
      </c>
      <c r="J69" s="10" t="s">
        <v>22</v>
      </c>
      <c r="K69" s="10">
        <v>150</v>
      </c>
      <c r="L69" s="10" t="str">
        <f t="shared" si="8"/>
        <v>noMgmt_PNV45_repl1_RCP85.sqlite</v>
      </c>
      <c r="M69" s="11">
        <v>1</v>
      </c>
      <c r="N69" s="12" t="str">
        <f t="shared" si="9"/>
        <v>climate_db_ICHEC-EC-EARTH_RCP85_v4.sqlite</v>
      </c>
      <c r="O69" s="12" t="str">
        <f t="shared" si="10"/>
        <v>log/noMgmt_PNV45_repl1_RCP85.txt</v>
      </c>
      <c r="P69" s="12">
        <f t="shared" si="11"/>
        <v>1231</v>
      </c>
      <c r="Q69" s="12" t="str">
        <f t="shared" si="16"/>
        <v>abe/stand_files/noMgmt.csv</v>
      </c>
      <c r="R69" s="12" t="str">
        <f t="shared" si="17"/>
        <v>false</v>
      </c>
      <c r="S69" s="12" t="str">
        <f t="shared" si="18"/>
        <v>false</v>
      </c>
    </row>
    <row r="70" spans="1:19" ht="13.8">
      <c r="A70" s="7" t="str">
        <f t="shared" si="15"/>
        <v>lowStructure_PNV45_repl1_historical</v>
      </c>
      <c r="B70" s="8" t="s">
        <v>23</v>
      </c>
      <c r="C70" s="8" t="s">
        <v>31</v>
      </c>
      <c r="D70" s="9">
        <v>1</v>
      </c>
      <c r="E70" s="9" t="s">
        <v>17</v>
      </c>
      <c r="F70" s="8">
        <v>350</v>
      </c>
      <c r="G70" s="8" t="s">
        <v>18</v>
      </c>
      <c r="H70" s="8" t="s">
        <v>19</v>
      </c>
      <c r="I70" s="8" t="s">
        <v>20</v>
      </c>
      <c r="J70" s="10" t="s">
        <v>21</v>
      </c>
      <c r="K70" s="10">
        <v>150</v>
      </c>
      <c r="L70" s="10" t="str">
        <f t="shared" si="8"/>
        <v>lowStructure_PNV45_repl1_historical.sqlite</v>
      </c>
      <c r="M70" s="11">
        <v>1</v>
      </c>
      <c r="N70" s="12" t="str">
        <f t="shared" si="9"/>
        <v>climate_db_ICHEC-EC-EARTH_historical_v4.sqlite</v>
      </c>
      <c r="O70" s="12" t="str">
        <f t="shared" si="10"/>
        <v>log/lowStructure_PNV45_repl1_historical.txt</v>
      </c>
      <c r="P70" s="12">
        <f t="shared" si="11"/>
        <v>350</v>
      </c>
      <c r="Q70" s="12" t="str">
        <f t="shared" si="16"/>
        <v>abe/stand_files/lowStructure_PNV45.csv</v>
      </c>
      <c r="R70" s="12" t="str">
        <f t="shared" si="17"/>
        <v>false</v>
      </c>
      <c r="S70" s="12" t="str">
        <f t="shared" si="18"/>
        <v>false</v>
      </c>
    </row>
    <row r="71" spans="1:19" ht="13.8">
      <c r="A71" s="7" t="str">
        <f t="shared" si="15"/>
        <v>lowStructure_PNV45_repl1_RCP26</v>
      </c>
      <c r="B71" s="8" t="s">
        <v>23</v>
      </c>
      <c r="C71" s="8" t="s">
        <v>31</v>
      </c>
      <c r="D71" s="9">
        <v>1</v>
      </c>
      <c r="E71" s="8" t="s">
        <v>34</v>
      </c>
      <c r="F71" s="8">
        <v>427</v>
      </c>
      <c r="G71" s="8" t="s">
        <v>18</v>
      </c>
      <c r="H71" s="8" t="s">
        <v>19</v>
      </c>
      <c r="I71" s="8" t="s">
        <v>20</v>
      </c>
      <c r="J71" s="10" t="s">
        <v>22</v>
      </c>
      <c r="K71" s="10">
        <v>150</v>
      </c>
      <c r="L71" s="10" t="str">
        <f t="shared" si="8"/>
        <v>lowStructure_PNV45_repl1_RCP26.sqlite</v>
      </c>
      <c r="M71" s="11">
        <v>1</v>
      </c>
      <c r="N71" s="12" t="str">
        <f t="shared" si="9"/>
        <v>climate_db_ICHEC-EC-EARTH_RCP26_v4.sqlite</v>
      </c>
      <c r="O71" s="12" t="str">
        <f t="shared" si="10"/>
        <v>log/lowStructure_PNV45_repl1_RCP26.txt</v>
      </c>
      <c r="P71" s="12">
        <f t="shared" si="11"/>
        <v>427</v>
      </c>
      <c r="Q71" s="12" t="str">
        <f t="shared" si="16"/>
        <v>abe/stand_files/lowStructure_PNV45.csv</v>
      </c>
      <c r="R71" s="12" t="str">
        <f t="shared" si="17"/>
        <v>false</v>
      </c>
      <c r="S71" s="12" t="str">
        <f t="shared" si="18"/>
        <v>false</v>
      </c>
    </row>
    <row r="72" spans="1:19" ht="13.8">
      <c r="A72" s="7" t="str">
        <f t="shared" si="15"/>
        <v>lowStructure_PNV45_repl1_RCP45</v>
      </c>
      <c r="B72" s="8" t="s">
        <v>23</v>
      </c>
      <c r="C72" s="8" t="s">
        <v>31</v>
      </c>
      <c r="D72" s="9">
        <v>1</v>
      </c>
      <c r="E72" s="8" t="s">
        <v>35</v>
      </c>
      <c r="F72" s="8">
        <v>728</v>
      </c>
      <c r="G72" s="8" t="s">
        <v>18</v>
      </c>
      <c r="H72" s="8" t="s">
        <v>19</v>
      </c>
      <c r="I72" s="8" t="s">
        <v>20</v>
      </c>
      <c r="J72" s="10" t="s">
        <v>22</v>
      </c>
      <c r="K72" s="10">
        <v>150</v>
      </c>
      <c r="L72" s="10" t="str">
        <f t="shared" si="8"/>
        <v>lowStructure_PNV45_repl1_RCP45.sqlite</v>
      </c>
      <c r="M72" s="11">
        <v>1</v>
      </c>
      <c r="N72" s="12" t="str">
        <f t="shared" si="9"/>
        <v>climate_db_ICHEC-EC-EARTH_RCP45_v4.sqlite</v>
      </c>
      <c r="O72" s="12" t="str">
        <f t="shared" si="10"/>
        <v>log/lowStructure_PNV45_repl1_RCP45.txt</v>
      </c>
      <c r="P72" s="12">
        <f t="shared" si="11"/>
        <v>728</v>
      </c>
      <c r="Q72" s="12" t="str">
        <f t="shared" si="16"/>
        <v>abe/stand_files/lowStructure_PNV45.csv</v>
      </c>
      <c r="R72" s="12" t="str">
        <f t="shared" si="17"/>
        <v>false</v>
      </c>
      <c r="S72" s="12" t="str">
        <f t="shared" si="18"/>
        <v>false</v>
      </c>
    </row>
    <row r="73" spans="1:19" ht="13.8">
      <c r="A73" s="7" t="str">
        <f t="shared" si="15"/>
        <v>lowStructure_PNV45_repl1_RCP85</v>
      </c>
      <c r="B73" s="8" t="s">
        <v>23</v>
      </c>
      <c r="C73" s="8" t="s">
        <v>31</v>
      </c>
      <c r="D73" s="9">
        <v>1</v>
      </c>
      <c r="E73" s="8" t="s">
        <v>36</v>
      </c>
      <c r="F73" s="8">
        <v>1231</v>
      </c>
      <c r="G73" s="8" t="s">
        <v>18</v>
      </c>
      <c r="H73" s="8" t="s">
        <v>19</v>
      </c>
      <c r="I73" s="8" t="s">
        <v>20</v>
      </c>
      <c r="J73" s="10" t="s">
        <v>22</v>
      </c>
      <c r="K73" s="10">
        <v>150</v>
      </c>
      <c r="L73" s="10" t="str">
        <f t="shared" si="8"/>
        <v>lowStructure_PNV45_repl1_RCP85.sqlite</v>
      </c>
      <c r="M73" s="11">
        <v>1</v>
      </c>
      <c r="N73" s="12" t="str">
        <f t="shared" si="9"/>
        <v>climate_db_ICHEC-EC-EARTH_RCP85_v4.sqlite</v>
      </c>
      <c r="O73" s="12" t="str">
        <f t="shared" si="10"/>
        <v>log/lowStructure_PNV45_repl1_RCP85.txt</v>
      </c>
      <c r="P73" s="12">
        <f t="shared" si="11"/>
        <v>1231</v>
      </c>
      <c r="Q73" s="12" t="str">
        <f t="shared" si="16"/>
        <v>abe/stand_files/lowStructure_PNV45.csv</v>
      </c>
      <c r="R73" s="12" t="str">
        <f t="shared" si="17"/>
        <v>false</v>
      </c>
      <c r="S73" s="12" t="str">
        <f t="shared" si="18"/>
        <v>false</v>
      </c>
    </row>
    <row r="74" spans="1:19" ht="13.8">
      <c r="A74" s="7" t="str">
        <f t="shared" si="15"/>
        <v>mediumStructure_PNV45_repl1_historical</v>
      </c>
      <c r="B74" s="8" t="s">
        <v>24</v>
      </c>
      <c r="C74" s="8" t="s">
        <v>31</v>
      </c>
      <c r="D74" s="9">
        <v>1</v>
      </c>
      <c r="E74" s="9" t="s">
        <v>17</v>
      </c>
      <c r="F74" s="8">
        <v>350</v>
      </c>
      <c r="G74" s="8" t="s">
        <v>18</v>
      </c>
      <c r="H74" s="8" t="s">
        <v>19</v>
      </c>
      <c r="I74" s="8" t="s">
        <v>20</v>
      </c>
      <c r="J74" s="10" t="s">
        <v>21</v>
      </c>
      <c r="K74" s="10">
        <v>150</v>
      </c>
      <c r="L74" s="10" t="str">
        <f t="shared" si="8"/>
        <v>mediumStructure_PNV45_repl1_historical.sqlite</v>
      </c>
      <c r="M74" s="11">
        <v>1</v>
      </c>
      <c r="N74" s="12" t="str">
        <f t="shared" si="9"/>
        <v>climate_db_ICHEC-EC-EARTH_historical_v4.sqlite</v>
      </c>
      <c r="O74" s="12" t="str">
        <f t="shared" si="10"/>
        <v>log/mediumStructure_PNV45_repl1_historical.txt</v>
      </c>
      <c r="P74" s="12">
        <f t="shared" si="11"/>
        <v>350</v>
      </c>
      <c r="Q74" s="12" t="str">
        <f t="shared" si="16"/>
        <v>abe/stand_files/mediumStructure_PNV45.csv</v>
      </c>
      <c r="R74" s="12" t="str">
        <f t="shared" si="17"/>
        <v>false</v>
      </c>
      <c r="S74" s="12" t="str">
        <f t="shared" si="18"/>
        <v>false</v>
      </c>
    </row>
    <row r="75" spans="1:19" ht="13.8">
      <c r="A75" s="7" t="str">
        <f t="shared" si="15"/>
        <v>mediumStructure_PNV45_repl1_RCP26</v>
      </c>
      <c r="B75" s="8" t="s">
        <v>24</v>
      </c>
      <c r="C75" s="8" t="s">
        <v>31</v>
      </c>
      <c r="D75" s="9">
        <v>1</v>
      </c>
      <c r="E75" s="8" t="s">
        <v>34</v>
      </c>
      <c r="F75" s="8">
        <v>427</v>
      </c>
      <c r="G75" s="8" t="s">
        <v>18</v>
      </c>
      <c r="H75" s="8" t="s">
        <v>19</v>
      </c>
      <c r="I75" s="8" t="s">
        <v>20</v>
      </c>
      <c r="J75" s="10" t="s">
        <v>22</v>
      </c>
      <c r="K75" s="10">
        <v>150</v>
      </c>
      <c r="L75" s="10" t="str">
        <f t="shared" si="8"/>
        <v>mediumStructure_PNV45_repl1_RCP26.sqlite</v>
      </c>
      <c r="M75" s="11">
        <v>1</v>
      </c>
      <c r="N75" s="12" t="str">
        <f t="shared" si="9"/>
        <v>climate_db_ICHEC-EC-EARTH_RCP26_v4.sqlite</v>
      </c>
      <c r="O75" s="12" t="str">
        <f t="shared" si="10"/>
        <v>log/mediumStructure_PNV45_repl1_RCP26.txt</v>
      </c>
      <c r="P75" s="12">
        <f t="shared" si="11"/>
        <v>427</v>
      </c>
      <c r="Q75" s="12" t="str">
        <f t="shared" si="16"/>
        <v>abe/stand_files/mediumStructure_PNV45.csv</v>
      </c>
      <c r="R75" s="12" t="str">
        <f t="shared" si="17"/>
        <v>false</v>
      </c>
      <c r="S75" s="12" t="str">
        <f t="shared" si="18"/>
        <v>false</v>
      </c>
    </row>
    <row r="76" spans="1:19" ht="13.8">
      <c r="A76" s="7" t="str">
        <f t="shared" si="15"/>
        <v>mediumStructure_PNV45_repl1_RCP45</v>
      </c>
      <c r="B76" s="8" t="s">
        <v>24</v>
      </c>
      <c r="C76" s="8" t="s">
        <v>31</v>
      </c>
      <c r="D76" s="9">
        <v>1</v>
      </c>
      <c r="E76" s="8" t="s">
        <v>35</v>
      </c>
      <c r="F76" s="8">
        <v>728</v>
      </c>
      <c r="G76" s="8" t="s">
        <v>18</v>
      </c>
      <c r="H76" s="8" t="s">
        <v>19</v>
      </c>
      <c r="I76" s="8" t="s">
        <v>20</v>
      </c>
      <c r="J76" s="10" t="s">
        <v>22</v>
      </c>
      <c r="K76" s="10">
        <v>150</v>
      </c>
      <c r="L76" s="10" t="str">
        <f t="shared" si="8"/>
        <v>mediumStructure_PNV45_repl1_RCP45.sqlite</v>
      </c>
      <c r="M76" s="11">
        <v>1</v>
      </c>
      <c r="N76" s="12" t="str">
        <f t="shared" si="9"/>
        <v>climate_db_ICHEC-EC-EARTH_RCP45_v4.sqlite</v>
      </c>
      <c r="O76" s="12" t="str">
        <f t="shared" si="10"/>
        <v>log/mediumStructure_PNV45_repl1_RCP45.txt</v>
      </c>
      <c r="P76" s="12">
        <f t="shared" si="11"/>
        <v>728</v>
      </c>
      <c r="Q76" s="12" t="str">
        <f t="shared" si="16"/>
        <v>abe/stand_files/mediumStructure_PNV45.csv</v>
      </c>
      <c r="R76" s="12" t="str">
        <f t="shared" si="17"/>
        <v>false</v>
      </c>
      <c r="S76" s="12" t="str">
        <f t="shared" si="18"/>
        <v>false</v>
      </c>
    </row>
    <row r="77" spans="1:19" ht="13.8">
      <c r="A77" s="7" t="str">
        <f t="shared" si="15"/>
        <v>mediumStructure_PNV45_repl1_RCP85</v>
      </c>
      <c r="B77" s="8" t="s">
        <v>24</v>
      </c>
      <c r="C77" s="8" t="s">
        <v>31</v>
      </c>
      <c r="D77" s="9">
        <v>1</v>
      </c>
      <c r="E77" s="8" t="s">
        <v>36</v>
      </c>
      <c r="F77" s="8">
        <v>1231</v>
      </c>
      <c r="G77" s="8" t="s">
        <v>18</v>
      </c>
      <c r="H77" s="8" t="s">
        <v>19</v>
      </c>
      <c r="I77" s="8" t="s">
        <v>20</v>
      </c>
      <c r="J77" s="10" t="s">
        <v>22</v>
      </c>
      <c r="K77" s="10">
        <v>150</v>
      </c>
      <c r="L77" s="10" t="str">
        <f t="shared" si="8"/>
        <v>mediumStructure_PNV45_repl1_RCP85.sqlite</v>
      </c>
      <c r="M77" s="11">
        <v>1</v>
      </c>
      <c r="N77" s="12" t="str">
        <f t="shared" si="9"/>
        <v>climate_db_ICHEC-EC-EARTH_RCP85_v4.sqlite</v>
      </c>
      <c r="O77" s="12" t="str">
        <f t="shared" si="10"/>
        <v>log/mediumStructure_PNV45_repl1_RCP85.txt</v>
      </c>
      <c r="P77" s="12">
        <f t="shared" si="11"/>
        <v>1231</v>
      </c>
      <c r="Q77" s="12" t="str">
        <f t="shared" si="16"/>
        <v>abe/stand_files/mediumStructure_PNV45.csv</v>
      </c>
      <c r="R77" s="12" t="str">
        <f t="shared" si="17"/>
        <v>false</v>
      </c>
      <c r="S77" s="12" t="str">
        <f t="shared" si="18"/>
        <v>false</v>
      </c>
    </row>
    <row r="78" spans="1:19" ht="13.8">
      <c r="A78" s="7" t="str">
        <f t="shared" si="15"/>
        <v>highStructure_PNV45_repl1_historical</v>
      </c>
      <c r="B78" s="8" t="s">
        <v>25</v>
      </c>
      <c r="C78" s="8" t="s">
        <v>31</v>
      </c>
      <c r="D78" s="9">
        <v>1</v>
      </c>
      <c r="E78" s="9" t="s">
        <v>17</v>
      </c>
      <c r="F78" s="8">
        <v>350</v>
      </c>
      <c r="G78" s="8" t="s">
        <v>18</v>
      </c>
      <c r="H78" s="8" t="s">
        <v>19</v>
      </c>
      <c r="I78" s="8" t="s">
        <v>20</v>
      </c>
      <c r="J78" s="10" t="s">
        <v>21</v>
      </c>
      <c r="K78" s="10">
        <v>150</v>
      </c>
      <c r="L78" s="10" t="str">
        <f t="shared" si="8"/>
        <v>highStructure_PNV45_repl1_historical.sqlite</v>
      </c>
      <c r="M78" s="11">
        <v>1</v>
      </c>
      <c r="N78" s="12" t="str">
        <f t="shared" si="9"/>
        <v>climate_db_ICHEC-EC-EARTH_historical_v4.sqlite</v>
      </c>
      <c r="O78" s="12" t="str">
        <f t="shared" si="10"/>
        <v>log/highStructure_PNV45_repl1_historical.txt</v>
      </c>
      <c r="P78" s="12">
        <f t="shared" si="11"/>
        <v>350</v>
      </c>
      <c r="Q78" s="12" t="str">
        <f t="shared" si="16"/>
        <v>abe/stand_files/highStructure_PNV45.csv</v>
      </c>
      <c r="R78" s="12" t="str">
        <f t="shared" si="17"/>
        <v>false</v>
      </c>
      <c r="S78" s="12" t="str">
        <f t="shared" si="18"/>
        <v>false</v>
      </c>
    </row>
    <row r="79" spans="1:19" ht="13.8">
      <c r="A79" s="7" t="str">
        <f t="shared" si="15"/>
        <v>highStructure_PNV45_repl1_RCP26</v>
      </c>
      <c r="B79" s="8" t="s">
        <v>25</v>
      </c>
      <c r="C79" s="8" t="s">
        <v>31</v>
      </c>
      <c r="D79" s="9">
        <v>1</v>
      </c>
      <c r="E79" s="8" t="s">
        <v>34</v>
      </c>
      <c r="F79" s="8">
        <v>427</v>
      </c>
      <c r="G79" s="8" t="s">
        <v>18</v>
      </c>
      <c r="H79" s="8" t="s">
        <v>19</v>
      </c>
      <c r="I79" s="8" t="s">
        <v>20</v>
      </c>
      <c r="J79" s="10" t="s">
        <v>22</v>
      </c>
      <c r="K79" s="10">
        <v>150</v>
      </c>
      <c r="L79" s="10" t="str">
        <f t="shared" si="8"/>
        <v>highStructure_PNV45_repl1_RCP26.sqlite</v>
      </c>
      <c r="M79" s="11">
        <v>1</v>
      </c>
      <c r="N79" s="12" t="str">
        <f t="shared" si="9"/>
        <v>climate_db_ICHEC-EC-EARTH_RCP26_v4.sqlite</v>
      </c>
      <c r="O79" s="12" t="str">
        <f t="shared" si="10"/>
        <v>log/highStructure_PNV45_repl1_RCP26.txt</v>
      </c>
      <c r="P79" s="12">
        <f t="shared" si="11"/>
        <v>427</v>
      </c>
      <c r="Q79" s="12" t="str">
        <f t="shared" si="16"/>
        <v>abe/stand_files/highStructure_PNV45.csv</v>
      </c>
      <c r="R79" s="12" t="str">
        <f t="shared" si="17"/>
        <v>false</v>
      </c>
      <c r="S79" s="12" t="str">
        <f t="shared" si="18"/>
        <v>false</v>
      </c>
    </row>
    <row r="80" spans="1:19" ht="13.8">
      <c r="A80" s="7" t="str">
        <f t="shared" si="15"/>
        <v>highStructure_PNV45_repl1_RCP45</v>
      </c>
      <c r="B80" s="8" t="s">
        <v>25</v>
      </c>
      <c r="C80" s="8" t="s">
        <v>31</v>
      </c>
      <c r="D80" s="9">
        <v>1</v>
      </c>
      <c r="E80" s="8" t="s">
        <v>35</v>
      </c>
      <c r="F80" s="8">
        <v>728</v>
      </c>
      <c r="G80" s="8" t="s">
        <v>18</v>
      </c>
      <c r="H80" s="8" t="s">
        <v>19</v>
      </c>
      <c r="I80" s="8" t="s">
        <v>20</v>
      </c>
      <c r="J80" s="10" t="s">
        <v>22</v>
      </c>
      <c r="K80" s="10">
        <v>150</v>
      </c>
      <c r="L80" s="10" t="str">
        <f t="shared" si="8"/>
        <v>highStructure_PNV45_repl1_RCP45.sqlite</v>
      </c>
      <c r="M80" s="11">
        <v>1</v>
      </c>
      <c r="N80" s="12" t="str">
        <f t="shared" si="9"/>
        <v>climate_db_ICHEC-EC-EARTH_RCP45_v4.sqlite</v>
      </c>
      <c r="O80" s="12" t="str">
        <f t="shared" si="10"/>
        <v>log/highStructure_PNV45_repl1_RCP45.txt</v>
      </c>
      <c r="P80" s="12">
        <f t="shared" si="11"/>
        <v>728</v>
      </c>
      <c r="Q80" s="12" t="str">
        <f t="shared" si="16"/>
        <v>abe/stand_files/highStructure_PNV45.csv</v>
      </c>
      <c r="R80" s="12" t="str">
        <f t="shared" si="17"/>
        <v>false</v>
      </c>
      <c r="S80" s="12" t="str">
        <f t="shared" si="18"/>
        <v>false</v>
      </c>
    </row>
    <row r="81" spans="1:19" ht="13.8">
      <c r="A81" s="7" t="str">
        <f t="shared" si="15"/>
        <v>highStructure_PNV45_repl1_RCP85</v>
      </c>
      <c r="B81" s="8" t="s">
        <v>25</v>
      </c>
      <c r="C81" s="8" t="s">
        <v>31</v>
      </c>
      <c r="D81" s="9">
        <v>1</v>
      </c>
      <c r="E81" s="8" t="s">
        <v>36</v>
      </c>
      <c r="F81" s="8">
        <v>1231</v>
      </c>
      <c r="G81" s="8" t="s">
        <v>18</v>
      </c>
      <c r="H81" s="8" t="s">
        <v>19</v>
      </c>
      <c r="I81" s="8" t="s">
        <v>20</v>
      </c>
      <c r="J81" s="10" t="s">
        <v>22</v>
      </c>
      <c r="K81" s="10">
        <v>150</v>
      </c>
      <c r="L81" s="10" t="str">
        <f t="shared" si="8"/>
        <v>highStructure_PNV45_repl1_RCP85.sqlite</v>
      </c>
      <c r="M81" s="11">
        <v>1</v>
      </c>
      <c r="N81" s="12" t="str">
        <f t="shared" si="9"/>
        <v>climate_db_ICHEC-EC-EARTH_RCP85_v4.sqlite</v>
      </c>
      <c r="O81" s="12" t="str">
        <f t="shared" si="10"/>
        <v>log/highStructure_PNV45_repl1_RCP85.txt</v>
      </c>
      <c r="P81" s="12">
        <f t="shared" si="11"/>
        <v>1231</v>
      </c>
      <c r="Q81" s="12" t="str">
        <f t="shared" si="16"/>
        <v>abe/stand_files/highStructure_PNV45.csv</v>
      </c>
      <c r="R81" s="12" t="str">
        <f t="shared" si="17"/>
        <v>false</v>
      </c>
      <c r="S81" s="12" t="str">
        <f t="shared" si="18"/>
        <v>false</v>
      </c>
    </row>
  </sheetData>
  <autoFilter ref="A1:S5" xr:uid="{00000000-0009-0000-0000-000000000000}">
    <sortState ref="A2:S5">
      <sortCondition ref="D1:D5"/>
    </sortState>
  </autoFilter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0BEC-AE87-42A2-80D9-DEC058B2F385}">
  <sheetPr>
    <outlinePr summaryBelow="0" summaryRight="0"/>
  </sheetPr>
  <dimension ref="A1:AI25"/>
  <sheetViews>
    <sheetView zoomScale="90" zoomScaleNormal="90" workbookViewId="0">
      <selection activeCell="A19" sqref="A18:XFD19"/>
    </sheetView>
  </sheetViews>
  <sheetFormatPr baseColWidth="10" defaultColWidth="13.88671875" defaultRowHeight="15.75" customHeight="1"/>
  <cols>
    <col min="1" max="1" width="42.44140625" style="13" customWidth="1"/>
    <col min="2" max="3" width="19.109375" style="13" customWidth="1"/>
    <col min="4" max="5" width="17.44140625" style="13" customWidth="1"/>
    <col min="6" max="6" width="19.88671875" style="13" customWidth="1"/>
    <col min="7" max="10" width="22.109375" style="13" customWidth="1"/>
    <col min="11" max="12" width="13.88671875" style="13"/>
    <col min="13" max="13" width="13.44140625" style="13" bestFit="1" customWidth="1"/>
    <col min="14" max="14" width="12.44140625" style="13" bestFit="1" customWidth="1"/>
    <col min="15" max="15" width="48.33203125" style="13" bestFit="1" customWidth="1"/>
    <col min="16" max="16" width="10" style="13" bestFit="1" customWidth="1"/>
    <col min="17" max="17" width="12.109375" style="13" customWidth="1"/>
    <col min="18" max="18" width="45.5546875" style="13" bestFit="1" customWidth="1"/>
    <col min="19" max="19" width="48.6640625" style="13" bestFit="1" customWidth="1"/>
    <col min="20" max="20" width="54" style="13" bestFit="1" customWidth="1"/>
    <col min="21" max="21" width="31.21875" style="13" bestFit="1" customWidth="1"/>
    <col min="22" max="22" width="34.21875" style="13" bestFit="1" customWidth="1"/>
    <col min="23" max="23" width="24.109375" style="13" customWidth="1"/>
    <col min="24" max="24" width="31.33203125" style="13" bestFit="1" customWidth="1"/>
    <col min="25" max="25" width="33.6640625" style="13" bestFit="1" customWidth="1"/>
    <col min="26" max="26" width="43.88671875" style="13" bestFit="1" customWidth="1"/>
    <col min="27" max="27" width="25.33203125" style="13" customWidth="1"/>
    <col min="28" max="28" width="29.109375" style="13" bestFit="1" customWidth="1"/>
    <col min="29" max="29" width="15" style="13" bestFit="1" customWidth="1"/>
    <col min="30" max="31" width="31" style="13" customWidth="1"/>
    <col min="32" max="32" width="47.77734375" style="13" customWidth="1"/>
    <col min="33" max="33" width="17.77734375" style="13" bestFit="1" customWidth="1"/>
    <col min="34" max="34" width="28.33203125" style="13" bestFit="1" customWidth="1"/>
    <col min="35" max="35" width="42.33203125" style="13" bestFit="1" customWidth="1"/>
    <col min="36" max="16384" width="13.88671875" style="13"/>
  </cols>
  <sheetData>
    <row r="1" spans="1:35" ht="13.8">
      <c r="A1" s="1" t="s">
        <v>0</v>
      </c>
      <c r="B1" s="2" t="s">
        <v>26</v>
      </c>
      <c r="C1" s="2" t="s">
        <v>53</v>
      </c>
      <c r="D1" s="2" t="s">
        <v>2</v>
      </c>
      <c r="E1" s="2" t="s">
        <v>43</v>
      </c>
      <c r="F1" s="2" t="s">
        <v>3</v>
      </c>
      <c r="G1" s="2" t="s">
        <v>4</v>
      </c>
      <c r="H1" s="2" t="s">
        <v>56</v>
      </c>
      <c r="I1" s="2" t="s">
        <v>38</v>
      </c>
      <c r="J1" s="2" t="s">
        <v>39</v>
      </c>
      <c r="K1" s="2" t="s">
        <v>5</v>
      </c>
      <c r="L1" s="2" t="s">
        <v>6</v>
      </c>
      <c r="M1" s="1" t="s">
        <v>7</v>
      </c>
      <c r="N1" s="1" t="s">
        <v>8</v>
      </c>
      <c r="O1" s="1" t="s">
        <v>9</v>
      </c>
      <c r="P1" s="3" t="s">
        <v>10</v>
      </c>
      <c r="Q1" s="3" t="s">
        <v>40</v>
      </c>
      <c r="R1" s="14" t="s">
        <v>11</v>
      </c>
      <c r="S1" s="15" t="s">
        <v>12</v>
      </c>
      <c r="T1" s="15" t="s">
        <v>48</v>
      </c>
      <c r="U1" s="15" t="s">
        <v>49</v>
      </c>
      <c r="V1" s="15" t="s">
        <v>46</v>
      </c>
      <c r="W1" s="14" t="s">
        <v>47</v>
      </c>
      <c r="X1" s="14" t="s">
        <v>50</v>
      </c>
      <c r="Y1" s="15" t="s">
        <v>13</v>
      </c>
      <c r="Z1" s="15" t="s">
        <v>14</v>
      </c>
      <c r="AA1" s="15" t="s">
        <v>15</v>
      </c>
      <c r="AB1" s="15" t="s">
        <v>51</v>
      </c>
      <c r="AC1" s="15" t="s">
        <v>45</v>
      </c>
      <c r="AD1" s="15" t="s">
        <v>33</v>
      </c>
      <c r="AE1" s="15" t="s">
        <v>55</v>
      </c>
      <c r="AF1" s="15" t="s">
        <v>42</v>
      </c>
      <c r="AG1" s="15" t="s">
        <v>44</v>
      </c>
      <c r="AH1" s="15" t="s">
        <v>37</v>
      </c>
      <c r="AI1" s="15" t="s">
        <v>52</v>
      </c>
    </row>
    <row r="2" spans="1:35" ht="13.8">
      <c r="A2" s="7" t="str">
        <f xml:space="preserve"> C2 &amp;"Cluster" &amp; I2</f>
        <v>Cluster2</v>
      </c>
      <c r="B2" s="8" t="s">
        <v>16</v>
      </c>
      <c r="C2" s="8"/>
      <c r="D2" s="9" t="s">
        <v>17</v>
      </c>
      <c r="E2" s="9" t="str">
        <f t="shared" ref="E2:E25" si="0">IF(D2="historical", "historical", IF(D2="RCP26", "rcp_2_6", IF(D2="RCP45", "rcp_4_5", "rcp_8_5")))</f>
        <v>historical</v>
      </c>
      <c r="F2" s="8">
        <v>350</v>
      </c>
      <c r="G2" s="8" t="s">
        <v>18</v>
      </c>
      <c r="H2" s="18">
        <v>6.2493566238876597E-6</v>
      </c>
      <c r="I2" s="8">
        <v>2</v>
      </c>
      <c r="J2" s="8">
        <v>1</v>
      </c>
      <c r="K2" s="8"/>
      <c r="L2" s="8">
        <v>1</v>
      </c>
      <c r="M2" s="10" t="s">
        <v>21</v>
      </c>
      <c r="N2" s="17" t="s">
        <v>57</v>
      </c>
      <c r="O2" s="10" t="str">
        <f t="shared" ref="O2:O25" si="1">A2  &amp; ".sqlite"</f>
        <v>Cluster2.sqlite</v>
      </c>
      <c r="P2" s="11">
        <v>1</v>
      </c>
      <c r="Q2" s="11">
        <v>0</v>
      </c>
      <c r="R2" s="16" t="str">
        <f t="shared" ref="R2:R25" si="2">"climate_db_" &amp; G2&amp; "_" &amp;  E2&amp; "_v4.sqlite"</f>
        <v>climate_db_ICHEC-EC-EARTH_historical_v4.sqlite</v>
      </c>
      <c r="S2" s="16" t="str">
        <f t="shared" ref="S2:S25" si="3">"log/" &amp;A2  &amp; ".txt"</f>
        <v>log/Cluster2.txt</v>
      </c>
      <c r="T2" s="16" t="str">
        <f t="shared" ref="T2:T25" si="4">"init_JM/env_file_CLUSTER" &amp; TEXT(I2, "00") &amp; "_" &amp; G2 &amp; "_" &amp; E2 &amp; "_REPL" &amp; J2 &amp; ".csv"</f>
        <v>init_JM/env_file_CLUSTER02_ICHEC-EC-EARTH_historical_REPL1.csv</v>
      </c>
      <c r="U2" s="16" t="str">
        <f t="shared" ref="U2:U25" si="5">"init_JM/env_grid_CLUSTER" &amp; TEXT(I2, "00") &amp; "_REPL" &amp; J2 &amp; ".asc"</f>
        <v>init_JM/env_grid_CLUSTER02_REPL1.asc</v>
      </c>
      <c r="V2" s="16" t="str">
        <f t="shared" ref="V2:V25" si="6">U2</f>
        <v>init_JM/env_grid_CLUSTER02_REPL1.asc</v>
      </c>
      <c r="W2" s="16" t="str">
        <f t="shared" ref="W2:W25" si="7">"../init_JM/trees_cluster" &amp; I2 &amp; "_repl" &amp; J2 &amp; ".csv"</f>
        <v>../init_JM/trees_cluster2_repl1.csv</v>
      </c>
      <c r="X2" s="16" t="str">
        <f t="shared" ref="X2:X25" si="8">"../init_JM/saplings_cluster" &amp; I2 &amp; "_repl" &amp; J2 &amp; ".csv"</f>
        <v>../init_JM/saplings_cluster2_repl1.csv</v>
      </c>
      <c r="Y2" s="16">
        <f t="shared" ref="Y2:Y25" si="9">F2</f>
        <v>350</v>
      </c>
      <c r="Z2" s="16" t="str">
        <f t="shared" ref="Z2:Z25" si="10">"abe/stand_files2/" &amp;  B2  &amp; "_cl"  &amp; TEXT(I2, "00") &amp; "_repl" &amp; J2 &amp; ".csv"</f>
        <v>abe/stand_files2/noMgmt_cl02_repl1.csv</v>
      </c>
      <c r="AA2" s="16">
        <f t="shared" ref="AA2:AA25" si="11">L2</f>
        <v>1</v>
      </c>
      <c r="AB2" s="16" t="str">
        <f t="shared" ref="AB2:AB25" si="12">"gis/WindModifier_cl" &amp; I2 &amp; ".asc"</f>
        <v>gis/WindModifier_cl2.asc</v>
      </c>
      <c r="AC2" s="16">
        <f t="shared" ref="AC2:AC25" si="13">L2</f>
        <v>1</v>
      </c>
      <c r="AD2" s="16">
        <f t="shared" ref="AD2:AD25" si="14">L2</f>
        <v>1</v>
      </c>
      <c r="AE2" s="16">
        <f>IF(C2="Scaled_", H2+0.0000000001,  0.000685)</f>
        <v>6.8499999999999995E-4</v>
      </c>
      <c r="AF2" s="16" t="str">
        <f t="shared" ref="AF2:AF25" si="15">"ICHEC-EC-EARTH_" &amp; E2 &amp; "_point32685"</f>
        <v>ICHEC-EC-EARTH_historical_point32685</v>
      </c>
      <c r="AG2" s="16">
        <f t="shared" ref="AG2:AG25" si="16">L2</f>
        <v>1</v>
      </c>
      <c r="AH2" s="16" t="str">
        <f t="shared" ref="AH2:AH25" si="17">"wind_Events/" &amp; C2 &amp; "cl" &amp; I2 &amp; "_repl" &amp; J2 &amp; ".txt"</f>
        <v>wind_Events/cl2_repl1.txt</v>
      </c>
      <c r="AI2" s="16" t="str">
        <f t="shared" ref="AI2:AI25" si="18">A2</f>
        <v>Cluster2</v>
      </c>
    </row>
    <row r="3" spans="1:35" ht="13.8">
      <c r="A3" s="7" t="str">
        <f t="shared" ref="A3:A25" si="19" xml:space="preserve"> C3 &amp;"Cluster" &amp; I3</f>
        <v>Scaled_Cluster2</v>
      </c>
      <c r="B3" s="8" t="s">
        <v>16</v>
      </c>
      <c r="C3" s="8" t="s">
        <v>54</v>
      </c>
      <c r="D3" s="9" t="s">
        <v>17</v>
      </c>
      <c r="E3" s="9" t="str">
        <f t="shared" si="0"/>
        <v>historical</v>
      </c>
      <c r="F3" s="8">
        <v>350</v>
      </c>
      <c r="G3" s="8" t="s">
        <v>18</v>
      </c>
      <c r="H3" s="18">
        <v>6.2493566238876597E-6</v>
      </c>
      <c r="I3" s="8">
        <v>2</v>
      </c>
      <c r="J3" s="8">
        <v>1</v>
      </c>
      <c r="K3" s="8"/>
      <c r="L3" s="8">
        <v>1</v>
      </c>
      <c r="M3" s="10" t="s">
        <v>21</v>
      </c>
      <c r="N3" s="17" t="s">
        <v>57</v>
      </c>
      <c r="O3" s="10" t="str">
        <f t="shared" si="1"/>
        <v>Scaled_Cluster2.sqlite</v>
      </c>
      <c r="P3" s="11">
        <v>1</v>
      </c>
      <c r="Q3" s="11">
        <v>0</v>
      </c>
      <c r="R3" s="16" t="str">
        <f t="shared" si="2"/>
        <v>climate_db_ICHEC-EC-EARTH_historical_v4.sqlite</v>
      </c>
      <c r="S3" s="16" t="str">
        <f t="shared" si="3"/>
        <v>log/Scaled_Cluster2.txt</v>
      </c>
      <c r="T3" s="16" t="str">
        <f t="shared" si="4"/>
        <v>init_JM/env_file_CLUSTER02_ICHEC-EC-EARTH_historical_REPL1.csv</v>
      </c>
      <c r="U3" s="16" t="str">
        <f t="shared" si="5"/>
        <v>init_JM/env_grid_CLUSTER02_REPL1.asc</v>
      </c>
      <c r="V3" s="16" t="str">
        <f t="shared" si="6"/>
        <v>init_JM/env_grid_CLUSTER02_REPL1.asc</v>
      </c>
      <c r="W3" s="16" t="str">
        <f t="shared" si="7"/>
        <v>../init_JM/trees_cluster2_repl1.csv</v>
      </c>
      <c r="X3" s="16" t="str">
        <f t="shared" si="8"/>
        <v>../init_JM/saplings_cluster2_repl1.csv</v>
      </c>
      <c r="Y3" s="16">
        <f t="shared" si="9"/>
        <v>350</v>
      </c>
      <c r="Z3" s="16" t="str">
        <f t="shared" si="10"/>
        <v>abe/stand_files2/noMgmt_cl02_repl1.csv</v>
      </c>
      <c r="AA3" s="16">
        <f t="shared" si="11"/>
        <v>1</v>
      </c>
      <c r="AB3" s="16" t="str">
        <f t="shared" si="12"/>
        <v>gis/WindModifier_cl2.asc</v>
      </c>
      <c r="AC3" s="16">
        <f t="shared" si="13"/>
        <v>1</v>
      </c>
      <c r="AD3" s="16">
        <f t="shared" si="14"/>
        <v>1</v>
      </c>
      <c r="AE3" s="16">
        <f t="shared" ref="AE3:AE25" si="20">IF(C3="Scaled_", H3+0.0000000001,  0.000685)</f>
        <v>6.24945662388766E-6</v>
      </c>
      <c r="AF3" s="16" t="str">
        <f t="shared" si="15"/>
        <v>ICHEC-EC-EARTH_historical_point32685</v>
      </c>
      <c r="AG3" s="16">
        <f t="shared" si="16"/>
        <v>1</v>
      </c>
      <c r="AH3" s="16" t="str">
        <f t="shared" si="17"/>
        <v>wind_Events/Scaled_cl2_repl1.txt</v>
      </c>
      <c r="AI3" s="16" t="str">
        <f t="shared" si="18"/>
        <v>Scaled_Cluster2</v>
      </c>
    </row>
    <row r="4" spans="1:35" ht="13.8">
      <c r="A4" s="7" t="str">
        <f t="shared" si="19"/>
        <v>Cluster3</v>
      </c>
      <c r="B4" s="8" t="s">
        <v>16</v>
      </c>
      <c r="C4" s="8"/>
      <c r="D4" s="9" t="s">
        <v>17</v>
      </c>
      <c r="E4" s="9" t="str">
        <f t="shared" si="0"/>
        <v>historical</v>
      </c>
      <c r="F4" s="8">
        <v>350</v>
      </c>
      <c r="G4" s="8" t="s">
        <v>18</v>
      </c>
      <c r="H4" s="8">
        <v>7.5959355299492701E-9</v>
      </c>
      <c r="I4" s="8">
        <v>3</v>
      </c>
      <c r="J4" s="8">
        <v>1</v>
      </c>
      <c r="K4" s="8"/>
      <c r="L4" s="8">
        <v>1</v>
      </c>
      <c r="M4" s="10" t="s">
        <v>21</v>
      </c>
      <c r="N4" s="17" t="s">
        <v>57</v>
      </c>
      <c r="O4" s="10" t="str">
        <f t="shared" si="1"/>
        <v>Cluster3.sqlite</v>
      </c>
      <c r="P4" s="11">
        <v>1</v>
      </c>
      <c r="Q4" s="11">
        <v>0</v>
      </c>
      <c r="R4" s="16" t="str">
        <f t="shared" si="2"/>
        <v>climate_db_ICHEC-EC-EARTH_historical_v4.sqlite</v>
      </c>
      <c r="S4" s="16" t="str">
        <f t="shared" si="3"/>
        <v>log/Cluster3.txt</v>
      </c>
      <c r="T4" s="16" t="str">
        <f t="shared" si="4"/>
        <v>init_JM/env_file_CLUSTER03_ICHEC-EC-EARTH_historical_REPL1.csv</v>
      </c>
      <c r="U4" s="16" t="str">
        <f t="shared" si="5"/>
        <v>init_JM/env_grid_CLUSTER03_REPL1.asc</v>
      </c>
      <c r="V4" s="16" t="str">
        <f t="shared" si="6"/>
        <v>init_JM/env_grid_CLUSTER03_REPL1.asc</v>
      </c>
      <c r="W4" s="16" t="str">
        <f t="shared" si="7"/>
        <v>../init_JM/trees_cluster3_repl1.csv</v>
      </c>
      <c r="X4" s="16" t="str">
        <f t="shared" si="8"/>
        <v>../init_JM/saplings_cluster3_repl1.csv</v>
      </c>
      <c r="Y4" s="16">
        <f t="shared" si="9"/>
        <v>350</v>
      </c>
      <c r="Z4" s="16" t="str">
        <f t="shared" si="10"/>
        <v>abe/stand_files2/noMgmt_cl03_repl1.csv</v>
      </c>
      <c r="AA4" s="16">
        <f t="shared" si="11"/>
        <v>1</v>
      </c>
      <c r="AB4" s="16" t="str">
        <f t="shared" si="12"/>
        <v>gis/WindModifier_cl3.asc</v>
      </c>
      <c r="AC4" s="16">
        <f t="shared" si="13"/>
        <v>1</v>
      </c>
      <c r="AD4" s="16">
        <f t="shared" si="14"/>
        <v>1</v>
      </c>
      <c r="AE4" s="16">
        <f t="shared" si="20"/>
        <v>6.8499999999999995E-4</v>
      </c>
      <c r="AF4" s="16" t="str">
        <f t="shared" si="15"/>
        <v>ICHEC-EC-EARTH_historical_point32685</v>
      </c>
      <c r="AG4" s="16">
        <f t="shared" si="16"/>
        <v>1</v>
      </c>
      <c r="AH4" s="16" t="str">
        <f t="shared" si="17"/>
        <v>wind_Events/cl3_repl1.txt</v>
      </c>
      <c r="AI4" s="16" t="str">
        <f t="shared" si="18"/>
        <v>Cluster3</v>
      </c>
    </row>
    <row r="5" spans="1:35" ht="13.8">
      <c r="A5" s="7" t="str">
        <f t="shared" si="19"/>
        <v>Scaled_Cluster3</v>
      </c>
      <c r="B5" s="8" t="s">
        <v>16</v>
      </c>
      <c r="C5" s="8" t="s">
        <v>54</v>
      </c>
      <c r="D5" s="9" t="s">
        <v>17</v>
      </c>
      <c r="E5" s="9" t="str">
        <f t="shared" si="0"/>
        <v>historical</v>
      </c>
      <c r="F5" s="8">
        <v>350</v>
      </c>
      <c r="G5" s="8" t="s">
        <v>18</v>
      </c>
      <c r="H5" s="8">
        <v>7.5959355299492701E-9</v>
      </c>
      <c r="I5" s="8">
        <v>3</v>
      </c>
      <c r="J5" s="8">
        <v>1</v>
      </c>
      <c r="K5" s="8"/>
      <c r="L5" s="8">
        <v>1</v>
      </c>
      <c r="M5" s="10" t="s">
        <v>21</v>
      </c>
      <c r="N5" s="17" t="s">
        <v>57</v>
      </c>
      <c r="O5" s="10" t="str">
        <f t="shared" si="1"/>
        <v>Scaled_Cluster3.sqlite</v>
      </c>
      <c r="P5" s="11">
        <v>1</v>
      </c>
      <c r="Q5" s="11">
        <v>0</v>
      </c>
      <c r="R5" s="16" t="str">
        <f t="shared" si="2"/>
        <v>climate_db_ICHEC-EC-EARTH_historical_v4.sqlite</v>
      </c>
      <c r="S5" s="16" t="str">
        <f t="shared" si="3"/>
        <v>log/Scaled_Cluster3.txt</v>
      </c>
      <c r="T5" s="16" t="str">
        <f t="shared" si="4"/>
        <v>init_JM/env_file_CLUSTER03_ICHEC-EC-EARTH_historical_REPL1.csv</v>
      </c>
      <c r="U5" s="16" t="str">
        <f t="shared" si="5"/>
        <v>init_JM/env_grid_CLUSTER03_REPL1.asc</v>
      </c>
      <c r="V5" s="16" t="str">
        <f t="shared" si="6"/>
        <v>init_JM/env_grid_CLUSTER03_REPL1.asc</v>
      </c>
      <c r="W5" s="16" t="str">
        <f t="shared" si="7"/>
        <v>../init_JM/trees_cluster3_repl1.csv</v>
      </c>
      <c r="X5" s="16" t="str">
        <f t="shared" si="8"/>
        <v>../init_JM/saplings_cluster3_repl1.csv</v>
      </c>
      <c r="Y5" s="16">
        <f t="shared" si="9"/>
        <v>350</v>
      </c>
      <c r="Z5" s="16" t="str">
        <f t="shared" si="10"/>
        <v>abe/stand_files2/noMgmt_cl03_repl1.csv</v>
      </c>
      <c r="AA5" s="16">
        <f t="shared" si="11"/>
        <v>1</v>
      </c>
      <c r="AB5" s="16" t="str">
        <f t="shared" si="12"/>
        <v>gis/WindModifier_cl3.asc</v>
      </c>
      <c r="AC5" s="16">
        <f t="shared" si="13"/>
        <v>1</v>
      </c>
      <c r="AD5" s="16">
        <f t="shared" si="14"/>
        <v>1</v>
      </c>
      <c r="AE5" s="16">
        <f t="shared" si="20"/>
        <v>7.6959355299492694E-9</v>
      </c>
      <c r="AF5" s="16" t="str">
        <f t="shared" si="15"/>
        <v>ICHEC-EC-EARTH_historical_point32685</v>
      </c>
      <c r="AG5" s="16">
        <f t="shared" si="16"/>
        <v>1</v>
      </c>
      <c r="AH5" s="16" t="str">
        <f t="shared" si="17"/>
        <v>wind_Events/Scaled_cl3_repl1.txt</v>
      </c>
      <c r="AI5" s="16" t="str">
        <f t="shared" si="18"/>
        <v>Scaled_Cluster3</v>
      </c>
    </row>
    <row r="6" spans="1:35" ht="13.8">
      <c r="A6" s="7" t="str">
        <f t="shared" si="19"/>
        <v>Cluster4</v>
      </c>
      <c r="B6" s="8" t="s">
        <v>16</v>
      </c>
      <c r="C6" s="8"/>
      <c r="D6" s="9" t="s">
        <v>17</v>
      </c>
      <c r="E6" s="9" t="str">
        <f t="shared" si="0"/>
        <v>historical</v>
      </c>
      <c r="F6" s="8">
        <v>350</v>
      </c>
      <c r="G6" s="8" t="s">
        <v>18</v>
      </c>
      <c r="H6" s="8">
        <v>5.0254403465713305E-7</v>
      </c>
      <c r="I6" s="8">
        <v>4</v>
      </c>
      <c r="J6" s="8">
        <v>1</v>
      </c>
      <c r="K6" s="8"/>
      <c r="L6" s="8">
        <v>1</v>
      </c>
      <c r="M6" s="10" t="s">
        <v>21</v>
      </c>
      <c r="N6" s="17" t="s">
        <v>57</v>
      </c>
      <c r="O6" s="10" t="str">
        <f t="shared" si="1"/>
        <v>Cluster4.sqlite</v>
      </c>
      <c r="P6" s="11">
        <v>1</v>
      </c>
      <c r="Q6" s="11">
        <v>0</v>
      </c>
      <c r="R6" s="16" t="str">
        <f t="shared" si="2"/>
        <v>climate_db_ICHEC-EC-EARTH_historical_v4.sqlite</v>
      </c>
      <c r="S6" s="16" t="str">
        <f t="shared" si="3"/>
        <v>log/Cluster4.txt</v>
      </c>
      <c r="T6" s="16" t="str">
        <f t="shared" si="4"/>
        <v>init_JM/env_file_CLUSTER04_ICHEC-EC-EARTH_historical_REPL1.csv</v>
      </c>
      <c r="U6" s="16" t="str">
        <f t="shared" si="5"/>
        <v>init_JM/env_grid_CLUSTER04_REPL1.asc</v>
      </c>
      <c r="V6" s="16" t="str">
        <f t="shared" si="6"/>
        <v>init_JM/env_grid_CLUSTER04_REPL1.asc</v>
      </c>
      <c r="W6" s="16" t="str">
        <f t="shared" si="7"/>
        <v>../init_JM/trees_cluster4_repl1.csv</v>
      </c>
      <c r="X6" s="16" t="str">
        <f t="shared" si="8"/>
        <v>../init_JM/saplings_cluster4_repl1.csv</v>
      </c>
      <c r="Y6" s="16">
        <f t="shared" si="9"/>
        <v>350</v>
      </c>
      <c r="Z6" s="16" t="str">
        <f t="shared" si="10"/>
        <v>abe/stand_files2/noMgmt_cl04_repl1.csv</v>
      </c>
      <c r="AA6" s="16">
        <f t="shared" si="11"/>
        <v>1</v>
      </c>
      <c r="AB6" s="16" t="str">
        <f t="shared" si="12"/>
        <v>gis/WindModifier_cl4.asc</v>
      </c>
      <c r="AC6" s="16">
        <f t="shared" si="13"/>
        <v>1</v>
      </c>
      <c r="AD6" s="16">
        <f t="shared" si="14"/>
        <v>1</v>
      </c>
      <c r="AE6" s="16">
        <f t="shared" si="20"/>
        <v>6.8499999999999995E-4</v>
      </c>
      <c r="AF6" s="16" t="str">
        <f t="shared" si="15"/>
        <v>ICHEC-EC-EARTH_historical_point32685</v>
      </c>
      <c r="AG6" s="16">
        <f t="shared" si="16"/>
        <v>1</v>
      </c>
      <c r="AH6" s="16" t="str">
        <f t="shared" si="17"/>
        <v>wind_Events/cl4_repl1.txt</v>
      </c>
      <c r="AI6" s="16" t="str">
        <f t="shared" si="18"/>
        <v>Cluster4</v>
      </c>
    </row>
    <row r="7" spans="1:35" ht="13.8">
      <c r="A7" s="7" t="str">
        <f t="shared" si="19"/>
        <v>Scaled_Cluster4</v>
      </c>
      <c r="B7" s="8" t="s">
        <v>16</v>
      </c>
      <c r="C7" s="8" t="s">
        <v>54</v>
      </c>
      <c r="D7" s="9" t="s">
        <v>17</v>
      </c>
      <c r="E7" s="9" t="str">
        <f t="shared" si="0"/>
        <v>historical</v>
      </c>
      <c r="F7" s="8">
        <v>350</v>
      </c>
      <c r="G7" s="8" t="s">
        <v>18</v>
      </c>
      <c r="H7" s="8">
        <v>5.0254403465713305E-7</v>
      </c>
      <c r="I7" s="8">
        <v>4</v>
      </c>
      <c r="J7" s="8">
        <v>1</v>
      </c>
      <c r="K7" s="8"/>
      <c r="L7" s="8">
        <v>1</v>
      </c>
      <c r="M7" s="10" t="s">
        <v>21</v>
      </c>
      <c r="N7" s="17" t="s">
        <v>57</v>
      </c>
      <c r="O7" s="10" t="str">
        <f t="shared" si="1"/>
        <v>Scaled_Cluster4.sqlite</v>
      </c>
      <c r="P7" s="11">
        <v>1</v>
      </c>
      <c r="Q7" s="11">
        <v>0</v>
      </c>
      <c r="R7" s="16" t="str">
        <f t="shared" si="2"/>
        <v>climate_db_ICHEC-EC-EARTH_historical_v4.sqlite</v>
      </c>
      <c r="S7" s="16" t="str">
        <f t="shared" si="3"/>
        <v>log/Scaled_Cluster4.txt</v>
      </c>
      <c r="T7" s="16" t="str">
        <f t="shared" si="4"/>
        <v>init_JM/env_file_CLUSTER04_ICHEC-EC-EARTH_historical_REPL1.csv</v>
      </c>
      <c r="U7" s="16" t="str">
        <f t="shared" si="5"/>
        <v>init_JM/env_grid_CLUSTER04_REPL1.asc</v>
      </c>
      <c r="V7" s="16" t="str">
        <f t="shared" si="6"/>
        <v>init_JM/env_grid_CLUSTER04_REPL1.asc</v>
      </c>
      <c r="W7" s="16" t="str">
        <f t="shared" si="7"/>
        <v>../init_JM/trees_cluster4_repl1.csv</v>
      </c>
      <c r="X7" s="16" t="str">
        <f t="shared" si="8"/>
        <v>../init_JM/saplings_cluster4_repl1.csv</v>
      </c>
      <c r="Y7" s="16">
        <f t="shared" si="9"/>
        <v>350</v>
      </c>
      <c r="Z7" s="16" t="str">
        <f t="shared" si="10"/>
        <v>abe/stand_files2/noMgmt_cl04_repl1.csv</v>
      </c>
      <c r="AA7" s="16">
        <f t="shared" si="11"/>
        <v>1</v>
      </c>
      <c r="AB7" s="16" t="str">
        <f t="shared" si="12"/>
        <v>gis/WindModifier_cl4.asc</v>
      </c>
      <c r="AC7" s="16">
        <f t="shared" si="13"/>
        <v>1</v>
      </c>
      <c r="AD7" s="16">
        <f t="shared" si="14"/>
        <v>1</v>
      </c>
      <c r="AE7" s="16">
        <f t="shared" si="20"/>
        <v>5.0264403465713306E-7</v>
      </c>
      <c r="AF7" s="16" t="str">
        <f t="shared" si="15"/>
        <v>ICHEC-EC-EARTH_historical_point32685</v>
      </c>
      <c r="AG7" s="16">
        <f t="shared" si="16"/>
        <v>1</v>
      </c>
      <c r="AH7" s="16" t="str">
        <f t="shared" si="17"/>
        <v>wind_Events/Scaled_cl4_repl1.txt</v>
      </c>
      <c r="AI7" s="16" t="str">
        <f t="shared" si="18"/>
        <v>Scaled_Cluster4</v>
      </c>
    </row>
    <row r="8" spans="1:35" ht="13.8">
      <c r="A8" s="7" t="str">
        <f t="shared" si="19"/>
        <v>Cluster5</v>
      </c>
      <c r="B8" s="8" t="s">
        <v>16</v>
      </c>
      <c r="C8" s="8"/>
      <c r="D8" s="9" t="s">
        <v>17</v>
      </c>
      <c r="E8" s="9" t="str">
        <f t="shared" si="0"/>
        <v>historical</v>
      </c>
      <c r="F8" s="8">
        <v>350</v>
      </c>
      <c r="G8" s="8" t="s">
        <v>18</v>
      </c>
      <c r="H8" s="8">
        <v>0</v>
      </c>
      <c r="I8" s="8">
        <v>5</v>
      </c>
      <c r="J8" s="8">
        <v>1</v>
      </c>
      <c r="K8" s="8"/>
      <c r="L8" s="8">
        <v>1</v>
      </c>
      <c r="M8" s="10" t="s">
        <v>21</v>
      </c>
      <c r="N8" s="17" t="s">
        <v>57</v>
      </c>
      <c r="O8" s="10" t="str">
        <f t="shared" si="1"/>
        <v>Cluster5.sqlite</v>
      </c>
      <c r="P8" s="11">
        <v>1</v>
      </c>
      <c r="Q8" s="11">
        <v>0</v>
      </c>
      <c r="R8" s="16" t="str">
        <f t="shared" si="2"/>
        <v>climate_db_ICHEC-EC-EARTH_historical_v4.sqlite</v>
      </c>
      <c r="S8" s="16" t="str">
        <f t="shared" si="3"/>
        <v>log/Cluster5.txt</v>
      </c>
      <c r="T8" s="16" t="str">
        <f t="shared" si="4"/>
        <v>init_JM/env_file_CLUSTER05_ICHEC-EC-EARTH_historical_REPL1.csv</v>
      </c>
      <c r="U8" s="16" t="str">
        <f t="shared" si="5"/>
        <v>init_JM/env_grid_CLUSTER05_REPL1.asc</v>
      </c>
      <c r="V8" s="16" t="str">
        <f t="shared" si="6"/>
        <v>init_JM/env_grid_CLUSTER05_REPL1.asc</v>
      </c>
      <c r="W8" s="16" t="str">
        <f t="shared" si="7"/>
        <v>../init_JM/trees_cluster5_repl1.csv</v>
      </c>
      <c r="X8" s="16" t="str">
        <f t="shared" si="8"/>
        <v>../init_JM/saplings_cluster5_repl1.csv</v>
      </c>
      <c r="Y8" s="16">
        <f t="shared" si="9"/>
        <v>350</v>
      </c>
      <c r="Z8" s="16" t="str">
        <f t="shared" si="10"/>
        <v>abe/stand_files2/noMgmt_cl05_repl1.csv</v>
      </c>
      <c r="AA8" s="16">
        <f t="shared" si="11"/>
        <v>1</v>
      </c>
      <c r="AB8" s="16" t="str">
        <f t="shared" si="12"/>
        <v>gis/WindModifier_cl5.asc</v>
      </c>
      <c r="AC8" s="16">
        <f t="shared" si="13"/>
        <v>1</v>
      </c>
      <c r="AD8" s="16">
        <f t="shared" si="14"/>
        <v>1</v>
      </c>
      <c r="AE8" s="16">
        <f t="shared" si="20"/>
        <v>6.8499999999999995E-4</v>
      </c>
      <c r="AF8" s="16" t="str">
        <f t="shared" si="15"/>
        <v>ICHEC-EC-EARTH_historical_point32685</v>
      </c>
      <c r="AG8" s="16">
        <f t="shared" si="16"/>
        <v>1</v>
      </c>
      <c r="AH8" s="16" t="str">
        <f t="shared" si="17"/>
        <v>wind_Events/cl5_repl1.txt</v>
      </c>
      <c r="AI8" s="16" t="str">
        <f t="shared" si="18"/>
        <v>Cluster5</v>
      </c>
    </row>
    <row r="9" spans="1:35" ht="13.8">
      <c r="A9" s="7" t="str">
        <f t="shared" si="19"/>
        <v>Scaled_Cluster5</v>
      </c>
      <c r="B9" s="8" t="s">
        <v>16</v>
      </c>
      <c r="C9" s="8" t="s">
        <v>54</v>
      </c>
      <c r="D9" s="9" t="s">
        <v>17</v>
      </c>
      <c r="E9" s="9" t="str">
        <f t="shared" si="0"/>
        <v>historical</v>
      </c>
      <c r="F9" s="8">
        <v>350</v>
      </c>
      <c r="G9" s="8" t="s">
        <v>18</v>
      </c>
      <c r="H9" s="8">
        <v>0</v>
      </c>
      <c r="I9" s="8">
        <v>5</v>
      </c>
      <c r="J9" s="8">
        <v>1</v>
      </c>
      <c r="K9" s="8"/>
      <c r="L9" s="8">
        <v>1</v>
      </c>
      <c r="M9" s="10" t="s">
        <v>21</v>
      </c>
      <c r="N9" s="17" t="s">
        <v>57</v>
      </c>
      <c r="O9" s="10" t="str">
        <f t="shared" si="1"/>
        <v>Scaled_Cluster5.sqlite</v>
      </c>
      <c r="P9" s="11">
        <v>1</v>
      </c>
      <c r="Q9" s="11">
        <v>0</v>
      </c>
      <c r="R9" s="16" t="str">
        <f t="shared" si="2"/>
        <v>climate_db_ICHEC-EC-EARTH_historical_v4.sqlite</v>
      </c>
      <c r="S9" s="16" t="str">
        <f t="shared" si="3"/>
        <v>log/Scaled_Cluster5.txt</v>
      </c>
      <c r="T9" s="16" t="str">
        <f t="shared" si="4"/>
        <v>init_JM/env_file_CLUSTER05_ICHEC-EC-EARTH_historical_REPL1.csv</v>
      </c>
      <c r="U9" s="16" t="str">
        <f t="shared" si="5"/>
        <v>init_JM/env_grid_CLUSTER05_REPL1.asc</v>
      </c>
      <c r="V9" s="16" t="str">
        <f t="shared" si="6"/>
        <v>init_JM/env_grid_CLUSTER05_REPL1.asc</v>
      </c>
      <c r="W9" s="16" t="str">
        <f t="shared" si="7"/>
        <v>../init_JM/trees_cluster5_repl1.csv</v>
      </c>
      <c r="X9" s="16" t="str">
        <f t="shared" si="8"/>
        <v>../init_JM/saplings_cluster5_repl1.csv</v>
      </c>
      <c r="Y9" s="16">
        <f t="shared" si="9"/>
        <v>350</v>
      </c>
      <c r="Z9" s="16" t="str">
        <f t="shared" si="10"/>
        <v>abe/stand_files2/noMgmt_cl05_repl1.csv</v>
      </c>
      <c r="AA9" s="16">
        <f t="shared" si="11"/>
        <v>1</v>
      </c>
      <c r="AB9" s="16" t="str">
        <f t="shared" si="12"/>
        <v>gis/WindModifier_cl5.asc</v>
      </c>
      <c r="AC9" s="16">
        <f t="shared" si="13"/>
        <v>1</v>
      </c>
      <c r="AD9" s="16">
        <f t="shared" si="14"/>
        <v>1</v>
      </c>
      <c r="AE9" s="16">
        <f t="shared" si="20"/>
        <v>1E-10</v>
      </c>
      <c r="AF9" s="16" t="str">
        <f t="shared" si="15"/>
        <v>ICHEC-EC-EARTH_historical_point32685</v>
      </c>
      <c r="AG9" s="16">
        <f t="shared" si="16"/>
        <v>1</v>
      </c>
      <c r="AH9" s="16" t="str">
        <f t="shared" si="17"/>
        <v>wind_Events/Scaled_cl5_repl1.txt</v>
      </c>
      <c r="AI9" s="16" t="str">
        <f t="shared" si="18"/>
        <v>Scaled_Cluster5</v>
      </c>
    </row>
    <row r="10" spans="1:35" ht="13.8">
      <c r="A10" s="7" t="str">
        <f t="shared" si="19"/>
        <v>Cluster6</v>
      </c>
      <c r="B10" s="8" t="s">
        <v>16</v>
      </c>
      <c r="C10" s="8"/>
      <c r="D10" s="9" t="s">
        <v>17</v>
      </c>
      <c r="E10" s="9" t="str">
        <f t="shared" si="0"/>
        <v>historical</v>
      </c>
      <c r="F10" s="8">
        <v>350</v>
      </c>
      <c r="G10" s="8" t="s">
        <v>18</v>
      </c>
      <c r="H10" s="8">
        <v>1.2364860585627399E-7</v>
      </c>
      <c r="I10" s="8">
        <v>6</v>
      </c>
      <c r="J10" s="8">
        <v>1</v>
      </c>
      <c r="K10" s="8"/>
      <c r="L10" s="8">
        <v>1</v>
      </c>
      <c r="M10" s="10" t="s">
        <v>21</v>
      </c>
      <c r="N10" s="17" t="s">
        <v>57</v>
      </c>
      <c r="O10" s="10" t="str">
        <f t="shared" si="1"/>
        <v>Cluster6.sqlite</v>
      </c>
      <c r="P10" s="11">
        <v>1</v>
      </c>
      <c r="Q10" s="11">
        <v>0</v>
      </c>
      <c r="R10" s="16" t="str">
        <f t="shared" si="2"/>
        <v>climate_db_ICHEC-EC-EARTH_historical_v4.sqlite</v>
      </c>
      <c r="S10" s="16" t="str">
        <f t="shared" si="3"/>
        <v>log/Cluster6.txt</v>
      </c>
      <c r="T10" s="16" t="str">
        <f t="shared" si="4"/>
        <v>init_JM/env_file_CLUSTER06_ICHEC-EC-EARTH_historical_REPL1.csv</v>
      </c>
      <c r="U10" s="16" t="str">
        <f t="shared" si="5"/>
        <v>init_JM/env_grid_CLUSTER06_REPL1.asc</v>
      </c>
      <c r="V10" s="16" t="str">
        <f t="shared" si="6"/>
        <v>init_JM/env_grid_CLUSTER06_REPL1.asc</v>
      </c>
      <c r="W10" s="16" t="str">
        <f t="shared" si="7"/>
        <v>../init_JM/trees_cluster6_repl1.csv</v>
      </c>
      <c r="X10" s="16" t="str">
        <f t="shared" si="8"/>
        <v>../init_JM/saplings_cluster6_repl1.csv</v>
      </c>
      <c r="Y10" s="16">
        <f t="shared" si="9"/>
        <v>350</v>
      </c>
      <c r="Z10" s="16" t="str">
        <f t="shared" si="10"/>
        <v>abe/stand_files2/noMgmt_cl06_repl1.csv</v>
      </c>
      <c r="AA10" s="16">
        <f t="shared" si="11"/>
        <v>1</v>
      </c>
      <c r="AB10" s="16" t="str">
        <f t="shared" si="12"/>
        <v>gis/WindModifier_cl6.asc</v>
      </c>
      <c r="AC10" s="16">
        <f t="shared" si="13"/>
        <v>1</v>
      </c>
      <c r="AD10" s="16">
        <f t="shared" si="14"/>
        <v>1</v>
      </c>
      <c r="AE10" s="16">
        <f t="shared" si="20"/>
        <v>6.8499999999999995E-4</v>
      </c>
      <c r="AF10" s="16" t="str">
        <f t="shared" si="15"/>
        <v>ICHEC-EC-EARTH_historical_point32685</v>
      </c>
      <c r="AG10" s="16">
        <f t="shared" si="16"/>
        <v>1</v>
      </c>
      <c r="AH10" s="16" t="str">
        <f t="shared" si="17"/>
        <v>wind_Events/cl6_repl1.txt</v>
      </c>
      <c r="AI10" s="16" t="str">
        <f t="shared" si="18"/>
        <v>Cluster6</v>
      </c>
    </row>
    <row r="11" spans="1:35" ht="13.8">
      <c r="A11" s="7" t="str">
        <f t="shared" si="19"/>
        <v>Scaled_Cluster6</v>
      </c>
      <c r="B11" s="8" t="s">
        <v>16</v>
      </c>
      <c r="C11" s="8" t="s">
        <v>54</v>
      </c>
      <c r="D11" s="9" t="s">
        <v>17</v>
      </c>
      <c r="E11" s="9" t="str">
        <f t="shared" si="0"/>
        <v>historical</v>
      </c>
      <c r="F11" s="8">
        <v>350</v>
      </c>
      <c r="G11" s="8" t="s">
        <v>18</v>
      </c>
      <c r="H11" s="8">
        <v>1.2364860585627399E-7</v>
      </c>
      <c r="I11" s="8">
        <v>6</v>
      </c>
      <c r="J11" s="8">
        <v>1</v>
      </c>
      <c r="K11" s="8"/>
      <c r="L11" s="8">
        <v>1</v>
      </c>
      <c r="M11" s="10" t="s">
        <v>21</v>
      </c>
      <c r="N11" s="17" t="s">
        <v>57</v>
      </c>
      <c r="O11" s="10" t="str">
        <f t="shared" si="1"/>
        <v>Scaled_Cluster6.sqlite</v>
      </c>
      <c r="P11" s="11">
        <v>1</v>
      </c>
      <c r="Q11" s="11">
        <v>0</v>
      </c>
      <c r="R11" s="16" t="str">
        <f t="shared" si="2"/>
        <v>climate_db_ICHEC-EC-EARTH_historical_v4.sqlite</v>
      </c>
      <c r="S11" s="16" t="str">
        <f t="shared" si="3"/>
        <v>log/Scaled_Cluster6.txt</v>
      </c>
      <c r="T11" s="16" t="str">
        <f t="shared" si="4"/>
        <v>init_JM/env_file_CLUSTER06_ICHEC-EC-EARTH_historical_REPL1.csv</v>
      </c>
      <c r="U11" s="16" t="str">
        <f t="shared" si="5"/>
        <v>init_JM/env_grid_CLUSTER06_REPL1.asc</v>
      </c>
      <c r="V11" s="16" t="str">
        <f t="shared" si="6"/>
        <v>init_JM/env_grid_CLUSTER06_REPL1.asc</v>
      </c>
      <c r="W11" s="16" t="str">
        <f t="shared" si="7"/>
        <v>../init_JM/trees_cluster6_repl1.csv</v>
      </c>
      <c r="X11" s="16" t="str">
        <f t="shared" si="8"/>
        <v>../init_JM/saplings_cluster6_repl1.csv</v>
      </c>
      <c r="Y11" s="16">
        <f t="shared" si="9"/>
        <v>350</v>
      </c>
      <c r="Z11" s="16" t="str">
        <f t="shared" si="10"/>
        <v>abe/stand_files2/noMgmt_cl06_repl1.csv</v>
      </c>
      <c r="AA11" s="16">
        <f t="shared" si="11"/>
        <v>1</v>
      </c>
      <c r="AB11" s="16" t="str">
        <f t="shared" si="12"/>
        <v>gis/WindModifier_cl6.asc</v>
      </c>
      <c r="AC11" s="16">
        <f t="shared" si="13"/>
        <v>1</v>
      </c>
      <c r="AD11" s="16">
        <f t="shared" si="14"/>
        <v>1</v>
      </c>
      <c r="AE11" s="16">
        <f t="shared" si="20"/>
        <v>1.23748605856274E-7</v>
      </c>
      <c r="AF11" s="16" t="str">
        <f t="shared" si="15"/>
        <v>ICHEC-EC-EARTH_historical_point32685</v>
      </c>
      <c r="AG11" s="16">
        <f t="shared" si="16"/>
        <v>1</v>
      </c>
      <c r="AH11" s="16" t="str">
        <f t="shared" si="17"/>
        <v>wind_Events/Scaled_cl6_repl1.txt</v>
      </c>
      <c r="AI11" s="16" t="str">
        <f t="shared" si="18"/>
        <v>Scaled_Cluster6</v>
      </c>
    </row>
    <row r="12" spans="1:35" ht="13.8">
      <c r="A12" s="7" t="str">
        <f t="shared" si="19"/>
        <v>Cluster7</v>
      </c>
      <c r="B12" s="8" t="s">
        <v>16</v>
      </c>
      <c r="C12" s="8"/>
      <c r="D12" s="9" t="s">
        <v>17</v>
      </c>
      <c r="E12" s="9" t="str">
        <f t="shared" si="0"/>
        <v>historical</v>
      </c>
      <c r="F12" s="8">
        <v>350</v>
      </c>
      <c r="G12" s="8" t="s">
        <v>18</v>
      </c>
      <c r="H12" s="8">
        <v>4.0645289878109198E-7</v>
      </c>
      <c r="I12" s="8">
        <v>7</v>
      </c>
      <c r="J12" s="8">
        <v>1</v>
      </c>
      <c r="K12" s="8"/>
      <c r="L12" s="8">
        <v>1</v>
      </c>
      <c r="M12" s="10" t="s">
        <v>21</v>
      </c>
      <c r="N12" s="17" t="s">
        <v>57</v>
      </c>
      <c r="O12" s="10" t="str">
        <f t="shared" si="1"/>
        <v>Cluster7.sqlite</v>
      </c>
      <c r="P12" s="11">
        <v>1</v>
      </c>
      <c r="Q12" s="11">
        <v>0</v>
      </c>
      <c r="R12" s="16" t="str">
        <f t="shared" si="2"/>
        <v>climate_db_ICHEC-EC-EARTH_historical_v4.sqlite</v>
      </c>
      <c r="S12" s="16" t="str">
        <f t="shared" si="3"/>
        <v>log/Cluster7.txt</v>
      </c>
      <c r="T12" s="16" t="str">
        <f t="shared" si="4"/>
        <v>init_JM/env_file_CLUSTER07_ICHEC-EC-EARTH_historical_REPL1.csv</v>
      </c>
      <c r="U12" s="16" t="str">
        <f t="shared" si="5"/>
        <v>init_JM/env_grid_CLUSTER07_REPL1.asc</v>
      </c>
      <c r="V12" s="16" t="str">
        <f t="shared" si="6"/>
        <v>init_JM/env_grid_CLUSTER07_REPL1.asc</v>
      </c>
      <c r="W12" s="16" t="str">
        <f t="shared" si="7"/>
        <v>../init_JM/trees_cluster7_repl1.csv</v>
      </c>
      <c r="X12" s="16" t="str">
        <f t="shared" si="8"/>
        <v>../init_JM/saplings_cluster7_repl1.csv</v>
      </c>
      <c r="Y12" s="16">
        <f t="shared" si="9"/>
        <v>350</v>
      </c>
      <c r="Z12" s="16" t="str">
        <f t="shared" si="10"/>
        <v>abe/stand_files2/noMgmt_cl07_repl1.csv</v>
      </c>
      <c r="AA12" s="16">
        <f t="shared" si="11"/>
        <v>1</v>
      </c>
      <c r="AB12" s="16" t="str">
        <f t="shared" si="12"/>
        <v>gis/WindModifier_cl7.asc</v>
      </c>
      <c r="AC12" s="16">
        <f t="shared" si="13"/>
        <v>1</v>
      </c>
      <c r="AD12" s="16">
        <f t="shared" si="14"/>
        <v>1</v>
      </c>
      <c r="AE12" s="16">
        <f t="shared" si="20"/>
        <v>6.8499999999999995E-4</v>
      </c>
      <c r="AF12" s="16" t="str">
        <f t="shared" si="15"/>
        <v>ICHEC-EC-EARTH_historical_point32685</v>
      </c>
      <c r="AG12" s="16">
        <f t="shared" si="16"/>
        <v>1</v>
      </c>
      <c r="AH12" s="16" t="str">
        <f t="shared" si="17"/>
        <v>wind_Events/cl7_repl1.txt</v>
      </c>
      <c r="AI12" s="16" t="str">
        <f t="shared" si="18"/>
        <v>Cluster7</v>
      </c>
    </row>
    <row r="13" spans="1:35" ht="13.8">
      <c r="A13" s="7" t="str">
        <f t="shared" si="19"/>
        <v>Scaled_Cluster7</v>
      </c>
      <c r="B13" s="8" t="s">
        <v>16</v>
      </c>
      <c r="C13" s="8" t="s">
        <v>54</v>
      </c>
      <c r="D13" s="9" t="s">
        <v>17</v>
      </c>
      <c r="E13" s="9" t="str">
        <f t="shared" si="0"/>
        <v>historical</v>
      </c>
      <c r="F13" s="8">
        <v>350</v>
      </c>
      <c r="G13" s="8" t="s">
        <v>18</v>
      </c>
      <c r="H13" s="8">
        <v>4.0645289878109198E-7</v>
      </c>
      <c r="I13" s="8">
        <v>7</v>
      </c>
      <c r="J13" s="8">
        <v>1</v>
      </c>
      <c r="K13" s="8"/>
      <c r="L13" s="8">
        <v>1</v>
      </c>
      <c r="M13" s="10" t="s">
        <v>21</v>
      </c>
      <c r="N13" s="17" t="s">
        <v>57</v>
      </c>
      <c r="O13" s="10" t="str">
        <f t="shared" si="1"/>
        <v>Scaled_Cluster7.sqlite</v>
      </c>
      <c r="P13" s="11">
        <v>1</v>
      </c>
      <c r="Q13" s="11">
        <v>0</v>
      </c>
      <c r="R13" s="16" t="str">
        <f t="shared" si="2"/>
        <v>climate_db_ICHEC-EC-EARTH_historical_v4.sqlite</v>
      </c>
      <c r="S13" s="16" t="str">
        <f t="shared" si="3"/>
        <v>log/Scaled_Cluster7.txt</v>
      </c>
      <c r="T13" s="16" t="str">
        <f t="shared" si="4"/>
        <v>init_JM/env_file_CLUSTER07_ICHEC-EC-EARTH_historical_REPL1.csv</v>
      </c>
      <c r="U13" s="16" t="str">
        <f t="shared" si="5"/>
        <v>init_JM/env_grid_CLUSTER07_REPL1.asc</v>
      </c>
      <c r="V13" s="16" t="str">
        <f t="shared" si="6"/>
        <v>init_JM/env_grid_CLUSTER07_REPL1.asc</v>
      </c>
      <c r="W13" s="16" t="str">
        <f t="shared" si="7"/>
        <v>../init_JM/trees_cluster7_repl1.csv</v>
      </c>
      <c r="X13" s="16" t="str">
        <f t="shared" si="8"/>
        <v>../init_JM/saplings_cluster7_repl1.csv</v>
      </c>
      <c r="Y13" s="16">
        <f t="shared" si="9"/>
        <v>350</v>
      </c>
      <c r="Z13" s="16" t="str">
        <f t="shared" si="10"/>
        <v>abe/stand_files2/noMgmt_cl07_repl1.csv</v>
      </c>
      <c r="AA13" s="16">
        <f t="shared" si="11"/>
        <v>1</v>
      </c>
      <c r="AB13" s="16" t="str">
        <f t="shared" si="12"/>
        <v>gis/WindModifier_cl7.asc</v>
      </c>
      <c r="AC13" s="16">
        <f t="shared" si="13"/>
        <v>1</v>
      </c>
      <c r="AD13" s="16">
        <f t="shared" si="14"/>
        <v>1</v>
      </c>
      <c r="AE13" s="16">
        <f t="shared" si="20"/>
        <v>4.0655289878109199E-7</v>
      </c>
      <c r="AF13" s="16" t="str">
        <f t="shared" si="15"/>
        <v>ICHEC-EC-EARTH_historical_point32685</v>
      </c>
      <c r="AG13" s="16">
        <f t="shared" si="16"/>
        <v>1</v>
      </c>
      <c r="AH13" s="16" t="str">
        <f t="shared" si="17"/>
        <v>wind_Events/Scaled_cl7_repl1.txt</v>
      </c>
      <c r="AI13" s="16" t="str">
        <f t="shared" si="18"/>
        <v>Scaled_Cluster7</v>
      </c>
    </row>
    <row r="14" spans="1:35" ht="13.8">
      <c r="A14" s="7" t="str">
        <f t="shared" si="19"/>
        <v>Cluster8</v>
      </c>
      <c r="B14" s="8" t="s">
        <v>16</v>
      </c>
      <c r="C14" s="8"/>
      <c r="D14" s="9" t="s">
        <v>17</v>
      </c>
      <c r="E14" s="9" t="str">
        <f t="shared" si="0"/>
        <v>historical</v>
      </c>
      <c r="F14" s="8">
        <v>350</v>
      </c>
      <c r="G14" s="8" t="s">
        <v>18</v>
      </c>
      <c r="H14" s="8">
        <v>4.8133740840721197E-6</v>
      </c>
      <c r="I14" s="8">
        <v>8</v>
      </c>
      <c r="J14" s="8">
        <v>1</v>
      </c>
      <c r="K14" s="8"/>
      <c r="L14" s="8">
        <v>1</v>
      </c>
      <c r="M14" s="10" t="s">
        <v>21</v>
      </c>
      <c r="N14" s="17" t="s">
        <v>57</v>
      </c>
      <c r="O14" s="10" t="str">
        <f t="shared" si="1"/>
        <v>Cluster8.sqlite</v>
      </c>
      <c r="P14" s="11">
        <v>1</v>
      </c>
      <c r="Q14" s="11">
        <v>0</v>
      </c>
      <c r="R14" s="16" t="str">
        <f t="shared" si="2"/>
        <v>climate_db_ICHEC-EC-EARTH_historical_v4.sqlite</v>
      </c>
      <c r="S14" s="16" t="str">
        <f t="shared" si="3"/>
        <v>log/Cluster8.txt</v>
      </c>
      <c r="T14" s="16" t="str">
        <f t="shared" si="4"/>
        <v>init_JM/env_file_CLUSTER08_ICHEC-EC-EARTH_historical_REPL1.csv</v>
      </c>
      <c r="U14" s="16" t="str">
        <f t="shared" si="5"/>
        <v>init_JM/env_grid_CLUSTER08_REPL1.asc</v>
      </c>
      <c r="V14" s="16" t="str">
        <f t="shared" si="6"/>
        <v>init_JM/env_grid_CLUSTER08_REPL1.asc</v>
      </c>
      <c r="W14" s="16" t="str">
        <f t="shared" si="7"/>
        <v>../init_JM/trees_cluster8_repl1.csv</v>
      </c>
      <c r="X14" s="16" t="str">
        <f t="shared" si="8"/>
        <v>../init_JM/saplings_cluster8_repl1.csv</v>
      </c>
      <c r="Y14" s="16">
        <f t="shared" si="9"/>
        <v>350</v>
      </c>
      <c r="Z14" s="16" t="str">
        <f t="shared" si="10"/>
        <v>abe/stand_files2/noMgmt_cl08_repl1.csv</v>
      </c>
      <c r="AA14" s="16">
        <f t="shared" si="11"/>
        <v>1</v>
      </c>
      <c r="AB14" s="16" t="str">
        <f t="shared" si="12"/>
        <v>gis/WindModifier_cl8.asc</v>
      </c>
      <c r="AC14" s="16">
        <f t="shared" si="13"/>
        <v>1</v>
      </c>
      <c r="AD14" s="16">
        <f t="shared" si="14"/>
        <v>1</v>
      </c>
      <c r="AE14" s="16">
        <f t="shared" si="20"/>
        <v>6.8499999999999995E-4</v>
      </c>
      <c r="AF14" s="16" t="str">
        <f t="shared" si="15"/>
        <v>ICHEC-EC-EARTH_historical_point32685</v>
      </c>
      <c r="AG14" s="16">
        <f t="shared" si="16"/>
        <v>1</v>
      </c>
      <c r="AH14" s="16" t="str">
        <f t="shared" si="17"/>
        <v>wind_Events/cl8_repl1.txt</v>
      </c>
      <c r="AI14" s="16" t="str">
        <f t="shared" si="18"/>
        <v>Cluster8</v>
      </c>
    </row>
    <row r="15" spans="1:35" ht="13.8">
      <c r="A15" s="7" t="str">
        <f t="shared" si="19"/>
        <v>Scaled_Cluster8</v>
      </c>
      <c r="B15" s="8" t="s">
        <v>16</v>
      </c>
      <c r="C15" s="8" t="s">
        <v>54</v>
      </c>
      <c r="D15" s="9" t="s">
        <v>17</v>
      </c>
      <c r="E15" s="9" t="str">
        <f t="shared" si="0"/>
        <v>historical</v>
      </c>
      <c r="F15" s="8">
        <v>350</v>
      </c>
      <c r="G15" s="8" t="s">
        <v>18</v>
      </c>
      <c r="H15" s="8">
        <v>4.8133740840721197E-6</v>
      </c>
      <c r="I15" s="8">
        <v>8</v>
      </c>
      <c r="J15" s="8">
        <v>1</v>
      </c>
      <c r="K15" s="8"/>
      <c r="L15" s="8">
        <v>1</v>
      </c>
      <c r="M15" s="10" t="s">
        <v>21</v>
      </c>
      <c r="N15" s="17" t="s">
        <v>57</v>
      </c>
      <c r="O15" s="10" t="str">
        <f t="shared" si="1"/>
        <v>Scaled_Cluster8.sqlite</v>
      </c>
      <c r="P15" s="11">
        <v>1</v>
      </c>
      <c r="Q15" s="11">
        <v>0</v>
      </c>
      <c r="R15" s="16" t="str">
        <f t="shared" si="2"/>
        <v>climate_db_ICHEC-EC-EARTH_historical_v4.sqlite</v>
      </c>
      <c r="S15" s="16" t="str">
        <f t="shared" si="3"/>
        <v>log/Scaled_Cluster8.txt</v>
      </c>
      <c r="T15" s="16" t="str">
        <f t="shared" si="4"/>
        <v>init_JM/env_file_CLUSTER08_ICHEC-EC-EARTH_historical_REPL1.csv</v>
      </c>
      <c r="U15" s="16" t="str">
        <f t="shared" si="5"/>
        <v>init_JM/env_grid_CLUSTER08_REPL1.asc</v>
      </c>
      <c r="V15" s="16" t="str">
        <f t="shared" si="6"/>
        <v>init_JM/env_grid_CLUSTER08_REPL1.asc</v>
      </c>
      <c r="W15" s="16" t="str">
        <f t="shared" si="7"/>
        <v>../init_JM/trees_cluster8_repl1.csv</v>
      </c>
      <c r="X15" s="16" t="str">
        <f t="shared" si="8"/>
        <v>../init_JM/saplings_cluster8_repl1.csv</v>
      </c>
      <c r="Y15" s="16">
        <f t="shared" si="9"/>
        <v>350</v>
      </c>
      <c r="Z15" s="16" t="str">
        <f t="shared" si="10"/>
        <v>abe/stand_files2/noMgmt_cl08_repl1.csv</v>
      </c>
      <c r="AA15" s="16">
        <f t="shared" si="11"/>
        <v>1</v>
      </c>
      <c r="AB15" s="16" t="str">
        <f t="shared" si="12"/>
        <v>gis/WindModifier_cl8.asc</v>
      </c>
      <c r="AC15" s="16">
        <f t="shared" si="13"/>
        <v>1</v>
      </c>
      <c r="AD15" s="16">
        <f t="shared" si="14"/>
        <v>1</v>
      </c>
      <c r="AE15" s="16">
        <f t="shared" si="20"/>
        <v>4.8134740840721199E-6</v>
      </c>
      <c r="AF15" s="16" t="str">
        <f t="shared" si="15"/>
        <v>ICHEC-EC-EARTH_historical_point32685</v>
      </c>
      <c r="AG15" s="16">
        <f t="shared" si="16"/>
        <v>1</v>
      </c>
      <c r="AH15" s="16" t="str">
        <f t="shared" si="17"/>
        <v>wind_Events/Scaled_cl8_repl1.txt</v>
      </c>
      <c r="AI15" s="16" t="str">
        <f t="shared" si="18"/>
        <v>Scaled_Cluster8</v>
      </c>
    </row>
    <row r="16" spans="1:35" ht="13.8">
      <c r="A16" s="7" t="str">
        <f t="shared" si="19"/>
        <v>Cluster10</v>
      </c>
      <c r="B16" s="8" t="s">
        <v>16</v>
      </c>
      <c r="C16" s="8"/>
      <c r="D16" s="9" t="s">
        <v>17</v>
      </c>
      <c r="E16" s="9" t="str">
        <f t="shared" si="0"/>
        <v>historical</v>
      </c>
      <c r="F16" s="8">
        <v>350</v>
      </c>
      <c r="G16" s="8" t="s">
        <v>18</v>
      </c>
      <c r="H16" s="8">
        <v>2.5405658160224899E-6</v>
      </c>
      <c r="I16" s="8">
        <v>10</v>
      </c>
      <c r="J16" s="8">
        <v>1</v>
      </c>
      <c r="K16" s="8"/>
      <c r="L16" s="8">
        <v>1</v>
      </c>
      <c r="M16" s="10" t="s">
        <v>21</v>
      </c>
      <c r="N16" s="17" t="s">
        <v>57</v>
      </c>
      <c r="O16" s="10" t="str">
        <f t="shared" si="1"/>
        <v>Cluster10.sqlite</v>
      </c>
      <c r="P16" s="11">
        <v>1</v>
      </c>
      <c r="Q16" s="11">
        <v>0</v>
      </c>
      <c r="R16" s="16" t="str">
        <f t="shared" si="2"/>
        <v>climate_db_ICHEC-EC-EARTH_historical_v4.sqlite</v>
      </c>
      <c r="S16" s="16" t="str">
        <f t="shared" si="3"/>
        <v>log/Cluster10.txt</v>
      </c>
      <c r="T16" s="16" t="str">
        <f t="shared" si="4"/>
        <v>init_JM/env_file_CLUSTER10_ICHEC-EC-EARTH_historical_REPL1.csv</v>
      </c>
      <c r="U16" s="16" t="str">
        <f t="shared" si="5"/>
        <v>init_JM/env_grid_CLUSTER10_REPL1.asc</v>
      </c>
      <c r="V16" s="16" t="str">
        <f t="shared" si="6"/>
        <v>init_JM/env_grid_CLUSTER10_REPL1.asc</v>
      </c>
      <c r="W16" s="16" t="str">
        <f t="shared" si="7"/>
        <v>../init_JM/trees_cluster10_repl1.csv</v>
      </c>
      <c r="X16" s="16" t="str">
        <f t="shared" si="8"/>
        <v>../init_JM/saplings_cluster10_repl1.csv</v>
      </c>
      <c r="Y16" s="16">
        <f t="shared" si="9"/>
        <v>350</v>
      </c>
      <c r="Z16" s="16" t="str">
        <f t="shared" si="10"/>
        <v>abe/stand_files2/noMgmt_cl10_repl1.csv</v>
      </c>
      <c r="AA16" s="16">
        <f t="shared" si="11"/>
        <v>1</v>
      </c>
      <c r="AB16" s="16" t="str">
        <f t="shared" si="12"/>
        <v>gis/WindModifier_cl10.asc</v>
      </c>
      <c r="AC16" s="16">
        <f t="shared" si="13"/>
        <v>1</v>
      </c>
      <c r="AD16" s="16">
        <f t="shared" si="14"/>
        <v>1</v>
      </c>
      <c r="AE16" s="16">
        <f t="shared" si="20"/>
        <v>6.8499999999999995E-4</v>
      </c>
      <c r="AF16" s="16" t="str">
        <f t="shared" si="15"/>
        <v>ICHEC-EC-EARTH_historical_point32685</v>
      </c>
      <c r="AG16" s="16">
        <f t="shared" si="16"/>
        <v>1</v>
      </c>
      <c r="AH16" s="16" t="str">
        <f t="shared" si="17"/>
        <v>wind_Events/cl10_repl1.txt</v>
      </c>
      <c r="AI16" s="16" t="str">
        <f t="shared" si="18"/>
        <v>Cluster10</v>
      </c>
    </row>
    <row r="17" spans="1:35" ht="13.8">
      <c r="A17" s="7" t="str">
        <f t="shared" si="19"/>
        <v>Scaled_Cluster10</v>
      </c>
      <c r="B17" s="8" t="s">
        <v>16</v>
      </c>
      <c r="C17" s="8" t="s">
        <v>54</v>
      </c>
      <c r="D17" s="9" t="s">
        <v>17</v>
      </c>
      <c r="E17" s="9" t="str">
        <f t="shared" si="0"/>
        <v>historical</v>
      </c>
      <c r="F17" s="8">
        <v>350</v>
      </c>
      <c r="G17" s="8" t="s">
        <v>18</v>
      </c>
      <c r="H17" s="8">
        <v>2.5405658160224899E-6</v>
      </c>
      <c r="I17" s="8">
        <v>10</v>
      </c>
      <c r="J17" s="8">
        <v>1</v>
      </c>
      <c r="K17" s="8"/>
      <c r="L17" s="8">
        <v>1</v>
      </c>
      <c r="M17" s="10" t="s">
        <v>21</v>
      </c>
      <c r="N17" s="17" t="s">
        <v>57</v>
      </c>
      <c r="O17" s="10" t="str">
        <f t="shared" si="1"/>
        <v>Scaled_Cluster10.sqlite</v>
      </c>
      <c r="P17" s="11">
        <v>1</v>
      </c>
      <c r="Q17" s="11">
        <v>0</v>
      </c>
      <c r="R17" s="16" t="str">
        <f t="shared" si="2"/>
        <v>climate_db_ICHEC-EC-EARTH_historical_v4.sqlite</v>
      </c>
      <c r="S17" s="16" t="str">
        <f t="shared" si="3"/>
        <v>log/Scaled_Cluster10.txt</v>
      </c>
      <c r="T17" s="16" t="str">
        <f t="shared" si="4"/>
        <v>init_JM/env_file_CLUSTER10_ICHEC-EC-EARTH_historical_REPL1.csv</v>
      </c>
      <c r="U17" s="16" t="str">
        <f t="shared" si="5"/>
        <v>init_JM/env_grid_CLUSTER10_REPL1.asc</v>
      </c>
      <c r="V17" s="16" t="str">
        <f t="shared" si="6"/>
        <v>init_JM/env_grid_CLUSTER10_REPL1.asc</v>
      </c>
      <c r="W17" s="16" t="str">
        <f t="shared" si="7"/>
        <v>../init_JM/trees_cluster10_repl1.csv</v>
      </c>
      <c r="X17" s="16" t="str">
        <f t="shared" si="8"/>
        <v>../init_JM/saplings_cluster10_repl1.csv</v>
      </c>
      <c r="Y17" s="16">
        <f t="shared" si="9"/>
        <v>350</v>
      </c>
      <c r="Z17" s="16" t="str">
        <f t="shared" si="10"/>
        <v>abe/stand_files2/noMgmt_cl10_repl1.csv</v>
      </c>
      <c r="AA17" s="16">
        <f t="shared" si="11"/>
        <v>1</v>
      </c>
      <c r="AB17" s="16" t="str">
        <f t="shared" si="12"/>
        <v>gis/WindModifier_cl10.asc</v>
      </c>
      <c r="AC17" s="16">
        <f t="shared" si="13"/>
        <v>1</v>
      </c>
      <c r="AD17" s="16">
        <f t="shared" si="14"/>
        <v>1</v>
      </c>
      <c r="AE17" s="16">
        <f t="shared" si="20"/>
        <v>2.5406658160224897E-6</v>
      </c>
      <c r="AF17" s="16" t="str">
        <f t="shared" si="15"/>
        <v>ICHEC-EC-EARTH_historical_point32685</v>
      </c>
      <c r="AG17" s="16">
        <f t="shared" si="16"/>
        <v>1</v>
      </c>
      <c r="AH17" s="16" t="str">
        <f t="shared" si="17"/>
        <v>wind_Events/Scaled_cl10_repl1.txt</v>
      </c>
      <c r="AI17" s="16" t="str">
        <f t="shared" si="18"/>
        <v>Scaled_Cluster10</v>
      </c>
    </row>
    <row r="18" spans="1:35" ht="13.8">
      <c r="A18" s="7" t="str">
        <f t="shared" si="19"/>
        <v>Cluster11</v>
      </c>
      <c r="B18" s="8" t="s">
        <v>16</v>
      </c>
      <c r="C18" s="8"/>
      <c r="D18" s="9" t="s">
        <v>17</v>
      </c>
      <c r="E18" s="9" t="str">
        <f t="shared" si="0"/>
        <v>historical</v>
      </c>
      <c r="F18" s="8">
        <v>350</v>
      </c>
      <c r="G18" s="8" t="s">
        <v>18</v>
      </c>
      <c r="H18" s="8">
        <v>1.2451908062161101E-5</v>
      </c>
      <c r="I18" s="8">
        <v>11</v>
      </c>
      <c r="J18" s="8">
        <v>1</v>
      </c>
      <c r="K18" s="8"/>
      <c r="L18" s="8">
        <v>1</v>
      </c>
      <c r="M18" s="10" t="s">
        <v>21</v>
      </c>
      <c r="N18" s="17" t="s">
        <v>57</v>
      </c>
      <c r="O18" s="10" t="str">
        <f t="shared" si="1"/>
        <v>Cluster11.sqlite</v>
      </c>
      <c r="P18" s="11">
        <v>1</v>
      </c>
      <c r="Q18" s="11">
        <v>0</v>
      </c>
      <c r="R18" s="16" t="str">
        <f t="shared" si="2"/>
        <v>climate_db_ICHEC-EC-EARTH_historical_v4.sqlite</v>
      </c>
      <c r="S18" s="16" t="str">
        <f t="shared" si="3"/>
        <v>log/Cluster11.txt</v>
      </c>
      <c r="T18" s="16" t="str">
        <f t="shared" si="4"/>
        <v>init_JM/env_file_CLUSTER11_ICHEC-EC-EARTH_historical_REPL1.csv</v>
      </c>
      <c r="U18" s="16" t="str">
        <f t="shared" si="5"/>
        <v>init_JM/env_grid_CLUSTER11_REPL1.asc</v>
      </c>
      <c r="V18" s="16" t="str">
        <f t="shared" si="6"/>
        <v>init_JM/env_grid_CLUSTER11_REPL1.asc</v>
      </c>
      <c r="W18" s="16" t="str">
        <f t="shared" si="7"/>
        <v>../init_JM/trees_cluster11_repl1.csv</v>
      </c>
      <c r="X18" s="16" t="str">
        <f t="shared" si="8"/>
        <v>../init_JM/saplings_cluster11_repl1.csv</v>
      </c>
      <c r="Y18" s="16">
        <f t="shared" si="9"/>
        <v>350</v>
      </c>
      <c r="Z18" s="16" t="str">
        <f t="shared" si="10"/>
        <v>abe/stand_files2/noMgmt_cl11_repl1.csv</v>
      </c>
      <c r="AA18" s="16">
        <f t="shared" si="11"/>
        <v>1</v>
      </c>
      <c r="AB18" s="16" t="str">
        <f t="shared" si="12"/>
        <v>gis/WindModifier_cl11.asc</v>
      </c>
      <c r="AC18" s="16">
        <f t="shared" si="13"/>
        <v>1</v>
      </c>
      <c r="AD18" s="16">
        <f t="shared" si="14"/>
        <v>1</v>
      </c>
      <c r="AE18" s="16">
        <f t="shared" si="20"/>
        <v>6.8499999999999995E-4</v>
      </c>
      <c r="AF18" s="16" t="str">
        <f t="shared" si="15"/>
        <v>ICHEC-EC-EARTH_historical_point32685</v>
      </c>
      <c r="AG18" s="16">
        <f t="shared" si="16"/>
        <v>1</v>
      </c>
      <c r="AH18" s="16" t="str">
        <f t="shared" si="17"/>
        <v>wind_Events/cl11_repl1.txt</v>
      </c>
      <c r="AI18" s="16" t="str">
        <f t="shared" si="18"/>
        <v>Cluster11</v>
      </c>
    </row>
    <row r="19" spans="1:35" ht="13.8">
      <c r="A19" s="7" t="str">
        <f t="shared" si="19"/>
        <v>Scaled_Cluster11</v>
      </c>
      <c r="B19" s="8" t="s">
        <v>16</v>
      </c>
      <c r="C19" s="8" t="s">
        <v>54</v>
      </c>
      <c r="D19" s="9" t="s">
        <v>17</v>
      </c>
      <c r="E19" s="9" t="str">
        <f t="shared" si="0"/>
        <v>historical</v>
      </c>
      <c r="F19" s="8">
        <v>350</v>
      </c>
      <c r="G19" s="8" t="s">
        <v>18</v>
      </c>
      <c r="H19" s="8">
        <v>1.2451908062161101E-5</v>
      </c>
      <c r="I19" s="8">
        <v>11</v>
      </c>
      <c r="J19" s="8">
        <v>1</v>
      </c>
      <c r="K19" s="8"/>
      <c r="L19" s="8">
        <v>1</v>
      </c>
      <c r="M19" s="10" t="s">
        <v>21</v>
      </c>
      <c r="N19" s="17" t="s">
        <v>57</v>
      </c>
      <c r="O19" s="10" t="str">
        <f t="shared" si="1"/>
        <v>Scaled_Cluster11.sqlite</v>
      </c>
      <c r="P19" s="11">
        <v>1</v>
      </c>
      <c r="Q19" s="11">
        <v>0</v>
      </c>
      <c r="R19" s="16" t="str">
        <f t="shared" si="2"/>
        <v>climate_db_ICHEC-EC-EARTH_historical_v4.sqlite</v>
      </c>
      <c r="S19" s="16" t="str">
        <f t="shared" si="3"/>
        <v>log/Scaled_Cluster11.txt</v>
      </c>
      <c r="T19" s="16" t="str">
        <f t="shared" si="4"/>
        <v>init_JM/env_file_CLUSTER11_ICHEC-EC-EARTH_historical_REPL1.csv</v>
      </c>
      <c r="U19" s="16" t="str">
        <f t="shared" si="5"/>
        <v>init_JM/env_grid_CLUSTER11_REPL1.asc</v>
      </c>
      <c r="V19" s="16" t="str">
        <f t="shared" si="6"/>
        <v>init_JM/env_grid_CLUSTER11_REPL1.asc</v>
      </c>
      <c r="W19" s="16" t="str">
        <f t="shared" si="7"/>
        <v>../init_JM/trees_cluster11_repl1.csv</v>
      </c>
      <c r="X19" s="16" t="str">
        <f t="shared" si="8"/>
        <v>../init_JM/saplings_cluster11_repl1.csv</v>
      </c>
      <c r="Y19" s="16">
        <f t="shared" si="9"/>
        <v>350</v>
      </c>
      <c r="Z19" s="16" t="str">
        <f t="shared" si="10"/>
        <v>abe/stand_files2/noMgmt_cl11_repl1.csv</v>
      </c>
      <c r="AA19" s="16">
        <f t="shared" si="11"/>
        <v>1</v>
      </c>
      <c r="AB19" s="16" t="str">
        <f t="shared" si="12"/>
        <v>gis/WindModifier_cl11.asc</v>
      </c>
      <c r="AC19" s="16">
        <f t="shared" si="13"/>
        <v>1</v>
      </c>
      <c r="AD19" s="16">
        <f t="shared" si="14"/>
        <v>1</v>
      </c>
      <c r="AE19" s="16">
        <f t="shared" si="20"/>
        <v>1.2452008062161101E-5</v>
      </c>
      <c r="AF19" s="16" t="str">
        <f t="shared" si="15"/>
        <v>ICHEC-EC-EARTH_historical_point32685</v>
      </c>
      <c r="AG19" s="16">
        <f t="shared" si="16"/>
        <v>1</v>
      </c>
      <c r="AH19" s="16" t="str">
        <f t="shared" si="17"/>
        <v>wind_Events/Scaled_cl11_repl1.txt</v>
      </c>
      <c r="AI19" s="16" t="str">
        <f t="shared" si="18"/>
        <v>Scaled_Cluster11</v>
      </c>
    </row>
    <row r="20" spans="1:35" ht="13.8">
      <c r="A20" s="7" t="str">
        <f t="shared" si="19"/>
        <v>Cluster12</v>
      </c>
      <c r="B20" s="8" t="s">
        <v>16</v>
      </c>
      <c r="C20" s="8"/>
      <c r="D20" s="9" t="s">
        <v>17</v>
      </c>
      <c r="E20" s="9" t="str">
        <f t="shared" si="0"/>
        <v>historical</v>
      </c>
      <c r="F20" s="8">
        <v>350</v>
      </c>
      <c r="G20" s="8" t="s">
        <v>18</v>
      </c>
      <c r="H20" s="8">
        <v>5.7344370827609102E-6</v>
      </c>
      <c r="I20" s="8">
        <v>12</v>
      </c>
      <c r="J20" s="8">
        <v>1</v>
      </c>
      <c r="K20" s="8"/>
      <c r="L20" s="8">
        <v>1</v>
      </c>
      <c r="M20" s="10" t="s">
        <v>21</v>
      </c>
      <c r="N20" s="17" t="s">
        <v>57</v>
      </c>
      <c r="O20" s="10" t="str">
        <f t="shared" si="1"/>
        <v>Cluster12.sqlite</v>
      </c>
      <c r="P20" s="11">
        <v>1</v>
      </c>
      <c r="Q20" s="11">
        <v>0</v>
      </c>
      <c r="R20" s="16" t="str">
        <f t="shared" si="2"/>
        <v>climate_db_ICHEC-EC-EARTH_historical_v4.sqlite</v>
      </c>
      <c r="S20" s="16" t="str">
        <f t="shared" si="3"/>
        <v>log/Cluster12.txt</v>
      </c>
      <c r="T20" s="16" t="str">
        <f t="shared" si="4"/>
        <v>init_JM/env_file_CLUSTER12_ICHEC-EC-EARTH_historical_REPL1.csv</v>
      </c>
      <c r="U20" s="16" t="str">
        <f t="shared" si="5"/>
        <v>init_JM/env_grid_CLUSTER12_REPL1.asc</v>
      </c>
      <c r="V20" s="16" t="str">
        <f t="shared" si="6"/>
        <v>init_JM/env_grid_CLUSTER12_REPL1.asc</v>
      </c>
      <c r="W20" s="16" t="str">
        <f t="shared" si="7"/>
        <v>../init_JM/trees_cluster12_repl1.csv</v>
      </c>
      <c r="X20" s="16" t="str">
        <f t="shared" si="8"/>
        <v>../init_JM/saplings_cluster12_repl1.csv</v>
      </c>
      <c r="Y20" s="16">
        <f t="shared" si="9"/>
        <v>350</v>
      </c>
      <c r="Z20" s="16" t="str">
        <f t="shared" si="10"/>
        <v>abe/stand_files2/noMgmt_cl12_repl1.csv</v>
      </c>
      <c r="AA20" s="16">
        <f t="shared" si="11"/>
        <v>1</v>
      </c>
      <c r="AB20" s="16" t="str">
        <f t="shared" si="12"/>
        <v>gis/WindModifier_cl12.asc</v>
      </c>
      <c r="AC20" s="16">
        <f t="shared" si="13"/>
        <v>1</v>
      </c>
      <c r="AD20" s="16">
        <f t="shared" si="14"/>
        <v>1</v>
      </c>
      <c r="AE20" s="16">
        <f t="shared" si="20"/>
        <v>6.8499999999999995E-4</v>
      </c>
      <c r="AF20" s="16" t="str">
        <f t="shared" si="15"/>
        <v>ICHEC-EC-EARTH_historical_point32685</v>
      </c>
      <c r="AG20" s="16">
        <f t="shared" si="16"/>
        <v>1</v>
      </c>
      <c r="AH20" s="16" t="str">
        <f t="shared" si="17"/>
        <v>wind_Events/cl12_repl1.txt</v>
      </c>
      <c r="AI20" s="16" t="str">
        <f t="shared" si="18"/>
        <v>Cluster12</v>
      </c>
    </row>
    <row r="21" spans="1:35" ht="13.8">
      <c r="A21" s="7" t="str">
        <f t="shared" si="19"/>
        <v>Scaled_Cluster12</v>
      </c>
      <c r="B21" s="8" t="s">
        <v>16</v>
      </c>
      <c r="C21" s="8" t="s">
        <v>54</v>
      </c>
      <c r="D21" s="9" t="s">
        <v>17</v>
      </c>
      <c r="E21" s="9" t="str">
        <f t="shared" si="0"/>
        <v>historical</v>
      </c>
      <c r="F21" s="8">
        <v>350</v>
      </c>
      <c r="G21" s="8" t="s">
        <v>18</v>
      </c>
      <c r="H21" s="8">
        <v>5.7344370827609102E-6</v>
      </c>
      <c r="I21" s="8">
        <v>12</v>
      </c>
      <c r="J21" s="8">
        <v>1</v>
      </c>
      <c r="K21" s="8"/>
      <c r="L21" s="8">
        <v>1</v>
      </c>
      <c r="M21" s="10" t="s">
        <v>21</v>
      </c>
      <c r="N21" s="17" t="s">
        <v>57</v>
      </c>
      <c r="O21" s="10" t="str">
        <f t="shared" si="1"/>
        <v>Scaled_Cluster12.sqlite</v>
      </c>
      <c r="P21" s="11">
        <v>1</v>
      </c>
      <c r="Q21" s="11">
        <v>0</v>
      </c>
      <c r="R21" s="16" t="str">
        <f t="shared" si="2"/>
        <v>climate_db_ICHEC-EC-EARTH_historical_v4.sqlite</v>
      </c>
      <c r="S21" s="16" t="str">
        <f t="shared" si="3"/>
        <v>log/Scaled_Cluster12.txt</v>
      </c>
      <c r="T21" s="16" t="str">
        <f t="shared" si="4"/>
        <v>init_JM/env_file_CLUSTER12_ICHEC-EC-EARTH_historical_REPL1.csv</v>
      </c>
      <c r="U21" s="16" t="str">
        <f t="shared" si="5"/>
        <v>init_JM/env_grid_CLUSTER12_REPL1.asc</v>
      </c>
      <c r="V21" s="16" t="str">
        <f t="shared" si="6"/>
        <v>init_JM/env_grid_CLUSTER12_REPL1.asc</v>
      </c>
      <c r="W21" s="16" t="str">
        <f t="shared" si="7"/>
        <v>../init_JM/trees_cluster12_repl1.csv</v>
      </c>
      <c r="X21" s="16" t="str">
        <f t="shared" si="8"/>
        <v>../init_JM/saplings_cluster12_repl1.csv</v>
      </c>
      <c r="Y21" s="16">
        <f t="shared" si="9"/>
        <v>350</v>
      </c>
      <c r="Z21" s="16" t="str">
        <f t="shared" si="10"/>
        <v>abe/stand_files2/noMgmt_cl12_repl1.csv</v>
      </c>
      <c r="AA21" s="16">
        <f t="shared" si="11"/>
        <v>1</v>
      </c>
      <c r="AB21" s="16" t="str">
        <f t="shared" si="12"/>
        <v>gis/WindModifier_cl12.asc</v>
      </c>
      <c r="AC21" s="16">
        <f t="shared" si="13"/>
        <v>1</v>
      </c>
      <c r="AD21" s="16">
        <f t="shared" si="14"/>
        <v>1</v>
      </c>
      <c r="AE21" s="16">
        <f t="shared" si="20"/>
        <v>5.7345370827609104E-6</v>
      </c>
      <c r="AF21" s="16" t="str">
        <f t="shared" si="15"/>
        <v>ICHEC-EC-EARTH_historical_point32685</v>
      </c>
      <c r="AG21" s="16">
        <f t="shared" si="16"/>
        <v>1</v>
      </c>
      <c r="AH21" s="16" t="str">
        <f t="shared" si="17"/>
        <v>wind_Events/Scaled_cl12_repl1.txt</v>
      </c>
      <c r="AI21" s="16" t="str">
        <f t="shared" si="18"/>
        <v>Scaled_Cluster12</v>
      </c>
    </row>
    <row r="22" spans="1:35" ht="13.8">
      <c r="A22" s="7" t="str">
        <f t="shared" si="19"/>
        <v>Cluster13</v>
      </c>
      <c r="B22" s="8" t="s">
        <v>16</v>
      </c>
      <c r="C22" s="8"/>
      <c r="D22" s="9" t="s">
        <v>17</v>
      </c>
      <c r="E22" s="9" t="str">
        <f t="shared" si="0"/>
        <v>historical</v>
      </c>
      <c r="F22" s="8">
        <v>350</v>
      </c>
      <c r="G22" s="8" t="s">
        <v>18</v>
      </c>
      <c r="H22" s="8">
        <v>4.1181188616223502E-7</v>
      </c>
      <c r="I22" s="8">
        <v>13</v>
      </c>
      <c r="J22" s="8">
        <v>1</v>
      </c>
      <c r="K22" s="8"/>
      <c r="L22" s="8">
        <v>1</v>
      </c>
      <c r="M22" s="10" t="s">
        <v>21</v>
      </c>
      <c r="N22" s="17" t="s">
        <v>57</v>
      </c>
      <c r="O22" s="10" t="str">
        <f t="shared" si="1"/>
        <v>Cluster13.sqlite</v>
      </c>
      <c r="P22" s="11">
        <v>1</v>
      </c>
      <c r="Q22" s="11">
        <v>0</v>
      </c>
      <c r="R22" s="16" t="str">
        <f t="shared" si="2"/>
        <v>climate_db_ICHEC-EC-EARTH_historical_v4.sqlite</v>
      </c>
      <c r="S22" s="16" t="str">
        <f t="shared" si="3"/>
        <v>log/Cluster13.txt</v>
      </c>
      <c r="T22" s="16" t="str">
        <f t="shared" si="4"/>
        <v>init_JM/env_file_CLUSTER13_ICHEC-EC-EARTH_historical_REPL1.csv</v>
      </c>
      <c r="U22" s="16" t="str">
        <f t="shared" si="5"/>
        <v>init_JM/env_grid_CLUSTER13_REPL1.asc</v>
      </c>
      <c r="V22" s="16" t="str">
        <f t="shared" si="6"/>
        <v>init_JM/env_grid_CLUSTER13_REPL1.asc</v>
      </c>
      <c r="W22" s="16" t="str">
        <f t="shared" si="7"/>
        <v>../init_JM/trees_cluster13_repl1.csv</v>
      </c>
      <c r="X22" s="16" t="str">
        <f t="shared" si="8"/>
        <v>../init_JM/saplings_cluster13_repl1.csv</v>
      </c>
      <c r="Y22" s="16">
        <f t="shared" si="9"/>
        <v>350</v>
      </c>
      <c r="Z22" s="16" t="str">
        <f t="shared" si="10"/>
        <v>abe/stand_files2/noMgmt_cl13_repl1.csv</v>
      </c>
      <c r="AA22" s="16">
        <f t="shared" si="11"/>
        <v>1</v>
      </c>
      <c r="AB22" s="16" t="str">
        <f t="shared" si="12"/>
        <v>gis/WindModifier_cl13.asc</v>
      </c>
      <c r="AC22" s="16">
        <f t="shared" si="13"/>
        <v>1</v>
      </c>
      <c r="AD22" s="16">
        <f t="shared" si="14"/>
        <v>1</v>
      </c>
      <c r="AE22" s="16">
        <f t="shared" si="20"/>
        <v>6.8499999999999995E-4</v>
      </c>
      <c r="AF22" s="16" t="str">
        <f t="shared" si="15"/>
        <v>ICHEC-EC-EARTH_historical_point32685</v>
      </c>
      <c r="AG22" s="16">
        <f t="shared" si="16"/>
        <v>1</v>
      </c>
      <c r="AH22" s="16" t="str">
        <f t="shared" si="17"/>
        <v>wind_Events/cl13_repl1.txt</v>
      </c>
      <c r="AI22" s="16" t="str">
        <f t="shared" si="18"/>
        <v>Cluster13</v>
      </c>
    </row>
    <row r="23" spans="1:35" ht="13.8">
      <c r="A23" s="7" t="str">
        <f t="shared" si="19"/>
        <v>Scaled_Cluster13</v>
      </c>
      <c r="B23" s="8" t="s">
        <v>16</v>
      </c>
      <c r="C23" s="8" t="s">
        <v>54</v>
      </c>
      <c r="D23" s="9" t="s">
        <v>17</v>
      </c>
      <c r="E23" s="9" t="str">
        <f t="shared" si="0"/>
        <v>historical</v>
      </c>
      <c r="F23" s="8">
        <v>350</v>
      </c>
      <c r="G23" s="8" t="s">
        <v>18</v>
      </c>
      <c r="H23" s="8">
        <v>4.1181188616223502E-7</v>
      </c>
      <c r="I23" s="8">
        <v>13</v>
      </c>
      <c r="J23" s="8">
        <v>1</v>
      </c>
      <c r="K23" s="8"/>
      <c r="L23" s="8">
        <v>1</v>
      </c>
      <c r="M23" s="10" t="s">
        <v>21</v>
      </c>
      <c r="N23" s="17" t="s">
        <v>57</v>
      </c>
      <c r="O23" s="10" t="str">
        <f t="shared" si="1"/>
        <v>Scaled_Cluster13.sqlite</v>
      </c>
      <c r="P23" s="11">
        <v>1</v>
      </c>
      <c r="Q23" s="11">
        <v>0</v>
      </c>
      <c r="R23" s="16" t="str">
        <f t="shared" si="2"/>
        <v>climate_db_ICHEC-EC-EARTH_historical_v4.sqlite</v>
      </c>
      <c r="S23" s="16" t="str">
        <f t="shared" si="3"/>
        <v>log/Scaled_Cluster13.txt</v>
      </c>
      <c r="T23" s="16" t="str">
        <f t="shared" si="4"/>
        <v>init_JM/env_file_CLUSTER13_ICHEC-EC-EARTH_historical_REPL1.csv</v>
      </c>
      <c r="U23" s="16" t="str">
        <f t="shared" si="5"/>
        <v>init_JM/env_grid_CLUSTER13_REPL1.asc</v>
      </c>
      <c r="V23" s="16" t="str">
        <f t="shared" si="6"/>
        <v>init_JM/env_grid_CLUSTER13_REPL1.asc</v>
      </c>
      <c r="W23" s="16" t="str">
        <f t="shared" si="7"/>
        <v>../init_JM/trees_cluster13_repl1.csv</v>
      </c>
      <c r="X23" s="16" t="str">
        <f t="shared" si="8"/>
        <v>../init_JM/saplings_cluster13_repl1.csv</v>
      </c>
      <c r="Y23" s="16">
        <f t="shared" si="9"/>
        <v>350</v>
      </c>
      <c r="Z23" s="16" t="str">
        <f t="shared" si="10"/>
        <v>abe/stand_files2/noMgmt_cl13_repl1.csv</v>
      </c>
      <c r="AA23" s="16">
        <f t="shared" si="11"/>
        <v>1</v>
      </c>
      <c r="AB23" s="16" t="str">
        <f t="shared" si="12"/>
        <v>gis/WindModifier_cl13.asc</v>
      </c>
      <c r="AC23" s="16">
        <f t="shared" si="13"/>
        <v>1</v>
      </c>
      <c r="AD23" s="16">
        <f t="shared" si="14"/>
        <v>1</v>
      </c>
      <c r="AE23" s="16">
        <f t="shared" si="20"/>
        <v>4.1191188616223503E-7</v>
      </c>
      <c r="AF23" s="16" t="str">
        <f t="shared" si="15"/>
        <v>ICHEC-EC-EARTH_historical_point32685</v>
      </c>
      <c r="AG23" s="16">
        <f t="shared" si="16"/>
        <v>1</v>
      </c>
      <c r="AH23" s="16" t="str">
        <f t="shared" si="17"/>
        <v>wind_Events/Scaled_cl13_repl1.txt</v>
      </c>
      <c r="AI23" s="16" t="str">
        <f t="shared" si="18"/>
        <v>Scaled_Cluster13</v>
      </c>
    </row>
    <row r="24" spans="1:35" ht="13.8">
      <c r="A24" s="7" t="str">
        <f t="shared" si="19"/>
        <v>Cluster14</v>
      </c>
      <c r="B24" s="8" t="s">
        <v>16</v>
      </c>
      <c r="C24" s="8"/>
      <c r="D24" s="9" t="s">
        <v>17</v>
      </c>
      <c r="E24" s="9" t="str">
        <f t="shared" si="0"/>
        <v>historical</v>
      </c>
      <c r="F24" s="8">
        <v>350</v>
      </c>
      <c r="G24" s="8" t="s">
        <v>18</v>
      </c>
      <c r="H24" s="8">
        <v>2.19455891293013E-6</v>
      </c>
      <c r="I24" s="8">
        <v>14</v>
      </c>
      <c r="J24" s="8">
        <v>1</v>
      </c>
      <c r="K24" s="8"/>
      <c r="L24" s="8">
        <v>1</v>
      </c>
      <c r="M24" s="10" t="s">
        <v>21</v>
      </c>
      <c r="N24" s="17" t="s">
        <v>57</v>
      </c>
      <c r="O24" s="10" t="str">
        <f t="shared" si="1"/>
        <v>Cluster14.sqlite</v>
      </c>
      <c r="P24" s="11">
        <v>1</v>
      </c>
      <c r="Q24" s="11">
        <v>0</v>
      </c>
      <c r="R24" s="16" t="str">
        <f t="shared" si="2"/>
        <v>climate_db_ICHEC-EC-EARTH_historical_v4.sqlite</v>
      </c>
      <c r="S24" s="16" t="str">
        <f t="shared" si="3"/>
        <v>log/Cluster14.txt</v>
      </c>
      <c r="T24" s="16" t="str">
        <f t="shared" si="4"/>
        <v>init_JM/env_file_CLUSTER14_ICHEC-EC-EARTH_historical_REPL1.csv</v>
      </c>
      <c r="U24" s="16" t="str">
        <f t="shared" si="5"/>
        <v>init_JM/env_grid_CLUSTER14_REPL1.asc</v>
      </c>
      <c r="V24" s="16" t="str">
        <f t="shared" si="6"/>
        <v>init_JM/env_grid_CLUSTER14_REPL1.asc</v>
      </c>
      <c r="W24" s="16" t="str">
        <f t="shared" si="7"/>
        <v>../init_JM/trees_cluster14_repl1.csv</v>
      </c>
      <c r="X24" s="16" t="str">
        <f t="shared" si="8"/>
        <v>../init_JM/saplings_cluster14_repl1.csv</v>
      </c>
      <c r="Y24" s="16">
        <f t="shared" si="9"/>
        <v>350</v>
      </c>
      <c r="Z24" s="16" t="str">
        <f t="shared" si="10"/>
        <v>abe/stand_files2/noMgmt_cl14_repl1.csv</v>
      </c>
      <c r="AA24" s="16">
        <f t="shared" si="11"/>
        <v>1</v>
      </c>
      <c r="AB24" s="16" t="str">
        <f t="shared" si="12"/>
        <v>gis/WindModifier_cl14.asc</v>
      </c>
      <c r="AC24" s="16">
        <f t="shared" si="13"/>
        <v>1</v>
      </c>
      <c r="AD24" s="16">
        <f t="shared" si="14"/>
        <v>1</v>
      </c>
      <c r="AE24" s="16">
        <f t="shared" si="20"/>
        <v>6.8499999999999995E-4</v>
      </c>
      <c r="AF24" s="16" t="str">
        <f t="shared" si="15"/>
        <v>ICHEC-EC-EARTH_historical_point32685</v>
      </c>
      <c r="AG24" s="16">
        <f t="shared" si="16"/>
        <v>1</v>
      </c>
      <c r="AH24" s="16" t="str">
        <f t="shared" si="17"/>
        <v>wind_Events/cl14_repl1.txt</v>
      </c>
      <c r="AI24" s="16" t="str">
        <f t="shared" si="18"/>
        <v>Cluster14</v>
      </c>
    </row>
    <row r="25" spans="1:35" ht="13.8">
      <c r="A25" s="7" t="str">
        <f t="shared" si="19"/>
        <v>Scaled_Cluster14</v>
      </c>
      <c r="B25" s="8" t="s">
        <v>16</v>
      </c>
      <c r="C25" s="8" t="s">
        <v>54</v>
      </c>
      <c r="D25" s="9" t="s">
        <v>17</v>
      </c>
      <c r="E25" s="9" t="str">
        <f t="shared" si="0"/>
        <v>historical</v>
      </c>
      <c r="F25" s="8">
        <v>350</v>
      </c>
      <c r="G25" s="8" t="s">
        <v>18</v>
      </c>
      <c r="H25" s="8">
        <v>2.19455891293013E-6</v>
      </c>
      <c r="I25" s="8">
        <v>14</v>
      </c>
      <c r="J25" s="8">
        <v>1</v>
      </c>
      <c r="K25" s="8"/>
      <c r="L25" s="8">
        <v>1</v>
      </c>
      <c r="M25" s="10" t="s">
        <v>21</v>
      </c>
      <c r="N25" s="17" t="s">
        <v>57</v>
      </c>
      <c r="O25" s="10" t="str">
        <f t="shared" si="1"/>
        <v>Scaled_Cluster14.sqlite</v>
      </c>
      <c r="P25" s="11">
        <v>1</v>
      </c>
      <c r="Q25" s="11">
        <v>0</v>
      </c>
      <c r="R25" s="16" t="str">
        <f t="shared" si="2"/>
        <v>climate_db_ICHEC-EC-EARTH_historical_v4.sqlite</v>
      </c>
      <c r="S25" s="16" t="str">
        <f t="shared" si="3"/>
        <v>log/Scaled_Cluster14.txt</v>
      </c>
      <c r="T25" s="16" t="str">
        <f t="shared" si="4"/>
        <v>init_JM/env_file_CLUSTER14_ICHEC-EC-EARTH_historical_REPL1.csv</v>
      </c>
      <c r="U25" s="16" t="str">
        <f t="shared" si="5"/>
        <v>init_JM/env_grid_CLUSTER14_REPL1.asc</v>
      </c>
      <c r="V25" s="16" t="str">
        <f t="shared" si="6"/>
        <v>init_JM/env_grid_CLUSTER14_REPL1.asc</v>
      </c>
      <c r="W25" s="16" t="str">
        <f t="shared" si="7"/>
        <v>../init_JM/trees_cluster14_repl1.csv</v>
      </c>
      <c r="X25" s="16" t="str">
        <f t="shared" si="8"/>
        <v>../init_JM/saplings_cluster14_repl1.csv</v>
      </c>
      <c r="Y25" s="16">
        <f t="shared" si="9"/>
        <v>350</v>
      </c>
      <c r="Z25" s="16" t="str">
        <f t="shared" si="10"/>
        <v>abe/stand_files2/noMgmt_cl14_repl1.csv</v>
      </c>
      <c r="AA25" s="16">
        <f t="shared" si="11"/>
        <v>1</v>
      </c>
      <c r="AB25" s="16" t="str">
        <f t="shared" si="12"/>
        <v>gis/WindModifier_cl14.asc</v>
      </c>
      <c r="AC25" s="16">
        <f t="shared" si="13"/>
        <v>1</v>
      </c>
      <c r="AD25" s="16">
        <f t="shared" si="14"/>
        <v>1</v>
      </c>
      <c r="AE25" s="16">
        <f t="shared" si="20"/>
        <v>2.1946589129301298E-6</v>
      </c>
      <c r="AF25" s="16" t="str">
        <f t="shared" si="15"/>
        <v>ICHEC-EC-EARTH_historical_point32685</v>
      </c>
      <c r="AG25" s="16">
        <f t="shared" si="16"/>
        <v>1</v>
      </c>
      <c r="AH25" s="16" t="str">
        <f t="shared" si="17"/>
        <v>wind_Events/Scaled_cl14_repl1.txt</v>
      </c>
      <c r="AI25" s="16" t="str">
        <f t="shared" si="18"/>
        <v>Scaled_Cluster14</v>
      </c>
    </row>
  </sheetData>
  <autoFilter ref="A1:AD1" xr:uid="{00000000-0009-0000-0000-000000000000}">
    <sortState ref="A2:AD25">
      <sortCondition ref="I1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D6A321-608D-4910-BCA3-EB32B4F37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RefineDisturbances_0705_all (2)</vt:lpstr>
      <vt:lpstr>RefineDisturbances_0905_Cl10</vt:lpstr>
      <vt:lpstr>RefineDisturbances_0705_all</vt:lpstr>
      <vt:lpstr>RefineDisturbances_0705</vt:lpstr>
      <vt:lpstr>RefineDisturbances</vt:lpstr>
      <vt:lpstr>Tabelle1</vt:lpstr>
      <vt:lpstr>Cluster_Climate</vt:lpstr>
      <vt:lpstr>Tabelle4</vt:lpstr>
      <vt:lpstr>Aikio</vt:lpstr>
      <vt:lpstr>cRunner</vt:lpstr>
      <vt:lpstr>with_replicates</vt:lpstr>
      <vt:lpstr>RefineDisturbances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Mohr</dc:creator>
  <cp:lastModifiedBy>Johannes Mohr</cp:lastModifiedBy>
  <dcterms:created xsi:type="dcterms:W3CDTF">2025-03-06T07:39:00Z</dcterms:created>
  <dcterms:modified xsi:type="dcterms:W3CDTF">2025-05-13T06:32:35Z</dcterms:modified>
</cp:coreProperties>
</file>